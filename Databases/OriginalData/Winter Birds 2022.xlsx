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janell.brush\Documents\Brush\Shorebird Program\Nonbreeding Data\Mid Winter Shorebird Survey Data All Years\"/>
    </mc:Choice>
  </mc:AlternateContent>
  <xr:revisionPtr revIDLastSave="0" documentId="13_ncr:1_{9D08C490-1460-494D-A4F0-52B9A95210D2}" xr6:coauthVersionLast="47" xr6:coauthVersionMax="47" xr10:uidLastSave="{00000000-0000-0000-0000-000000000000}"/>
  <bookViews>
    <workbookView xWindow="-120" yWindow="-120" windowWidth="29040" windowHeight="17640" activeTab="1" xr2:uid="{00000000-000D-0000-FFFF-FFFF00000000}"/>
  </bookViews>
  <sheets>
    <sheet name="Directions" sheetId="1" r:id="rId1"/>
    <sheet name="All Species" sheetId="2" r:id="rId2"/>
    <sheet name="Focal Observations" sheetId="3" r:id="rId3"/>
    <sheet name="For sites with &gt;19 points" sheetId="4" r:id="rId4"/>
    <sheet name="Summary Data" sheetId="5" r:id="rId5"/>
    <sheet name="transects with no data 2.22.2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3" i="2" l="1"/>
  <c r="U3" i="2"/>
  <c r="T3" i="2"/>
  <c r="I2" i="5"/>
  <c r="I3" i="5" s="1"/>
  <c r="AX284" i="2"/>
  <c r="AH284" i="2"/>
  <c r="AA284" i="2"/>
  <c r="Y284" i="2"/>
  <c r="AZ281" i="2"/>
  <c r="AZ2" i="2" s="1"/>
  <c r="AX281" i="2"/>
  <c r="AX2" i="2" s="1"/>
  <c r="AH281" i="2"/>
  <c r="AH2" i="2" s="1"/>
  <c r="AA281" i="2"/>
  <c r="AH271" i="2"/>
  <c r="AA271" i="2"/>
  <c r="BD2" i="2"/>
  <c r="BC2" i="2"/>
  <c r="BB2" i="2"/>
  <c r="BA2" i="2"/>
  <c r="AY2" i="2"/>
  <c r="AW2" i="2"/>
  <c r="AV2" i="2"/>
  <c r="AU2" i="2"/>
  <c r="AT2" i="2"/>
  <c r="AS2" i="2"/>
  <c r="AR2" i="2"/>
  <c r="AQ2" i="2"/>
  <c r="AP2" i="2"/>
  <c r="AO2" i="2"/>
  <c r="AN2" i="2"/>
  <c r="AM2" i="2"/>
  <c r="AL2" i="2"/>
  <c r="AK2" i="2"/>
  <c r="V2" i="2"/>
  <c r="AJ2" i="2"/>
  <c r="AI2" i="2"/>
  <c r="AG2" i="2"/>
  <c r="AF2" i="2"/>
  <c r="AE2" i="2"/>
  <c r="AD2" i="2"/>
  <c r="U2" i="2"/>
  <c r="AC2" i="2"/>
  <c r="AB2" i="2"/>
  <c r="AA2" i="2"/>
  <c r="Z2" i="2"/>
  <c r="Y2" i="2"/>
  <c r="X2" i="2"/>
  <c r="W2" i="2"/>
  <c r="T2" i="2"/>
  <c r="S2" i="2"/>
  <c r="R2" i="2"/>
  <c r="Q2" i="2"/>
  <c r="P2" i="2"/>
  <c r="O2" i="2"/>
  <c r="N2" i="2"/>
  <c r="M2" i="2"/>
  <c r="L2" i="2"/>
  <c r="K2" i="2"/>
  <c r="J2" i="5" l="1"/>
</calcChain>
</file>

<file path=xl/sharedStrings.xml><?xml version="1.0" encoding="utf-8"?>
<sst xmlns="http://schemas.openxmlformats.org/spreadsheetml/2006/main" count="4993" uniqueCount="1573">
  <si>
    <t xml:space="preserve">Data Entry using google sheets works best if you are using Google Chrome.  It is easier to enter data on a computer than a mobile device.  </t>
  </si>
  <si>
    <t>1.  Please read the survey protocol before you enter the data:</t>
  </si>
  <si>
    <t>2.  Click on the "All Species" tab and locate your transect.  Then type in the survey data.</t>
  </si>
  <si>
    <t xml:space="preserve">3.  Click on the "Focal Observations" tab it you saw any of the focal species.  </t>
  </si>
  <si>
    <t xml:space="preserve">4.  For Flocks &gt;50, enter the lat/long on the Focal Observations and the species you saw in the comments.  </t>
  </si>
  <si>
    <t>Questions or Problems with Data Entry?  You can email Beth Forys (forysea@eckerd.edu)</t>
  </si>
  <si>
    <t xml:space="preserve">Transect </t>
  </si>
  <si>
    <t>County</t>
  </si>
  <si>
    <t>Date you did your survey</t>
  </si>
  <si>
    <t>Names of observers</t>
  </si>
  <si>
    <t>Email of primary observer</t>
  </si>
  <si>
    <t>Route Start Time</t>
  </si>
  <si>
    <t>Weather:  temperature (optional)</t>
  </si>
  <si>
    <t>Wind (optional)</t>
  </si>
  <si>
    <t>Rain (optional)</t>
  </si>
  <si>
    <r>
      <rPr>
        <b/>
        <sz val="12"/>
        <color theme="1"/>
        <rFont val="Calibri"/>
        <family val="2"/>
      </rPr>
      <t>Did you do a complete survey (all birds) or a focal survey? (focal species are hilighted in</t>
    </r>
    <r>
      <rPr>
        <b/>
        <sz val="12"/>
        <color rgb="FFFFFF00"/>
        <rFont val="Calibri"/>
        <family val="2"/>
      </rPr>
      <t xml:space="preserve"> yellow)</t>
    </r>
  </si>
  <si>
    <t>American Oystercatcher</t>
  </si>
  <si>
    <t>American Avocet</t>
  </si>
  <si>
    <t>Back-bellied Plover</t>
  </si>
  <si>
    <t>Dunlin</t>
  </si>
  <si>
    <t xml:space="preserve">Greater Yellowlegs </t>
  </si>
  <si>
    <t>Killdeer</t>
  </si>
  <si>
    <t>Least Sandpiper</t>
  </si>
  <si>
    <t xml:space="preserve">Lesser Yellowlegs </t>
  </si>
  <si>
    <t>Long-billed Curlew</t>
  </si>
  <si>
    <t xml:space="preserve">Long-billed Dowitcher </t>
  </si>
  <si>
    <t>Marbled Godwit</t>
  </si>
  <si>
    <t>Piping Plover</t>
  </si>
  <si>
    <t xml:space="preserve">Red Knot </t>
  </si>
  <si>
    <t>Ruddy Turnstone</t>
  </si>
  <si>
    <t>Sanderling</t>
  </si>
  <si>
    <t>Semi-palmated Plover</t>
  </si>
  <si>
    <t>Semi-palmated Sandpiper</t>
  </si>
  <si>
    <t>Short-billed Dowitcher</t>
  </si>
  <si>
    <t>Snowy Plover</t>
  </si>
  <si>
    <t>Spotted Sandpiper</t>
  </si>
  <si>
    <t>Western Sandpiper</t>
  </si>
  <si>
    <t>Whimbrel</t>
  </si>
  <si>
    <t>Willet</t>
  </si>
  <si>
    <t xml:space="preserve">Wilson's Plover </t>
  </si>
  <si>
    <t>Wilson's Snipe</t>
  </si>
  <si>
    <t>Dowitcher (species unknown)</t>
  </si>
  <si>
    <t>Sandpiper (species unknown)</t>
  </si>
  <si>
    <t>Yellowlegs (species unknown)</t>
  </si>
  <si>
    <t xml:space="preserve">Black Skimmer </t>
  </si>
  <si>
    <t>Bonaparte's Gull</t>
  </si>
  <si>
    <t>Brown Booby</t>
  </si>
  <si>
    <t>Brown Pelican</t>
  </si>
  <si>
    <t>Caspian Tern</t>
  </si>
  <si>
    <t>Common Tern</t>
  </si>
  <si>
    <t>Double-crested Cormorant</t>
  </si>
  <si>
    <t>Forster's Tern</t>
  </si>
  <si>
    <t>Glaucous Gull</t>
  </si>
  <si>
    <t>Great Black-backed Gull</t>
  </si>
  <si>
    <t>Herring Gull</t>
  </si>
  <si>
    <t>Laughing Gull</t>
  </si>
  <si>
    <t>Lesser Black-backed Gull</t>
  </si>
  <si>
    <t>Ring-billed Gull</t>
  </si>
  <si>
    <t>Royal Tern</t>
  </si>
  <si>
    <t>Sandwich Tern</t>
  </si>
  <si>
    <t>Vega Gull</t>
  </si>
  <si>
    <t>White Pelican</t>
  </si>
  <si>
    <t>Comments</t>
  </si>
  <si>
    <t>Totals</t>
  </si>
  <si>
    <t>Audubon Island, Bay County</t>
  </si>
  <si>
    <t>Bay</t>
  </si>
  <si>
    <t>Caity Reiland-Smith, Ezra Thompson</t>
  </si>
  <si>
    <t>caity.reiland-smith@myfwc.com</t>
  </si>
  <si>
    <t>41-50F</t>
  </si>
  <si>
    <t>light wind</t>
  </si>
  <si>
    <t>no rain</t>
  </si>
  <si>
    <t>Complete Survey (all birds)</t>
  </si>
  <si>
    <t>Bonfire Beach</t>
  </si>
  <si>
    <t>Nick Vitale, Lauren Albrittain</t>
  </si>
  <si>
    <t>nick.vitale@myfwc.com</t>
  </si>
  <si>
    <t>Buck Beach</t>
  </si>
  <si>
    <t>Emily Hunter</t>
  </si>
  <si>
    <t>emilyhunter016@gmail.com</t>
  </si>
  <si>
    <t>51-60F</t>
  </si>
  <si>
    <t>Bobcat tracks along the shoreline</t>
  </si>
  <si>
    <t>Camp Helen State Park</t>
  </si>
  <si>
    <t>Marvin Friel, Tannyr Lamica Bush</t>
  </si>
  <si>
    <t>Marvin.Friel@myfwc.com</t>
  </si>
  <si>
    <t>61-70F</t>
  </si>
  <si>
    <t>Crooked Island East</t>
  </si>
  <si>
    <t>Crooked Island East- Island</t>
  </si>
  <si>
    <t>Crooked Island West</t>
  </si>
  <si>
    <t>Ricky Cassell</t>
  </si>
  <si>
    <t>richard.cassell@audubon.org</t>
  </si>
  <si>
    <t>Mexico Beach</t>
  </si>
  <si>
    <t>Barbara Eells</t>
  </si>
  <si>
    <t>pelican@fairpoint.net</t>
  </si>
  <si>
    <t>30-40F</t>
  </si>
  <si>
    <t>Redfish Pt.</t>
  </si>
  <si>
    <t>Shell Island</t>
  </si>
  <si>
    <t>Raya Pruner, Marvin Friel</t>
  </si>
  <si>
    <t>raya.pruner@myfwc.com</t>
  </si>
  <si>
    <t>St. Andrews State Park-main</t>
  </si>
  <si>
    <t>Tannyr Lamica Bush</t>
  </si>
  <si>
    <t>Tannyr.LamicaBush@FloridaDEP.gov</t>
  </si>
  <si>
    <t>Cold, sunny morning. 1 dead common loon found on shoreline and 1 live dog (with owners) found and removed from beach.</t>
  </si>
  <si>
    <t>Tyndall Shell</t>
  </si>
  <si>
    <t>West Bay - Marifarms</t>
  </si>
  <si>
    <t>Wild Goose Lagoon</t>
  </si>
  <si>
    <t>Patty Kelly</t>
  </si>
  <si>
    <t>Archie Carr 1</t>
  </si>
  <si>
    <t>Brevard</t>
  </si>
  <si>
    <t>Nichole Perna</t>
  </si>
  <si>
    <t>nichole.perna@brevardfl.gov</t>
  </si>
  <si>
    <t>medium wind</t>
  </si>
  <si>
    <t>Archie Carr 2</t>
  </si>
  <si>
    <t>Michael Lee</t>
  </si>
  <si>
    <t>mlee48928@gmail.com</t>
  </si>
  <si>
    <t>9:10 M</t>
  </si>
  <si>
    <t>also observed 6 dead northern gannet on beach</t>
  </si>
  <si>
    <t>Archie Carr 3a</t>
  </si>
  <si>
    <t>Shelby Wood</t>
  </si>
  <si>
    <t>shelby.wood@brevardfl.gov</t>
  </si>
  <si>
    <t>light rain</t>
  </si>
  <si>
    <t xml:space="preserve">cloudy, rough surf, light rain at beginning but stopped after 15minutes </t>
  </si>
  <si>
    <t>Archie Carr 3b</t>
  </si>
  <si>
    <t>Doug Sutherland, Shelby Wood, Morgan Fabian</t>
  </si>
  <si>
    <t>djaygator12@yahoo.com</t>
  </si>
  <si>
    <t>breezy</t>
  </si>
  <si>
    <t>BC36 to BC53</t>
  </si>
  <si>
    <t>Matthew R Anderson</t>
  </si>
  <si>
    <t>matthew.r.anderson@floridadep.gov</t>
  </si>
  <si>
    <t>calm</t>
  </si>
  <si>
    <t>Focal Survey</t>
  </si>
  <si>
    <t>Brevard County North Reach</t>
  </si>
  <si>
    <t>Andrew Mercadante, Margie Mitchell</t>
  </si>
  <si>
    <t>mercadanteandrew@gmail.com</t>
  </si>
  <si>
    <t>Cape Canaveral AFS</t>
  </si>
  <si>
    <t>Angy Chambers, Megan Nicely, Richard Brust, Elizabeth Lago</t>
  </si>
  <si>
    <t>angy.chambers@spaceforce.mil</t>
  </si>
  <si>
    <t>light rain first 30 minutes of survey then stopped, overcast remainder of survey. Also observed 3 reddish egrets, 3 great blue herons, and 1 parasitic jaeger</t>
  </si>
  <si>
    <t>Patrick AFB</t>
  </si>
  <si>
    <t>Richard Brust</t>
  </si>
  <si>
    <t>richard_brust@fws.gov</t>
  </si>
  <si>
    <t>Fog</t>
  </si>
  <si>
    <t>Patrick Shores/Satellite/ Indian Harbour Beaches</t>
  </si>
  <si>
    <t>Sebastian Inlet North (inlet north to ACNWR)</t>
  </si>
  <si>
    <t>Terese Harber and Alex Bates</t>
  </si>
  <si>
    <t>terese.harber@floridadep.gov</t>
  </si>
  <si>
    <t>Dania Beach Pier to Hallandale Beach (County Line Road)</t>
  </si>
  <si>
    <t>Broward</t>
  </si>
  <si>
    <t>Erik Neugaard, Sabrina Fischer, Dr. Pamela Fletcher</t>
  </si>
  <si>
    <t>eneugaard@broward.org</t>
  </si>
  <si>
    <t>81-90F</t>
  </si>
  <si>
    <t>Surveyed south from Mizell-Johnson State Park, which should be northern limit of transect. However, no shorebirds observed between Mizell-Johnson State Park and Dania Pier.</t>
  </si>
  <si>
    <t>Deerfield Beach to Hillsboro Inlet</t>
  </si>
  <si>
    <t>Theresa Alderman and Phil Thornburg</t>
  </si>
  <si>
    <t>theresasmail@comcast.net</t>
  </si>
  <si>
    <t>Dr. Von D Mizell-Eula Johnson State Park</t>
  </si>
  <si>
    <t>John Frosbutter and Allison Scheflow</t>
  </si>
  <si>
    <t>John.Frosbutter@dep.state.fl.us</t>
  </si>
  <si>
    <t>71-80F</t>
  </si>
  <si>
    <t>Royal Tern found deat with 2 tags - right leg/white plastic tag - E70 - left leg metal silver tag - 1225-00599 - submitted to USGS by Allison Scheflow</t>
  </si>
  <si>
    <t>Hillsboro Inlet (south side) Bpass Area</t>
  </si>
  <si>
    <t>Hillsboro Inlet (south side) to Lauderdale by the Sea pier</t>
  </si>
  <si>
    <t>Stephanie Kedzuf</t>
  </si>
  <si>
    <t>skedzuf@broward.org</t>
  </si>
  <si>
    <t>Lauderdale by the Sea pier to Port Everglades Inlet</t>
  </si>
  <si>
    <t>Did not delineate this survey from the Hillsboro Inlet (south side) to LBTS pier survery. Numbers for that survey route are combined for this area too.</t>
  </si>
  <si>
    <t>Bird Island</t>
  </si>
  <si>
    <t>Charlotte</t>
  </si>
  <si>
    <t>Alexandria Grant and Roger Debruler</t>
  </si>
  <si>
    <t>alexandria.grant@charlottecountyfl.gov</t>
  </si>
  <si>
    <t>Don Pedro Island (not the state park)</t>
  </si>
  <si>
    <t>Susie Derheimer and Alexandria Grant</t>
  </si>
  <si>
    <t>suzanne.derheimer@charlottecountyfl.gov</t>
  </si>
  <si>
    <t>Don Pedro Island State Park</t>
  </si>
  <si>
    <t>Gasparilla Island North/Boca Grande(Charlotte)</t>
  </si>
  <si>
    <t>Cathy Olson and Gregg Klowden</t>
  </si>
  <si>
    <r>
      <rPr>
        <u/>
        <sz val="10"/>
        <color rgb="FF1155CC"/>
        <rFont val="Arial"/>
        <family val="2"/>
      </rPr>
      <t>cathyolson.co</t>
    </r>
    <r>
      <rPr>
        <sz val="10"/>
        <color rgb="FF000000"/>
        <rFont val="Arial"/>
        <family val="2"/>
        <scheme val="minor"/>
      </rPr>
      <t>@gmail.com</t>
    </r>
  </si>
  <si>
    <t>of interested Red-Breasted Merganser-5  resting just off shore</t>
  </si>
  <si>
    <t xml:space="preserve">Knight Island  </t>
  </si>
  <si>
    <t>Knight Island/Palm Island Mitigation Area</t>
  </si>
  <si>
    <t>Little Gasparilla Island</t>
  </si>
  <si>
    <t>lots of dogs 17 total (11 leashed and 6 unleashed)</t>
  </si>
  <si>
    <t>Manasota Key (Charlotte) excluding State Park (do coordinated need editing due to erosion)?</t>
  </si>
  <si>
    <t>north end of route- 26.945999; -82.373995    southend of route 26.910970; -82.353290   Saw 1 common loon resting off shore</t>
  </si>
  <si>
    <t>Stump Pass Beach State Park</t>
  </si>
  <si>
    <t>pass dredge and beach renourishment underway</t>
  </si>
  <si>
    <t>Barge Canal Spoil Islands</t>
  </si>
  <si>
    <t>Cirtus</t>
  </si>
  <si>
    <t>Crystal River Powerplant Spoil Islands</t>
  </si>
  <si>
    <t>Citrus</t>
  </si>
  <si>
    <t>Barefoot Beach</t>
  </si>
  <si>
    <t>Collier</t>
  </si>
  <si>
    <t>Rochelle Streker</t>
  </si>
  <si>
    <t>rochelle.streker@audubon.org</t>
  </si>
  <si>
    <t xml:space="preserve">also saw 6 white ibis and 2 osprey; 1 flock of over 50 birds at 26.3304772, -81.845665 . </t>
  </si>
  <si>
    <t>Big Marco Pass CWA</t>
  </si>
  <si>
    <t>Brittany Piersma</t>
  </si>
  <si>
    <t>bnpiersma@gmail.com</t>
  </si>
  <si>
    <t>Caxambas</t>
  </si>
  <si>
    <t>Col Lauzau</t>
  </si>
  <si>
    <t>Collette.Lauzau@floridadep.gov</t>
  </si>
  <si>
    <t>Two Bald Eagle</t>
  </si>
  <si>
    <t>Clam Pass Park</t>
  </si>
  <si>
    <t>Delnor-Wiggins Pass State Park</t>
  </si>
  <si>
    <t>Karen Rogers</t>
  </si>
  <si>
    <t>Karen.M.Rogers@FloridaDEP.gov</t>
  </si>
  <si>
    <t>Fog in the morning at time of survey, SNEG 2, WHIB 2</t>
  </si>
  <si>
    <t>Keewaydin Island</t>
  </si>
  <si>
    <t>Two Bald Eagles and Two Burrowing Owls</t>
  </si>
  <si>
    <t>Kice Island</t>
  </si>
  <si>
    <t>Marco Island Beach South</t>
  </si>
  <si>
    <t>Lin Taylor</t>
  </si>
  <si>
    <t>lptay7@gmail.com</t>
  </si>
  <si>
    <t>Morgan Bay/Cape Romano</t>
  </si>
  <si>
    <t>Naples Beach</t>
  </si>
  <si>
    <t>Second Chance CWA</t>
  </si>
  <si>
    <t>Ten Thousand Islands (Collier)</t>
  </si>
  <si>
    <t>Big Bend WMA: Jena-- Road to Nowhere</t>
  </si>
  <si>
    <t>Dixie</t>
  </si>
  <si>
    <t>Little Pine Island</t>
  </si>
  <si>
    <t>Big Talbot Island State Park - North</t>
  </si>
  <si>
    <t>Duval</t>
  </si>
  <si>
    <t>Allison Conboy, Savanna Simmons, Daniel Longoria</t>
  </si>
  <si>
    <t>allison.conboy@dep.state.fl.us</t>
  </si>
  <si>
    <t>Cool, misty, overcast morning. AWPE at north end of route. TUVU 2, HOME 1, RBME 1, MODU 3, BAEA 1, GREG 3, OSPR 1, GBHE 1.</t>
  </si>
  <si>
    <t>Big Talbot Island State Park - South</t>
  </si>
  <si>
    <t>Cool, misty, overcast morning. Mixed flocks feeding on mudflats at southern end of route, mouth of Simpson's Creek. RBME 1, OSPR 2, BAEA(juv) 1, SNEG 4, GREG 1.</t>
  </si>
  <si>
    <t>Big Talbot Island State Park - Spoonbill</t>
  </si>
  <si>
    <t>Cool, misty, overcast morning. Medium-sized mixed flocks foraging throughout Spoonbill Pond including 23 Avocet. GREG 3, HOME 9, SNEG 35, BEKI 1, OSPR 1, RBME 4, LBHE 1, BAEA 1, GBHE 1</t>
  </si>
  <si>
    <t>Dayson Basin Dredge Disposal Area Transect - Marine Corps Support Facility Blount Island</t>
  </si>
  <si>
    <t>Jay Gable, Tyler Duplaga</t>
  </si>
  <si>
    <t>jgable@mbakerintl.com</t>
  </si>
  <si>
    <t>Dayson Basin Marsh Transect - Marine Corps Support Facility Blount Island</t>
  </si>
  <si>
    <t>East Point Shoreline Transect - Marine Corps Support Facility Blount Island</t>
  </si>
  <si>
    <t>George Crady Fishing Bridge Pier State Park - Sawpit</t>
  </si>
  <si>
    <t>Allison Conboy, Ali Flisek</t>
  </si>
  <si>
    <t>Cool, sunny morning. Low tide survey, small mixed flocks feeding on shoreline mudflats and shoreline. OSPR 1, BAEA 1, GREG 3, GBHE 1, LBHE 1, BOGR 2, NOHA 1</t>
  </si>
  <si>
    <t xml:space="preserve">Huguenot Memorial Park </t>
  </si>
  <si>
    <t xml:space="preserve">Doris and Pat Leary </t>
  </si>
  <si>
    <t xml:space="preserve">prleary@bellsouth.net </t>
  </si>
  <si>
    <t>multiple roost flock from jetty north along ocean beach with largest flocks on bayside of north point  Blustery winds all survey. Male Lapland Longspur on NW shore near shorebirds   RBGU DB[622] on NW inlet shore</t>
  </si>
  <si>
    <t>Lake Tomroy-Pond AA, Pond C Transect - Marine Corps Support Facility Blount Island</t>
  </si>
  <si>
    <t>Little Talbot Island State Park</t>
  </si>
  <si>
    <t>Allison Conboy, Elise Pearlstine</t>
  </si>
  <si>
    <t>Cold, sunny morning. Low tide survey. Mixed flocks at north end of island feeding in mudflats and roosting on shoreline at east point. Larger flocks of REKN at north end and south end shoals. BAEA 1, HOME 5, COLO 1, OSPR 1, TUVU 1.</t>
  </si>
  <si>
    <t>Mayport south to Duval / St. Johns County line</t>
  </si>
  <si>
    <t>Lesley Royce, Stephen Klem</t>
  </si>
  <si>
    <t>lesley_royce@me.com</t>
  </si>
  <si>
    <t>Had a problem several times with people intentionally flushing birds on the beach.</t>
  </si>
  <si>
    <t>Pond A Transect - Marine Corps Support Facility Blount Island</t>
  </si>
  <si>
    <t>Pond B Transect - Marine Corps Support Facility Blount Island</t>
  </si>
  <si>
    <t>South Shore Transect - Marine Corps Support Facility Blount Island</t>
  </si>
  <si>
    <t>Big Sabine Point</t>
  </si>
  <si>
    <t>Escambia</t>
  </si>
  <si>
    <t>Caroline Stahala</t>
  </si>
  <si>
    <t>Gulf Islands National Seashore - Perdido Key</t>
  </si>
  <si>
    <t>Kris Dudus, Jennifer Manis</t>
  </si>
  <si>
    <t>jennifer_manis@nps.gov</t>
  </si>
  <si>
    <t>Gulf Islands National Seashore - Santa Rosa</t>
  </si>
  <si>
    <t>Kacey Srubas, Joe Burgess</t>
  </si>
  <si>
    <t>kacey_srubas@nps.gov</t>
  </si>
  <si>
    <t>X/G(O/R):X/X limping</t>
  </si>
  <si>
    <t>Gulf Islands National Seashore-Ft. Pickens</t>
  </si>
  <si>
    <t>Ashley Warren, Amber Rhodes</t>
  </si>
  <si>
    <t>ashley_warren@nps.gov</t>
  </si>
  <si>
    <t>Navarre Beach Gulf Side</t>
  </si>
  <si>
    <t>Navarre Beach Sound Side</t>
  </si>
  <si>
    <t>Pensacola Beach</t>
  </si>
  <si>
    <t>Robertson's Island (Sugar Island)</t>
  </si>
  <si>
    <t>Big Lagoon State Park</t>
  </si>
  <si>
    <t xml:space="preserve">Escambia </t>
  </si>
  <si>
    <t>Perdido Key Public Access - East</t>
  </si>
  <si>
    <t>Perdido Key State Park</t>
  </si>
  <si>
    <t>Flagler Pier north to Varn park</t>
  </si>
  <si>
    <t>Flagler</t>
  </si>
  <si>
    <t>Flagler Pier south to High Tides Rest.</t>
  </si>
  <si>
    <t>Gamble Rogers MSRA south to Flagler County line</t>
  </si>
  <si>
    <t>Jason DePue</t>
  </si>
  <si>
    <t>jason.depue@floridadep.gov</t>
  </si>
  <si>
    <t xml:space="preserve">Includes to the south side of North Peninsula State Park.  </t>
  </si>
  <si>
    <t>South boundry WOGSP north to county line</t>
  </si>
  <si>
    <t>Great day but very few birds.  Only surveyed within the park boundary</t>
  </si>
  <si>
    <t>Varn Park North to Washington Oaks SP</t>
  </si>
  <si>
    <t xml:space="preserve">Alligator Harbor North </t>
  </si>
  <si>
    <t>Franklin</t>
  </si>
  <si>
    <t>Marvin Friel</t>
  </si>
  <si>
    <t>Alligator Harbor South</t>
  </si>
  <si>
    <t>Alligator Point</t>
  </si>
  <si>
    <t>Michael Ferrara</t>
  </si>
  <si>
    <t>michael.ferrara@audubon.org</t>
  </si>
  <si>
    <t>1 TRHE, 1 GREG, 1 SNEG, 1 GBHE, 1 FICR</t>
  </si>
  <si>
    <t>Alligator Point - Mud Cove</t>
  </si>
  <si>
    <t>10 LESC, 1 GBHE</t>
  </si>
  <si>
    <t>Alligator Point Developed</t>
  </si>
  <si>
    <t>Although I didn't have time to survey, I scanned the route for Oystercatchers and did not see any.</t>
  </si>
  <si>
    <t>Alligator Point Docks</t>
  </si>
  <si>
    <t>GBHE 2, BEKI 3, SNEG 1, RBME 1, BUFF 1</t>
  </si>
  <si>
    <t>Apalachicola Breakwater</t>
  </si>
  <si>
    <t>Marvin Friel, Beth Wright</t>
  </si>
  <si>
    <t>Apalachicola Causeway</t>
  </si>
  <si>
    <t>Caity.reiland-Smith@myfwc.com</t>
  </si>
  <si>
    <t>Apalachicola River Delta</t>
  </si>
  <si>
    <t>see notes</t>
  </si>
  <si>
    <t>Not covered due to tide stage on day of survey</t>
  </si>
  <si>
    <t>Bald Point South</t>
  </si>
  <si>
    <t>Marianne Korosy</t>
  </si>
  <si>
    <t>mkorosy@gmail.com</t>
  </si>
  <si>
    <t>Bald Point State Park</t>
  </si>
  <si>
    <t>Carrabelle Beach</t>
  </si>
  <si>
    <t>Paul Wharton, Savannah Cantrell</t>
  </si>
  <si>
    <t>paul.wharton@myfwc.com</t>
  </si>
  <si>
    <t>very slow day.....where were the usual birds???</t>
  </si>
  <si>
    <t>Cat Point</t>
  </si>
  <si>
    <t>Caity.reiland-smith@myfwc.com</t>
  </si>
  <si>
    <t>Dog Island Franklin County</t>
  </si>
  <si>
    <t>Michael Ferrara, Cathy Ricketts</t>
  </si>
  <si>
    <t>Michael.ferrara@audubon.org</t>
  </si>
  <si>
    <t>4 GBHE, 2 SNEG, 1 COLO, 1 RBME, 30 BUFF. Relatively slow day</t>
  </si>
  <si>
    <t>Driftwood Point</t>
  </si>
  <si>
    <t>Ezra Thompson</t>
  </si>
  <si>
    <t>ezra.thompson@myfwc.com</t>
  </si>
  <si>
    <t>Eastpoint Breakwater</t>
  </si>
  <si>
    <t>Eastpoint Causeway</t>
  </si>
  <si>
    <t>Flag Island</t>
  </si>
  <si>
    <t>Michael Ferrara, Britt Brown</t>
  </si>
  <si>
    <t>Goose Island</t>
  </si>
  <si>
    <t>Horseshoe Island</t>
  </si>
  <si>
    <t>Paul Wharton</t>
  </si>
  <si>
    <t>zero Willets!?!?!?</t>
  </si>
  <si>
    <t>Indian Lagoon East</t>
  </si>
  <si>
    <t>L-Bar</t>
  </si>
  <si>
    <t>Lanark Reef</t>
  </si>
  <si>
    <t>Britt Brown, Nick Moore</t>
  </si>
  <si>
    <t>brittney.brown@myfwc.com</t>
  </si>
  <si>
    <t>Suspect counts are low due to explosion/sonic boom flushing birds at beginning of survey. (Also heard on Dog Island.) In addition, an adult bald eagle took a juvenile BRPE out of the sky and landed in a flock of MAGO + DUNL, they all flushed and dispersed. I have photos if needed.</t>
  </si>
  <si>
    <t>Little St. George Island</t>
  </si>
  <si>
    <t>Nick's Hole</t>
  </si>
  <si>
    <t>Beth Wright</t>
  </si>
  <si>
    <t>birdgirl7576@gmail.com</t>
  </si>
  <si>
    <t>Shell Point Cove</t>
  </si>
  <si>
    <t>Sikes Cut West St George Island Plantation</t>
  </si>
  <si>
    <t>James Hargrove, Dori Eldridge</t>
  </si>
  <si>
    <t>jhargrov@gmail.com</t>
  </si>
  <si>
    <t>We were surprised not to see more willets, sanderlings and turnstones.  We then walked from the Cut to 12th W, see next line.</t>
  </si>
  <si>
    <t>St George Island Plantation</t>
  </si>
  <si>
    <t>Beaches from Cut access path back to 12th W, several dog walkers</t>
  </si>
  <si>
    <t>St George Island Pubic, Lighthouse to 11th St E</t>
  </si>
  <si>
    <t>Betsy Nofziger &amp; Rebecca Dolan</t>
  </si>
  <si>
    <t>rdolan@butler.edu</t>
  </si>
  <si>
    <t>St. George Island Causeway</t>
  </si>
  <si>
    <t xml:space="preserve">1 AMOY with fishing line entanglement </t>
  </si>
  <si>
    <t>St. George State Park</t>
  </si>
  <si>
    <t>St. Vincent National Wildlife Refuge</t>
  </si>
  <si>
    <t>Kiara Valentine</t>
  </si>
  <si>
    <t>kvalentine@contractor.usgs.gov</t>
  </si>
  <si>
    <t>Towhead Flats</t>
  </si>
  <si>
    <t>Turkey Point</t>
  </si>
  <si>
    <t>Paul &amp; BeLinda Wharton</t>
  </si>
  <si>
    <t>very slow day at SummerCamp Beach; low tide was likely reason</t>
  </si>
  <si>
    <t>Yent Bayou</t>
  </si>
  <si>
    <t>1 mile east was a flock of 310 Willets, 70 Dunlin,25 Laughing gulls and 30 Ring-billed gulls</t>
  </si>
  <si>
    <t>Lake Okeechobee Indian Prairie 12:30-2:50PM by airboat</t>
  </si>
  <si>
    <t>Glades</t>
  </si>
  <si>
    <t>Paul Gray</t>
  </si>
  <si>
    <t>paul.gray@audubon.org</t>
  </si>
  <si>
    <t>Eglin AFB - Cape San Blas - Restricted</t>
  </si>
  <si>
    <t>Gulf</t>
  </si>
  <si>
    <t xml:space="preserve">Ricky Cassell </t>
  </si>
  <si>
    <t>Highland View</t>
  </si>
  <si>
    <t>1 COLO,TRSW ball, 1 MODV</t>
  </si>
  <si>
    <t>Indian Lagoon West</t>
  </si>
  <si>
    <t>St Joe Beach</t>
  </si>
  <si>
    <t>hundreds of TRSW EtoW, 1 BUFF, 1 COLO</t>
  </si>
  <si>
    <t>St. Joseph Bay - SE</t>
  </si>
  <si>
    <t>St. Joseph Peninsula State Park</t>
  </si>
  <si>
    <t>1 NOGA observed</t>
  </si>
  <si>
    <t>StJosephPen Restoration</t>
  </si>
  <si>
    <t>Janna Rinehart</t>
  </si>
  <si>
    <t>rinehartjanna@gmail.com</t>
  </si>
  <si>
    <t>Windmark Beach</t>
  </si>
  <si>
    <t>4 COLO, 1 OSPR, 59 BUFF, 1 GBHE, 100+TRSW swarm</t>
  </si>
  <si>
    <t>Stormwater Treatment Area-5/6</t>
  </si>
  <si>
    <t>Hendry</t>
  </si>
  <si>
    <t>Brian Garrett</t>
  </si>
  <si>
    <t>bgarret@sfwmd.gov</t>
  </si>
  <si>
    <t>Bayport by kayak</t>
  </si>
  <si>
    <t>Hernando</t>
  </si>
  <si>
    <t>Bayport Park</t>
  </si>
  <si>
    <t>Bev Hansen, Al Hansen</t>
  </si>
  <si>
    <t>bevalhansen@gmail.com</t>
  </si>
  <si>
    <t>9:40 a.m.</t>
  </si>
  <si>
    <t>Brookridge Sewage Treatment Facility</t>
  </si>
  <si>
    <t>Hernando Beach</t>
  </si>
  <si>
    <t>Stephen Mann, Jane Mann</t>
  </si>
  <si>
    <t>stephenmannwr5100@gmail.com</t>
  </si>
  <si>
    <t>0.7 low tide at mid-day.</t>
  </si>
  <si>
    <t>Pine Island Drive</t>
  </si>
  <si>
    <t>Pine Island Park</t>
  </si>
  <si>
    <t>8 a.m.</t>
  </si>
  <si>
    <t>incoming tide</t>
  </si>
  <si>
    <t>Scrub Pens Road, Highlands County</t>
  </si>
  <si>
    <t>Highlands</t>
  </si>
  <si>
    <t>3-D</t>
  </si>
  <si>
    <t>Hillsborough</t>
  </si>
  <si>
    <t>Lorraine Margeson, Jeff Liechty, Eric Plage</t>
  </si>
  <si>
    <t>USACE dredging work is currently taking place on the island</t>
  </si>
  <si>
    <t>Cockroach Bay FIeld Office</t>
  </si>
  <si>
    <t>Cypress Point Park</t>
  </si>
  <si>
    <t>Kara Cook</t>
  </si>
  <si>
    <t>kara.cook@audubon.org</t>
  </si>
  <si>
    <t>Not as many shorebirds as usual, tide was coming in. 1 group of non-focal species</t>
  </si>
  <si>
    <t>Egmont Key NWR and State Park</t>
  </si>
  <si>
    <t>Joyce Kleen</t>
  </si>
  <si>
    <t>joyce_kleen@fws.gov</t>
  </si>
  <si>
    <t>Good number of shorebirds!</t>
  </si>
  <si>
    <t>Picnic Island</t>
  </si>
  <si>
    <t>Very few birds, saw 1 dog in the water, multiple raccoon tracks and other dog tracks on the shoreline in areas that weren't the dog park. Tide was low rising. One OSPR nesting along route.</t>
  </si>
  <si>
    <t>Rock Ponds - Lavender Road</t>
  </si>
  <si>
    <t>Mary Barnwell, Bryce Moseley, Anthony Whitman, Bill Gowacki, Jessi Bowen</t>
  </si>
  <si>
    <t>much of previous sandy shoreline now densely vegetated with Paspalum vaginatum</t>
  </si>
  <si>
    <t>Wolf Branch</t>
  </si>
  <si>
    <t>Mary Barnwell, Bryce Moseley, Anthony Whitman, Bill Gowacki, Alan Weikle, Michael Tidwell</t>
  </si>
  <si>
    <t xml:space="preserve">Few shorebirds.  Mangrove recruitment continues to increase.  </t>
  </si>
  <si>
    <t>ACNWR Golden Sands-Ambersands</t>
  </si>
  <si>
    <t>Indian River</t>
  </si>
  <si>
    <t>Joey Pessolano</t>
  </si>
  <si>
    <t>liz@ecological-associates.com</t>
  </si>
  <si>
    <t>Disney Area Vero Beach, (John's Island to Wabasso Beach)</t>
  </si>
  <si>
    <t>Max Toebe</t>
  </si>
  <si>
    <t>Actual coordinates surveyed = 27.767938, -80.398978 to 27.677270, -80.362720 (southern boundary different then what is on route sheet)</t>
  </si>
  <si>
    <t>IR1-SL1</t>
  </si>
  <si>
    <t>SISP (South Sebastian Inlet-Ambersands)</t>
  </si>
  <si>
    <t>3 Turkey Vulture, 1 Snowy Egret, 2 Great Blue Heron</t>
  </si>
  <si>
    <t>South Indian River County</t>
  </si>
  <si>
    <t>Chelsey Petersen</t>
  </si>
  <si>
    <t>Actual coordinates surveyed = 27.677270, -80.362720 to 27.558670, -80.322120 (northern boundary different then what is on route sheet)</t>
  </si>
  <si>
    <t>St. Marks NWR (East)</t>
  </si>
  <si>
    <t>Jefferson</t>
  </si>
  <si>
    <t>Big Hickory Island</t>
  </si>
  <si>
    <t>Lee</t>
  </si>
  <si>
    <t>Bonita Beach</t>
  </si>
  <si>
    <t>Susan Valenti</t>
  </si>
  <si>
    <t>teacherdavies@yahoo.com</t>
  </si>
  <si>
    <t>Bunche Beach - main?</t>
  </si>
  <si>
    <t>Bunche Beach-Salt Flats</t>
  </si>
  <si>
    <t>Tyson Dallas</t>
  </si>
  <si>
    <t>tyson.dallas@myfwc.com</t>
  </si>
  <si>
    <t>2 reddish egrets and 5 tri-colored herons</t>
  </si>
  <si>
    <t>Captiva 1 (Blind Pass to Captiva Dr. SW)</t>
  </si>
  <si>
    <t>Audrey Albrecht, Megan Reed</t>
  </si>
  <si>
    <t>aalbrecht@sccf.org</t>
  </si>
  <si>
    <t>Captiva 2 (Captiva Dr. SW to North tip of Captiva)</t>
  </si>
  <si>
    <t>Cayo Costa State Park</t>
  </si>
  <si>
    <t>Samantha Spooner</t>
  </si>
  <si>
    <t>Samantha.Spooner@FloridaDEP.gov</t>
  </si>
  <si>
    <t>1 Reddish Egret; 1 Snowy Egret; 2 White Ibis; 5 Osprey; 4 Turkey Vultures. Multiple dog tracks along the route</t>
  </si>
  <si>
    <t>Estero Bay Preserve State Park- Winkler Point</t>
  </si>
  <si>
    <t>Audrey Albrecht, Susan Beittel</t>
  </si>
  <si>
    <t>unusually low number of birds present</t>
  </si>
  <si>
    <t>Estero Island, Ft. Myers Beach</t>
  </si>
  <si>
    <t>Penny Jarrett, Gloria Abramoff</t>
  </si>
  <si>
    <t>pjarrett32@yahoo.com</t>
  </si>
  <si>
    <t>FWC Signs telling  beachgoers to keep out of important bird area that have been added to sandbar (approx 26.4482, -81.9455) seem to be reducing the people running and walking thru the birds. Town Council approved the installation of the 4 signs. GREG - 1, SNEG - 2</t>
  </si>
  <si>
    <t>Gasparilla Island (Lee) excluding State Park</t>
  </si>
  <si>
    <t>Gasparilla Island State Park</t>
  </si>
  <si>
    <t>Karen Rogers, Allison Bowman, Sam Spooner, Karina Nieves, Rosalind Rowe</t>
  </si>
  <si>
    <t>Little Estero Critical Wildlife Area</t>
  </si>
  <si>
    <t>Lovers Key State Park</t>
  </si>
  <si>
    <t>Karen Rogers, Allison Bowman</t>
  </si>
  <si>
    <t>SNEG 1</t>
  </si>
  <si>
    <t>North Captiva</t>
  </si>
  <si>
    <t xml:space="preserve">Sanibel, Bowman's to Blind Pass </t>
  </si>
  <si>
    <t>Audrey Albrecht, Morgan Hester</t>
  </si>
  <si>
    <t>Sanibel, lighthouse to Tarpon Bay Rd.</t>
  </si>
  <si>
    <t>Audrey Albrecht, Wendy Kindig</t>
  </si>
  <si>
    <t>Sanibel, Tarpon Bay Rd. to Bowman's</t>
  </si>
  <si>
    <t>Cedar Key - East</t>
  </si>
  <si>
    <t>Levy</t>
  </si>
  <si>
    <t>Julia Magill, Joe Marchionno, Danielle Drumheller</t>
  </si>
  <si>
    <t>Julia.Magill@myfwc.com</t>
  </si>
  <si>
    <t>Cedar Key - West</t>
  </si>
  <si>
    <t>Janell Brush, Victoria Hawk, Bobbi Carpenter</t>
  </si>
  <si>
    <t>Janell.Brush@MyFWC.com</t>
  </si>
  <si>
    <t>Yankeetown</t>
  </si>
  <si>
    <t>Anna Maria Island</t>
  </si>
  <si>
    <t>Manatee</t>
  </si>
  <si>
    <t>Longboat Key North - Manatee</t>
  </si>
  <si>
    <t>Betty Steflik Preserve ICW and marsh</t>
  </si>
  <si>
    <t>Marion</t>
  </si>
  <si>
    <t>Blowing Rocks Preserve, Atlantic shoreline and the Lagoon Shoreline</t>
  </si>
  <si>
    <t>Martin</t>
  </si>
  <si>
    <t>Hobe Sound NWR</t>
  </si>
  <si>
    <t>1 Northern Gannet lying near wrack line.</t>
  </si>
  <si>
    <t>Jenson Beach (Ft. Pierce)</t>
  </si>
  <si>
    <t>Lakeside Ranch STA</t>
  </si>
  <si>
    <t>Natasha Warraich</t>
  </si>
  <si>
    <t>twarraic@sfwmd.gov</t>
  </si>
  <si>
    <t>Martin County IRL - ICW and Spoil Islands</t>
  </si>
  <si>
    <t>Martin County southern limit to Hobe Sound National Wildlife Refuge</t>
  </si>
  <si>
    <t>S. Hutchinson Island, (N End of St. Lucie Inlet, Sailfish Point to St. Lucie/Martin County Line)</t>
  </si>
  <si>
    <t>Liz Ranalli, Chelsey Petersen, Kayla Ward, Kinsey Thompson</t>
  </si>
  <si>
    <t>2 Reddish Egrets</t>
  </si>
  <si>
    <t>St. Lucie Inlet State Park (End of Hobe Sound National Wildlife Refuge to the S End of St. Lucie Intlet)</t>
  </si>
  <si>
    <t>Scott Tedford, Andy Flanner</t>
  </si>
  <si>
    <t>scott.tedford@floridadep.gov</t>
  </si>
  <si>
    <t>7 northern gannets fishing in surf area.  Red breasted merganser on inlet side. Great blue heron on jetty.</t>
  </si>
  <si>
    <t>C-44 STA</t>
  </si>
  <si>
    <t xml:space="preserve">Martin </t>
  </si>
  <si>
    <t>Bill Baggs Cape Florida State Park</t>
  </si>
  <si>
    <t>Miami-Dade</t>
  </si>
  <si>
    <t>E. Golden</t>
  </si>
  <si>
    <t>Elizabeth.Golden@dep.state.fl.us</t>
  </si>
  <si>
    <t>Biscayne National Park/ Convoy Point to Elliott Key Harbor, Boca Chita Key, and Elliott Key Oceanside beaches</t>
  </si>
  <si>
    <t xml:space="preserve">V.Walsh, M. Wagner </t>
  </si>
  <si>
    <t>Vanessa_Walsh@NPS.gov</t>
  </si>
  <si>
    <t xml:space="preserve">Seas to rough to go to Elliott Beaches </t>
  </si>
  <si>
    <t>Crandon Park Beach</t>
  </si>
  <si>
    <t>M. Avello, M. Davis</t>
  </si>
  <si>
    <t>miriam.y.avello@gmail.com</t>
  </si>
  <si>
    <t>Fisher Island Main Beach</t>
  </si>
  <si>
    <t>North Biscayne Bay Islands</t>
  </si>
  <si>
    <t>L.Eldredge, C. Burgett</t>
  </si>
  <si>
    <t>Biscayne.Bay@FloridaDEP.gov</t>
  </si>
  <si>
    <t>Village of Key Biscayne</t>
  </si>
  <si>
    <t>The brown pelicans and the cormorants were foraging just off-shore or were perched on pilings.</t>
  </si>
  <si>
    <t>Virginia Key</t>
  </si>
  <si>
    <t>R. Zambrano, K. Rigano</t>
  </si>
  <si>
    <t xml:space="preserve">Ricardo.Zambrano@MyFWC.com </t>
  </si>
  <si>
    <t xml:space="preserve">Survey route included Fisher Island and Miami Beach Marina </t>
  </si>
  <si>
    <t>Bahia Honda State Park</t>
  </si>
  <si>
    <t>Monroe</t>
  </si>
  <si>
    <t>J. Duquesnel, P. Smith</t>
  </si>
  <si>
    <t>Janice.Duquesnel@dep.state.fl.us</t>
  </si>
  <si>
    <t>Boca Chica Beach</t>
  </si>
  <si>
    <t>Kevin Christman</t>
  </si>
  <si>
    <t>KevinWChristman@gmail.com</t>
  </si>
  <si>
    <t>People 23, dogL 2, dogU 5, bikes 4.</t>
  </si>
  <si>
    <t>Cocoplum Beach -- Fat Deer Key</t>
  </si>
  <si>
    <t>Kevin Christman, Christina Wilson</t>
  </si>
  <si>
    <t xml:space="preserve">People 27, DogL 2, DogU 6. </t>
  </si>
  <si>
    <t>Curry Hammock State Park</t>
  </si>
  <si>
    <t>Janice Duquesnel</t>
  </si>
  <si>
    <t>Dagny Johnson KLHBSP - boat rout</t>
  </si>
  <si>
    <t>Dagny Johnson KLHBSP - landbase</t>
  </si>
  <si>
    <t>Dry Tortugas National Park - Loggerhead Key</t>
  </si>
  <si>
    <t>Dry Tortugas National Park -Bush and Long Key</t>
  </si>
  <si>
    <t>Everglades City to Pavilion Key</t>
  </si>
  <si>
    <t>Flamingo Area, Everglades National Park</t>
  </si>
  <si>
    <t>Ft. Taylor State Park</t>
  </si>
  <si>
    <t>Grassy Key</t>
  </si>
  <si>
    <t>Highland Beach</t>
  </si>
  <si>
    <t>John Pennekamp CRSP - boat route</t>
  </si>
  <si>
    <t>John Pennekamp CRSP - landbase</t>
  </si>
  <si>
    <t>Key West National Wildlife Refuge - Key West to Marquesas</t>
  </si>
  <si>
    <t>R. Zambrano, K. Rigano, B. Saftoiu, A.Fisher</t>
  </si>
  <si>
    <t>2 MAFR</t>
  </si>
  <si>
    <t>Lake Ingraham , Sandy and Carl Ross Keys</t>
  </si>
  <si>
    <t>Long Beach Trail -- Key Deer NWR</t>
  </si>
  <si>
    <t>MAFR 1</t>
  </si>
  <si>
    <t>Long Key State Park</t>
  </si>
  <si>
    <t>J. Duquesnel, C. Guillame</t>
  </si>
  <si>
    <t>Lower Sugarloaf Key -- Lagoon</t>
  </si>
  <si>
    <t>North Ramrod Key</t>
  </si>
  <si>
    <t xml:space="preserve">Dog track 1. </t>
  </si>
  <si>
    <t>Ohio Key</t>
  </si>
  <si>
    <t>People 17. kayak 4, dogU 1, dog tracks 3</t>
  </si>
  <si>
    <t>Snake Bight (Everglades National Park)</t>
  </si>
  <si>
    <t>Amelia Island State Park</t>
  </si>
  <si>
    <t>Nassau</t>
  </si>
  <si>
    <t xml:space="preserve">Cool, cloudy afternoon with breeze off the coast. Incoming tide. Aggregations of birds at southern point and northern boundary of the park. GBHE 2, GREG 2, BAEA 1, BOGR 5. </t>
  </si>
  <si>
    <t>Amelia River ICW</t>
  </si>
  <si>
    <t xml:space="preserve">Neap tide high (poor conditions for concentrating birds) several flushes off dock with departures. BAEA disturbance  </t>
  </si>
  <si>
    <t>Fort Clinch State Park</t>
  </si>
  <si>
    <t>J, Allgood</t>
  </si>
  <si>
    <t>jason.allgood@floridadep.gov</t>
  </si>
  <si>
    <t>30.7027, 81.4261 BSK, Ongoing beach renurishment program</t>
  </si>
  <si>
    <t>Ft. Clinch to Peter's Point</t>
  </si>
  <si>
    <t>Bill George and Cathy Ryckman</t>
  </si>
  <si>
    <t>birdbill5@aol.com</t>
  </si>
  <si>
    <t xml:space="preserve">Lt. Tiger Island to Nassau Sound </t>
  </si>
  <si>
    <t>Nassau - Duval Counties</t>
  </si>
  <si>
    <t>Eglin AFB - South Restricted</t>
  </si>
  <si>
    <t>Okaloosa</t>
  </si>
  <si>
    <t>Christina Meyer, Carrie Zevetchin</t>
  </si>
  <si>
    <t>christina.meyer.4.ctr@us.af.mil</t>
  </si>
  <si>
    <t>Eglin Public</t>
  </si>
  <si>
    <t>Kathy Gault</t>
  </si>
  <si>
    <t>kathleen.gault@us.af.mil</t>
  </si>
  <si>
    <t>Eglin Restricted North</t>
  </si>
  <si>
    <t>Henderson SP</t>
  </si>
  <si>
    <t>Lake Okeechobee: Clif Betts Park</t>
  </si>
  <si>
    <t>Okeechobee</t>
  </si>
  <si>
    <t xml:space="preserve">Paul Gray </t>
  </si>
  <si>
    <t>Lake Okeechobee Buckhead Ridge Marsh 2:50-3:10 by airboat</t>
  </si>
  <si>
    <t>Lake Okeechobee OkeeTantie Marsh</t>
  </si>
  <si>
    <t>Nubbin Slough STA</t>
  </si>
  <si>
    <t>Taylor Creek STA</t>
  </si>
  <si>
    <t>A1-FEB</t>
  </si>
  <si>
    <t>Palm Beach</t>
  </si>
  <si>
    <t>Atlantic Dunes Park to Palm Beach (Monceau Court)</t>
  </si>
  <si>
    <t>Thomas Steinhoff,
 Emma Rimmer</t>
  </si>
  <si>
    <t>tsteinhoff@pbcgov.org</t>
  </si>
  <si>
    <t>Bingham Islands (Fishermans to Hunters)</t>
  </si>
  <si>
    <t>Boca Raton - North &amp; Central</t>
  </si>
  <si>
    <t>David Anderson &amp; Rebecca Germany</t>
  </si>
  <si>
    <t>manderson@myboca.us</t>
  </si>
  <si>
    <t>Boca Raton - South</t>
  </si>
  <si>
    <t>Breakers Resort to Palm Beach Inlet</t>
  </si>
  <si>
    <t>Central Lake Worth Lagoon - Bryant Park to Royal Palm Bridge</t>
  </si>
  <si>
    <t>Central Lake Worth Lagoon - Ibis Isle to Lantana</t>
  </si>
  <si>
    <t>David Carson, Carolyn Beisner, Katelyn Armstrong</t>
  </si>
  <si>
    <t>City of Delray Beach</t>
  </si>
  <si>
    <t>John D. MacArthur Beach State Park</t>
  </si>
  <si>
    <t>Scott Tedford</t>
  </si>
  <si>
    <t>Jupiter &amp; Juno Beach: Jupiter Inlet to northern boundary of John D. MacArthur Beach State Park</t>
  </si>
  <si>
    <t>Jen Reilly</t>
  </si>
  <si>
    <t>jreilly@marinelife.org</t>
  </si>
  <si>
    <t>Lake Worth Inlet North Jetty</t>
  </si>
  <si>
    <t>Lake Worth Lagoon - Ibis Island to Peanut Island</t>
  </si>
  <si>
    <t>Mayra Ashton and Beth Orlando</t>
  </si>
  <si>
    <t>mashton@pbcgov.org</t>
  </si>
  <si>
    <t>Lake Worth Lagoon - Peanut Island to Munyon Island</t>
  </si>
  <si>
    <t>Lake Worth Lagoon South- Lantana to Boynton bridge</t>
  </si>
  <si>
    <t>Paul Davis</t>
  </si>
  <si>
    <t>pwdavis9@gmail.com</t>
  </si>
  <si>
    <t>Palm Beach (Monceau Court) to Breakers Resort</t>
  </si>
  <si>
    <t>Thomas Steinhoff, 
Emma Rimmer</t>
  </si>
  <si>
    <t>Palm Beach Shores: south boundary of John D. MacArthur Beach State Park to Palm Beach Inlet</t>
  </si>
  <si>
    <t>Peanut Island</t>
  </si>
  <si>
    <t>Theresa Alderman,Phil Thornburg</t>
  </si>
  <si>
    <t>Southern Causeway</t>
  </si>
  <si>
    <t>Stormwater Treatment Area-1E</t>
  </si>
  <si>
    <t>Stormwater Treatment Area-1W</t>
  </si>
  <si>
    <t>Stormwater Treatment Area-2</t>
  </si>
  <si>
    <t>Stormwater Treatment Area-3/4</t>
  </si>
  <si>
    <t>Tequesta Beach: Martin County Line to Jupiter Inlet</t>
  </si>
  <si>
    <t>Anclote Key North (Pasco)</t>
  </si>
  <si>
    <t>Pasco</t>
  </si>
  <si>
    <t>Dan Larremore, Brooke Hogrefe, Dave Perkey</t>
  </si>
  <si>
    <t xml:space="preserve">Daniel.Larremore@dep.state.fl.us </t>
  </si>
  <si>
    <t>Hudson Beach</t>
  </si>
  <si>
    <t>Key Vista</t>
  </si>
  <si>
    <t>North Anclote Bar</t>
  </si>
  <si>
    <t>shoal mostly submerged, no small shorebirds observed</t>
  </si>
  <si>
    <t>Robert K. Rees Memorial Park - Green Key</t>
  </si>
  <si>
    <t>Christine Rowland &amp; Pat Goldberg</t>
  </si>
  <si>
    <t>Christirow@aol.com</t>
  </si>
  <si>
    <t>Sand Bay</t>
  </si>
  <si>
    <t>Sunwest Park</t>
  </si>
  <si>
    <t>C. Rowland, B.Morgan &amp; P. Goldberg</t>
  </si>
  <si>
    <t>Anclote Key South (Pinellas)</t>
  </si>
  <si>
    <t>Pinellas</t>
  </si>
  <si>
    <t xml:space="preserve">Dan Larremore </t>
  </si>
  <si>
    <t>Caladesi Island State Park</t>
  </si>
  <si>
    <t>Dan Larremore, Dave Perkey</t>
  </si>
  <si>
    <t>outgoing mid tide. most of the larids were out on the far mudflats</t>
  </si>
  <si>
    <t>Clearwater Beach - North</t>
  </si>
  <si>
    <t>Holley Short</t>
  </si>
  <si>
    <t>holley.short@audubon.org</t>
  </si>
  <si>
    <t>Clearwater Beach - South</t>
  </si>
  <si>
    <t>Clearwater Point</t>
  </si>
  <si>
    <t>Wendy Meehan</t>
  </si>
  <si>
    <t>tiffydog96@gmail.com</t>
  </si>
  <si>
    <t>Courtney Campbell Causeway (Pinellas)</t>
  </si>
  <si>
    <t>Robert Lane, Denise Lane</t>
  </si>
  <si>
    <t>ohiomagpie@hotmail.com</t>
  </si>
  <si>
    <t>overcast</t>
  </si>
  <si>
    <t>Fort De Soto Park North</t>
  </si>
  <si>
    <t>Lorraine Margeson</t>
  </si>
  <si>
    <t>donlocomm@aol.com</t>
  </si>
  <si>
    <t>Fred Howard Park</t>
  </si>
  <si>
    <t>C. Rowland, P. Graber, J &amp; M Hubbard, P. Goldberg, K. Brenner</t>
  </si>
  <si>
    <t>Surprisingly low numbers - easterly wind may have made the southeast beach far less hospitable than usual.</t>
  </si>
  <si>
    <t>Ft. De Soto Park East (Bay Pier to East Beach)</t>
  </si>
  <si>
    <t>Tol &amp; Lindsay Bell</t>
  </si>
  <si>
    <t>tandl1621@gmail.com</t>
  </si>
  <si>
    <t>ooo</t>
  </si>
  <si>
    <t>Ft. De Soto Park West</t>
  </si>
  <si>
    <t>Alexa DeJoannis</t>
  </si>
  <si>
    <t>alexa.dejoannis@myfwc.com</t>
  </si>
  <si>
    <t>large group of birds at 27.6116699, -82.7346599</t>
  </si>
  <si>
    <t>Gandy (Pinellas portion)</t>
  </si>
  <si>
    <t>Kathleen Clas</t>
  </si>
  <si>
    <t>Kathleen.clas@gmail.com</t>
  </si>
  <si>
    <t>Gulfport</t>
  </si>
  <si>
    <t>Honeymoon Island State Park</t>
  </si>
  <si>
    <t>Bob Lane, Denise Lane, Isabelle Atchia</t>
  </si>
  <si>
    <t>Indian Rocks Beach 22nd Ave-Whitehurst Ave</t>
  </si>
  <si>
    <t>Cuneyt Yilmaz</t>
  </si>
  <si>
    <t>cnytyz@gmail.com</t>
  </si>
  <si>
    <t>Indian Shores</t>
  </si>
  <si>
    <t>Lassing Park, St Petersburg</t>
  </si>
  <si>
    <t>cormorants at Navy docks</t>
  </si>
  <si>
    <t>North Redington Beach &amp; Redington Shores</t>
  </si>
  <si>
    <t>Kara.cook@audubon.org</t>
  </si>
  <si>
    <t>North Shore Park, St Petersburg</t>
  </si>
  <si>
    <t>peeps IDed as SESA- small bills, indeterminitely streaky chests; one banded BLSK: green B42</t>
  </si>
  <si>
    <t>Outback Key</t>
  </si>
  <si>
    <t>Pass-a-Grille, St. Pete Beach</t>
  </si>
  <si>
    <t>large group of birds at 27.6929574, -82.7383073</t>
  </si>
  <si>
    <t>Pinellas County Bellaire Causeway Boat Ramp</t>
  </si>
  <si>
    <t>Pinellas Point</t>
  </si>
  <si>
    <t>Peter Plage</t>
  </si>
  <si>
    <t>peter.plage@gmail.com</t>
  </si>
  <si>
    <t>Redington Beach &amp; Mediera Beach</t>
  </si>
  <si>
    <t>2 flagged REKN, mint color - too dark to read</t>
  </si>
  <si>
    <t>Sand Key Park south through Belleair Shore</t>
  </si>
  <si>
    <t>tiffydog96@gmauil.com</t>
  </si>
  <si>
    <t>Shell Key Preserve</t>
  </si>
  <si>
    <t>Holley Short, Eric Teitelbaum</t>
  </si>
  <si>
    <t>difficult to survey the flats behind Shell Key Preserve; low, rising tide; survey from boat.</t>
  </si>
  <si>
    <t>St Pete Beach</t>
  </si>
  <si>
    <t>Kara Cook, Christen Cerrito</t>
  </si>
  <si>
    <t>3 different dog tracks, 1 set of house cat tracks down by the water line, 120 people walking the route. Non-focal species groups listed on focal observations.</t>
  </si>
  <si>
    <t>Three Rooker North Island</t>
  </si>
  <si>
    <t>DLarremore, LKinney, DPerkey</t>
  </si>
  <si>
    <t>daniel.larremore@floridadep.gov</t>
  </si>
  <si>
    <t>Three Rooker South Island</t>
  </si>
  <si>
    <t>SMann, JMann, BLane, DLane</t>
  </si>
  <si>
    <t>Treasure Island - North</t>
  </si>
  <si>
    <t>Treasure Island - South</t>
  </si>
  <si>
    <t>Casey Key</t>
  </si>
  <si>
    <t>Sarasota</t>
  </si>
  <si>
    <t>Casey Key (mid-section)</t>
  </si>
  <si>
    <t>Casperson Beach</t>
  </si>
  <si>
    <t>Peg Magee, Eileen Gerle</t>
  </si>
  <si>
    <t>z4539pr@msn.com</t>
  </si>
  <si>
    <t>Lido Key</t>
  </si>
  <si>
    <t>Stu Wilson, Cathy Paris</t>
  </si>
  <si>
    <t>stuwilson@comcast.net</t>
  </si>
  <si>
    <t>Longboat Key South (Sarasota)</t>
  </si>
  <si>
    <t>Stu Wilson</t>
  </si>
  <si>
    <t>Manasota Key south from S, Brohard Park to county line. Subdivide if apprpriate but submit as one.</t>
  </si>
  <si>
    <t>Curt Lundeen, Pam Lundeen</t>
  </si>
  <si>
    <t>flalundeens@gmail.com</t>
  </si>
  <si>
    <t>Also 5 Rock Doves. The Rock Doves and most of Laughing Gulls, Ring-billed Gulls, Ruddy Turnstones, and Sanderlings were congregated at Manasota Beach Park where people were feeding them.</t>
  </si>
  <si>
    <t>Siesta Beach- North of Public beach to Sunset Point Beach</t>
  </si>
  <si>
    <t>C. Herzog N. Edmondson</t>
  </si>
  <si>
    <t>ceherzog@gmail.com</t>
  </si>
  <si>
    <t>)</t>
  </si>
  <si>
    <t>Siesta Beach, Point of Rocks through Siesta Public Beach</t>
  </si>
  <si>
    <t>C. Herzog N.Edmondson</t>
  </si>
  <si>
    <t>Turtle Beach</t>
  </si>
  <si>
    <t>Venice Beach from Jetty south through South Brohard Park</t>
  </si>
  <si>
    <t>Venice South Jetty to Venice Beach</t>
  </si>
  <si>
    <t>Casey Key North</t>
  </si>
  <si>
    <t xml:space="preserve">Sarasota </t>
  </si>
  <si>
    <t>Casey Key South</t>
  </si>
  <si>
    <t>Anastasia State Park Back Bay</t>
  </si>
  <si>
    <t>St. Johns</t>
  </si>
  <si>
    <t>Jason DePue, Susan Killeen</t>
  </si>
  <si>
    <t>mypuffins@gmail.com</t>
  </si>
  <si>
    <t>Fewer birds observed than expected.</t>
  </si>
  <si>
    <t>Anastasia State Park Beach</t>
  </si>
  <si>
    <t>Duval County Line to Mickler's Landing</t>
  </si>
  <si>
    <t>Sara Perez</t>
  </si>
  <si>
    <t>sperez@sjcfl.us</t>
  </si>
  <si>
    <t>Fort Matanzas National Monument</t>
  </si>
  <si>
    <t>P.Cook,K.Foote,L.Schlindler,D.Winikainen</t>
  </si>
  <si>
    <t>irateparrot@aol.com</t>
  </si>
  <si>
    <t>GTMNERR S. Boundary to Vilano Jetties</t>
  </si>
  <si>
    <t>Jade O'Neill</t>
  </si>
  <si>
    <t>joneill@sjcfl.us</t>
  </si>
  <si>
    <t>Matanzas Inlet South to Flagler County Line</t>
  </si>
  <si>
    <t>P.Cook,D.Winikainen,P&amp;PKleinsasser</t>
  </si>
  <si>
    <t>Matanzas River to Inlet</t>
  </si>
  <si>
    <t>Janell Brush, Julia Magill, Bobbi Carpenter, Blair Hayman</t>
  </si>
  <si>
    <t>Mickler's Landing to GTMNERR N. Boundary</t>
  </si>
  <si>
    <t>SJC Managed Beach (ASP to FtM)</t>
  </si>
  <si>
    <t>Tara Dodson</t>
  </si>
  <si>
    <t>tdodson@sjcfl.us</t>
  </si>
  <si>
    <t>Tolomato River/Julia's Island</t>
  </si>
  <si>
    <t>Ariam Jimenez, Joe Marchionno, Victoria Hawk</t>
  </si>
  <si>
    <t>Ariam Jimenez@myfwc.com</t>
  </si>
  <si>
    <t>Weff Rd / Palmetto Rd</t>
  </si>
  <si>
    <t>P.Cook, D.WiniKainen,P&amp;PKleinsasser, L.Schlindler</t>
  </si>
  <si>
    <t>Avalon State Park</t>
  </si>
  <si>
    <t>St. Lucie</t>
  </si>
  <si>
    <t>1 northern gannet in flight</t>
  </si>
  <si>
    <t>Fort Pierce Inlet State Park.</t>
  </si>
  <si>
    <t>Ft. Pierce Shore Protection Project</t>
  </si>
  <si>
    <t>Lauren Maline</t>
  </si>
  <si>
    <t>2 Turkey Vulture</t>
  </si>
  <si>
    <t>N. Hutchinson Island (north of John Brooks Beachside Park)</t>
  </si>
  <si>
    <t>S. Hutchinson Island, (St. Lucie/Martin County Line to Normandy Beach)</t>
  </si>
  <si>
    <t>Liz Ranalli</t>
  </si>
  <si>
    <t>St. Lucie Power Plant</t>
  </si>
  <si>
    <t>Ryan Welsh</t>
  </si>
  <si>
    <t>rwelsh@inwater.org</t>
  </si>
  <si>
    <t>Big Bend WMA: Hickory Mound</t>
  </si>
  <si>
    <t>Taylor</t>
  </si>
  <si>
    <t>Rebecca Doane, Danielle Drumheller</t>
  </si>
  <si>
    <t>rebecca.doane@myfwc.com</t>
  </si>
  <si>
    <t>Big Bend WMA: Tide Swamp-- Hagen's Cove</t>
  </si>
  <si>
    <t>Keaton Beach</t>
  </si>
  <si>
    <t>Bonnie Samuelsen</t>
  </si>
  <si>
    <t>adventureflorida@aol.com</t>
  </si>
  <si>
    <t>start: 29.81827, -83.5933, end: 29.81867, -83.5945</t>
  </si>
  <si>
    <t>CANA Apollo Beach</t>
  </si>
  <si>
    <t>Volusia</t>
  </si>
  <si>
    <t>Mike Daley, Ed Carlson</t>
  </si>
  <si>
    <t>miked129e@gmail.com</t>
  </si>
  <si>
    <t>CANA Apollo Playalinda</t>
  </si>
  <si>
    <t>Dunlawton Bridge to Ponce Inlet on ICW</t>
  </si>
  <si>
    <t>Jennifer Winters, Michael Brothers, Alexa Putillo</t>
  </si>
  <si>
    <t>jwinters@volusia.org</t>
  </si>
  <si>
    <t>Dunlawton ICW north to Highbridge</t>
  </si>
  <si>
    <t>IRL accesses on Riverside Dr and US 1 from South of Brannon Center to Riverbreeze Park</t>
  </si>
  <si>
    <t>Bobbie Goldman, Paula Nichols, Richard Fasse</t>
  </si>
  <si>
    <t>bobbieg082@gmail.com</t>
  </si>
  <si>
    <t>Cloudy and cool.  Start GPS 29.0254320/-80.9201257 and end GPS 28.8971857/-80.85229943</t>
  </si>
  <si>
    <t>IRL East Sde, CANA to S. Causeway</t>
  </si>
  <si>
    <t>MLAP/IR Lagoon</t>
  </si>
  <si>
    <t>New Smyrna Beach 27th Avenue Park to CANA</t>
  </si>
  <si>
    <t>John Kendall</t>
  </si>
  <si>
    <t>jeffro595@yahoo.com</t>
  </si>
  <si>
    <t>low tide strong NNW winds blowing slightly offshore kept water offshore but too windy for alot of bird feeding activity</t>
  </si>
  <si>
    <t>New Smyrna Beach jetty at Ponce Inlet south to 27th Avenue ramp</t>
  </si>
  <si>
    <t>New Smyrna Beach, S. Causeway to NSB Coast Guard Station, Ponce Inlet</t>
  </si>
  <si>
    <t>North Peninsula South Boundary north to Flagler County Line (Beachside)</t>
  </si>
  <si>
    <t>data combined with Gamble Rogers south to Flagler line</t>
  </si>
  <si>
    <t>Ponce Inlet Parks shorelines and Disappearing Islands</t>
  </si>
  <si>
    <t>Ryan Chabot, Jaymie Reneker, Nicole Weiss</t>
  </si>
  <si>
    <t>rchabot@volusia.org</t>
  </si>
  <si>
    <t>Riverbreeze park south to Seminole Rest</t>
  </si>
  <si>
    <t>Volusia County Atlantic Coast, North Peninsula South Boundary south to north side of Ponce Inlet</t>
  </si>
  <si>
    <t>Joan Tague, Catherine Goodman</t>
  </si>
  <si>
    <t>babyowl@mac.com</t>
  </si>
  <si>
    <t>No birds on beach at Frank Rendon Park at 4PM - Tide situation sent birds straight to ocean in the afternoon. One Purple Sandpiper recorded on the beach side North Jetty in Ponce Park. Also on beach - 1 Great Egret, 21 Snowy Egret, 1 Rock Pigeon</t>
  </si>
  <si>
    <t>Mashes Sands Cty Park</t>
  </si>
  <si>
    <t>Wakulla</t>
  </si>
  <si>
    <t>SMNWR Interior Pools</t>
  </si>
  <si>
    <t>Don Morrow</t>
  </si>
  <si>
    <t>donaldcmorrow@gmail.com</t>
  </si>
  <si>
    <t>St Marks NWR - West</t>
  </si>
  <si>
    <t>Big Redfish Lake</t>
  </si>
  <si>
    <t>Walton</t>
  </si>
  <si>
    <t>Deer Lake State Park</t>
  </si>
  <si>
    <t>Draper Lake</t>
  </si>
  <si>
    <t>Eastern Lake Outfall</t>
  </si>
  <si>
    <t>Grayton Beach State Park</t>
  </si>
  <si>
    <t>Topsail Hill State Park</t>
  </si>
  <si>
    <t>Watersound</t>
  </si>
  <si>
    <t>St. George Island Public- 12th St. W to the lighthouse</t>
  </si>
  <si>
    <t>Eric Setterberg</t>
  </si>
  <si>
    <t>h2oman47@mac.com</t>
  </si>
  <si>
    <t>45-55F</t>
  </si>
  <si>
    <t xml:space="preserve">No focal species observed. </t>
  </si>
  <si>
    <t>Gray Ranch</t>
  </si>
  <si>
    <t>Hardee</t>
  </si>
  <si>
    <t>complete survey</t>
  </si>
  <si>
    <t>Port Tampa Bay and McKay Bay</t>
  </si>
  <si>
    <t>Jeff LIechty</t>
  </si>
  <si>
    <t>jliechty@audubon.org</t>
  </si>
  <si>
    <t>low rising tide.</t>
  </si>
  <si>
    <t>Alafia Bank CWA</t>
  </si>
  <si>
    <t>mid rising tide. DCCO nesting.</t>
  </si>
  <si>
    <t>Hillsboro Beach</t>
  </si>
  <si>
    <t>Rick Newman</t>
  </si>
  <si>
    <t>Light Rain</t>
  </si>
  <si>
    <t>Comlete Survey</t>
  </si>
  <si>
    <t>Surveyed R 10.0 (26.29647, -80.07773) to R 6 (26.30742, -80.07642)</t>
  </si>
  <si>
    <t>Indian Pass</t>
  </si>
  <si>
    <t>Shired Creek</t>
  </si>
  <si>
    <t xml:space="preserve">Mouth of Shired Creek; beach south to end of campground; wetland behind beach. start: 29.39976, -83.20876  (NE oysterbar at mouth of shired creek) end: 29.39303, -83.20216 (end of beach south of campground)
</t>
  </si>
  <si>
    <t>Point -----------------------------------&gt;</t>
  </si>
  <si>
    <t>Latitude (point 1)</t>
  </si>
  <si>
    <t>Longitude (point 1)</t>
  </si>
  <si>
    <t>Number of American Oystercatcers (point 1)</t>
  </si>
  <si>
    <t>AMOY Band/Flag Codes (point 1)</t>
  </si>
  <si>
    <t>Number of Black Skimmers (point 1)</t>
  </si>
  <si>
    <t>BLSK Band/Flag Codes (point 1)</t>
  </si>
  <si>
    <t>Number of Piping Plovers (point 1)</t>
  </si>
  <si>
    <t>PIPL Band/Flag Codes (point 1)</t>
  </si>
  <si>
    <t>Number of Red Knots (point 1)</t>
  </si>
  <si>
    <t>REKN Band/Flag Codes (point 1)</t>
  </si>
  <si>
    <t>Number of Snowy Plovers (point 1)</t>
  </si>
  <si>
    <t>SNPL Band/Flag Codes (point 1)</t>
  </si>
  <si>
    <t>Number of Wilson's Plovers (point 1)</t>
  </si>
  <si>
    <t>WIPL Band/Flag Codes (point 1)</t>
  </si>
  <si>
    <t>Any other non-focal species you want to include and information about bands (point 1)</t>
  </si>
  <si>
    <t>Latitude (point 2)</t>
  </si>
  <si>
    <t>Longitude (point 2)</t>
  </si>
  <si>
    <t>Number of American Oystercatcers (point 2)</t>
  </si>
  <si>
    <t>AMOY Band/Flag Codes (point 2)</t>
  </si>
  <si>
    <t>Number of Black Skimmers (point 2)</t>
  </si>
  <si>
    <t>BLSK Band/Flag Codes (point 2)</t>
  </si>
  <si>
    <t>Number of Piping Plovers (point 2)</t>
  </si>
  <si>
    <t>PIPL Band/Flag Codes (point 2)</t>
  </si>
  <si>
    <t>Number of Red Knots (point 2)</t>
  </si>
  <si>
    <t>REKN Band/Flag Codes (point 2)</t>
  </si>
  <si>
    <t>Number of Snowy Plovers (point 2)</t>
  </si>
  <si>
    <t>SNPL Band/Flag Codes (point 2)</t>
  </si>
  <si>
    <t>Number of Wilson's Plovers (point 2)</t>
  </si>
  <si>
    <t>WIPL Band/Flag Codes (point 2)</t>
  </si>
  <si>
    <t>Any other non-focal species you want to include and information about bands (point 2)</t>
  </si>
  <si>
    <t>Latitude (point 3)</t>
  </si>
  <si>
    <t>Longitude (point 3)</t>
  </si>
  <si>
    <t>Number of American Oystercatcers (point 3)</t>
  </si>
  <si>
    <t>AMOY Band/Flag Codes (point 3)</t>
  </si>
  <si>
    <t>Number of Black Skimmers (point 3)</t>
  </si>
  <si>
    <t>BLSK Band/Flag Codes (point 3)</t>
  </si>
  <si>
    <t>Number of Piping Plovers (point 3)</t>
  </si>
  <si>
    <t>PIPL Band/Flag Codes (point 3)</t>
  </si>
  <si>
    <t>Number of Red Knots (point 3)</t>
  </si>
  <si>
    <t>REKN Band/Flag Codes (point 3)</t>
  </si>
  <si>
    <t>Number of Snowy Plovers (point 3)</t>
  </si>
  <si>
    <t>SNPL Band/Flag Codes (point 3)</t>
  </si>
  <si>
    <t>Number of Wilson's Plovers (point 3)</t>
  </si>
  <si>
    <t>WIPL Band/Flag Codes (point 3)</t>
  </si>
  <si>
    <t>Any other non-focal species you want to include and information about bands (point 3)</t>
  </si>
  <si>
    <t>Latitude (point 4)</t>
  </si>
  <si>
    <t>Longitude (point 4)</t>
  </si>
  <si>
    <t>Number of American Oystercatcers (point 4)</t>
  </si>
  <si>
    <t>AMOY Band/Flag Codes (point 4)</t>
  </si>
  <si>
    <t>Number of Black Skimmers (point 4)</t>
  </si>
  <si>
    <t>BLSK Band/Flag Codes (point 4)</t>
  </si>
  <si>
    <t>Number of Piping Plovers (point 4)</t>
  </si>
  <si>
    <t>PIPL Band/Flag Codes (point 4)</t>
  </si>
  <si>
    <t>Number of Red Knots (point 4)</t>
  </si>
  <si>
    <t>REKN Band/Flag Codes (point 4)</t>
  </si>
  <si>
    <t>Number of Snowy Plovers (point 4)</t>
  </si>
  <si>
    <t>SNPL Band/Flag Codes (point 4)</t>
  </si>
  <si>
    <t>Number of Wilson's Plovers (point 4)</t>
  </si>
  <si>
    <t>WIPL Band/Flag Codes (point 4)</t>
  </si>
  <si>
    <t>Any other non-focal species you want to include and information about bands (point 4)</t>
  </si>
  <si>
    <t>Latitude (point 5)</t>
  </si>
  <si>
    <t>Longitude (point 5)</t>
  </si>
  <si>
    <t>Number of American Oystercatcers (point 5)</t>
  </si>
  <si>
    <t>AMOY Band/Flag Codes (point 5)</t>
  </si>
  <si>
    <t>Number of Black Skimmers (point 5)</t>
  </si>
  <si>
    <t>BLSK Band/Flag Codes (point 5)</t>
  </si>
  <si>
    <t>Number of Piping Plovers (point 5)</t>
  </si>
  <si>
    <t>PIPL Band/Flag Codes (point 5)</t>
  </si>
  <si>
    <t>Number of Red Knots (point 5)</t>
  </si>
  <si>
    <t>REKN Band/Flag Codes (point 5)</t>
  </si>
  <si>
    <t>Number of Snowy Plovers (point 5)</t>
  </si>
  <si>
    <t>SNPL Band/Flag Codes (point 5)</t>
  </si>
  <si>
    <t>Number of Wilson's Plovers (point 5)</t>
  </si>
  <si>
    <t>WIPL Band/Flag Codes (point 5)</t>
  </si>
  <si>
    <t>Any other non-focal species you want to include and information about bands (point 5)</t>
  </si>
  <si>
    <t>Latitude (point 6)</t>
  </si>
  <si>
    <t>Longitude (point 6)</t>
  </si>
  <si>
    <t>Number of American Oystercatcers (point 6)</t>
  </si>
  <si>
    <t>AMOY Band/Flag Codes (point 6)</t>
  </si>
  <si>
    <t>Number of Black Skimmers (point 6)</t>
  </si>
  <si>
    <t>BLSK Band/Flag Codes (point 6)</t>
  </si>
  <si>
    <t>Number of Piping Plovers (point 6)</t>
  </si>
  <si>
    <t>PIPL Band/Flag Codes (point 6)</t>
  </si>
  <si>
    <t>Number of Red Knots (point 6)</t>
  </si>
  <si>
    <t>REKN Band/Flag Codes (point 6)</t>
  </si>
  <si>
    <t>Number of Snowy Plovers (point 6)</t>
  </si>
  <si>
    <t>SNPL Band/Flag Codes (point 6)</t>
  </si>
  <si>
    <t>Number of Wilson's Plovers (point 6)</t>
  </si>
  <si>
    <t>WIPL Band/Flag Codes (point 6)</t>
  </si>
  <si>
    <t>Any other non-focal species you want to include and information about bands (point 6)</t>
  </si>
  <si>
    <t>Latitude (point 7)</t>
  </si>
  <si>
    <t>Longitude (point 7)</t>
  </si>
  <si>
    <t>Number of American Oystercatcers (point 7)</t>
  </si>
  <si>
    <t>AMOY Band/Flag Codes (point 7)</t>
  </si>
  <si>
    <t>Number of Black Skimmers (point 7)</t>
  </si>
  <si>
    <t>BLSK Band/Flag Codes (point 7)</t>
  </si>
  <si>
    <t>Number of Piping Plovers (point 7)</t>
  </si>
  <si>
    <t>PIPL Band/Flag Codes (point 7)</t>
  </si>
  <si>
    <t>Number of Red Knots (point 7)</t>
  </si>
  <si>
    <t>REKN Band/Flag Codes (point 7)</t>
  </si>
  <si>
    <t>Number of Snowy Plovers (point 7)</t>
  </si>
  <si>
    <t>SNPL Band/Flag Codes (point 7)</t>
  </si>
  <si>
    <t>Number of Wilson's Plovers (point 7)</t>
  </si>
  <si>
    <t>WIPL Band/Flag Codes (point 7)</t>
  </si>
  <si>
    <t>Any other non-focal species you want to include and information about bands (point 7)</t>
  </si>
  <si>
    <t>Latitude (point 8)</t>
  </si>
  <si>
    <t>Longitude (point 8)</t>
  </si>
  <si>
    <t>Number of American Oystercatcers (point 8)</t>
  </si>
  <si>
    <t>AMOY Band/Flag Codes (point 8)</t>
  </si>
  <si>
    <t>Number of Black Skimmers (point 8)</t>
  </si>
  <si>
    <t>BLSK Band/Flag Codes (point 8)</t>
  </si>
  <si>
    <t>Number of Piping Plovers (point 8)</t>
  </si>
  <si>
    <t>PIPL Band/Flag Codes (point 8)</t>
  </si>
  <si>
    <t>Number of Red Knots (point 8)</t>
  </si>
  <si>
    <t>REKN Band/Flag Codes (point 8)</t>
  </si>
  <si>
    <t>Number of Snowy Plovers (point 8)</t>
  </si>
  <si>
    <t>SNPL Band/Flag Codes (point 8)</t>
  </si>
  <si>
    <t>Number of Wilson's Plovers (point 8)</t>
  </si>
  <si>
    <t>WIPL Band/Flag Codes (point 8)</t>
  </si>
  <si>
    <t>Any other non-focal species you want to include and information about bands (point 8)</t>
  </si>
  <si>
    <t>Latitude (point 9)</t>
  </si>
  <si>
    <t>Longitude (point 9)</t>
  </si>
  <si>
    <t>Number of American Oystercatcers (point 9)</t>
  </si>
  <si>
    <t>AMOY Band/Flag Codes (point 9)</t>
  </si>
  <si>
    <t>Number of Black Skimmers (point 9)</t>
  </si>
  <si>
    <t>BLSK Band/Flag Codes (point 9)</t>
  </si>
  <si>
    <t>Number of Piping Plovers (point 9)</t>
  </si>
  <si>
    <t>PIPL Band/Flag Codes (point 9)</t>
  </si>
  <si>
    <t>Number of Red Knots (point 9)</t>
  </si>
  <si>
    <t>REKN Band/Flag Codes (point 9)</t>
  </si>
  <si>
    <t>Number of Snowy Plovers (point 9)</t>
  </si>
  <si>
    <t>SNPL Band/Flag Codes (point 9)</t>
  </si>
  <si>
    <t>Number of Wilson's Plovers (point 9)</t>
  </si>
  <si>
    <t>WIPL Band/Flag Codes (point 9)</t>
  </si>
  <si>
    <t>Any other non-focal species you want to include and information about bands (point 9)</t>
  </si>
  <si>
    <t>Latitude (point 10)</t>
  </si>
  <si>
    <t>Longitude (point 10)</t>
  </si>
  <si>
    <t>Number of American Oystercatcers (point 10)</t>
  </si>
  <si>
    <t>AMOY Band/Flag Codes (point 10)</t>
  </si>
  <si>
    <t>Number of Black Skimmers (point 10)</t>
  </si>
  <si>
    <t>BLSK Band/Flag Codes (point 10)</t>
  </si>
  <si>
    <t>Number of Piping Plovers (point 10)</t>
  </si>
  <si>
    <t>PIPL Band/Flag Codes (point 10)</t>
  </si>
  <si>
    <t>Number of Red Knots (point 10)</t>
  </si>
  <si>
    <t>REKN Band/Flag Codes (point 10)</t>
  </si>
  <si>
    <t>Number of Snowy Plovers (point 10)</t>
  </si>
  <si>
    <t>SNPL Band/Flag Codes (point 10)</t>
  </si>
  <si>
    <t>Number of Wilson's Plovers (point 10)</t>
  </si>
  <si>
    <t>WIPL Band/Flag Codes (point 10)</t>
  </si>
  <si>
    <t>Any other non-focal species you want to include and information about bands (point 10)</t>
  </si>
  <si>
    <t>Latitude (point 11)</t>
  </si>
  <si>
    <t>Longitude (point 11)</t>
  </si>
  <si>
    <t>Number of American Oystercatcers (point 11)</t>
  </si>
  <si>
    <t>AMOY Band/Flag Codes (point 11)</t>
  </si>
  <si>
    <t>Number of Black Skimmers (point 11)</t>
  </si>
  <si>
    <t>BLSK Band/Flag Codes (point 11)</t>
  </si>
  <si>
    <t>Number of Piping Plovers (point 11)</t>
  </si>
  <si>
    <t>PIPL Band/Flag Codes (point 11)</t>
  </si>
  <si>
    <t>Number of Red Knots (point 11)</t>
  </si>
  <si>
    <t>REKN Band/Flag Codes (point 11)</t>
  </si>
  <si>
    <t>Number of Snowy Plovers (point 11)</t>
  </si>
  <si>
    <t>SNPL Band/Flag Codes (point 11)</t>
  </si>
  <si>
    <t>Number of Wilson's Plovers (point 11)</t>
  </si>
  <si>
    <t>WIPL Band/Flag Codes (point 11)</t>
  </si>
  <si>
    <t>Any other non-focal species you want to include and information about bands (point 11)</t>
  </si>
  <si>
    <t>Latitude (point 12)</t>
  </si>
  <si>
    <t>Longitude (point 12)</t>
  </si>
  <si>
    <t>Number of American Oystercatcers (point 12)</t>
  </si>
  <si>
    <t>AMOY Band/Flag Codes (point 12)</t>
  </si>
  <si>
    <t>Number of Black Skimmers (point 12)</t>
  </si>
  <si>
    <t>BLSK Band/Flag Codes (point 12)</t>
  </si>
  <si>
    <t>Number of Piping Plovers (point 12)</t>
  </si>
  <si>
    <t>PIPL Band/Flag Codes (point 12)</t>
  </si>
  <si>
    <t>Number of Red Knots (point 12)</t>
  </si>
  <si>
    <t>REKN Band/Flag Codes (point 12)</t>
  </si>
  <si>
    <t>Number of Snowy Plovers (point 12)</t>
  </si>
  <si>
    <t>SNPL Band/Flag Codes (point 12)</t>
  </si>
  <si>
    <t>Number of Wilson's Plovers (point 12)</t>
  </si>
  <si>
    <t>WIPL Band/Flag Codes (point 12)</t>
  </si>
  <si>
    <t>Any other non-focal species you want to include and information about bands (point 12)</t>
  </si>
  <si>
    <t>Latitude (point 13)</t>
  </si>
  <si>
    <t>Longitude (point 13)</t>
  </si>
  <si>
    <t>Number of American Oystercatcers (point 13)</t>
  </si>
  <si>
    <t>AMOY Band/Flag Codes (point 13)</t>
  </si>
  <si>
    <t>Number of Black Skimmers (point 13)</t>
  </si>
  <si>
    <t>BLSK Band/Flag Codes (point 13)</t>
  </si>
  <si>
    <t>Number of Piping Plovers (point 13)</t>
  </si>
  <si>
    <t>PIPL Band/Flag Codes (point 13)</t>
  </si>
  <si>
    <t>Number of Red Knots (point 13)</t>
  </si>
  <si>
    <t>REKN Band/Flag Codes (point 13)</t>
  </si>
  <si>
    <t>Number of Snowy Plovers (point 13)</t>
  </si>
  <si>
    <t>SNPL Band/Flag Codes (point 13)</t>
  </si>
  <si>
    <t>Number of Wilson's Plovers (point 13)</t>
  </si>
  <si>
    <t>WIPL Band/Flag Codes (point 13)</t>
  </si>
  <si>
    <t>Any other non-focal species you want to include and information about bands (point 13)</t>
  </si>
  <si>
    <t>Latitude (point 14)</t>
  </si>
  <si>
    <t>Longitude (point 14)</t>
  </si>
  <si>
    <t>Number of American Oystercatcers (point 14)</t>
  </si>
  <si>
    <t>AMOY Band/Flag Codes (point 14)</t>
  </si>
  <si>
    <t>Number of Black Skimmers (point 14)</t>
  </si>
  <si>
    <t>BLSK Band/Flag Codes (point 14)</t>
  </si>
  <si>
    <t>Number of Piping Plovers (point 14)</t>
  </si>
  <si>
    <t>PIPL Band/Flag Codes (point 14)</t>
  </si>
  <si>
    <t>Number of Red Knots (point 14)</t>
  </si>
  <si>
    <t>REKN Band/Flag Codes (point 14)</t>
  </si>
  <si>
    <t>Number of Snowy Plovers (point 14)</t>
  </si>
  <si>
    <t>SNPL Band/Flag Codes (point 14)</t>
  </si>
  <si>
    <t>Number of Wilson's Plovers (point 14)</t>
  </si>
  <si>
    <t>WIPL Band/Flag Codes (point 14)</t>
  </si>
  <si>
    <t>Any other non-focal species you want to include and information about bands (point 14)</t>
  </si>
  <si>
    <t>Latitude (point 15)</t>
  </si>
  <si>
    <t>Longitude (point 15)</t>
  </si>
  <si>
    <t>Number of American Oystercatcers (point 15)</t>
  </si>
  <si>
    <t>AMOY Band/Flag Codes (point 15)</t>
  </si>
  <si>
    <t>Number of Black Skimmers (point 15)</t>
  </si>
  <si>
    <t>BLSK Band/Flag Codes (point 15)</t>
  </si>
  <si>
    <t>Number of Piping Plovers (point 15)</t>
  </si>
  <si>
    <t>PIPL Band/Flag Codes (point 15)</t>
  </si>
  <si>
    <t>Number of Red Knots (point 15)</t>
  </si>
  <si>
    <t>REKN Band/Flag Codes (point 15)</t>
  </si>
  <si>
    <t>Number of Snowy Plovers (point 15)</t>
  </si>
  <si>
    <t>SNPL Band/Flag Codes (point 15)</t>
  </si>
  <si>
    <t>Number of Wilson's Plovers (point 15)</t>
  </si>
  <si>
    <t>WIPL Band/Flag Codes (point 15)</t>
  </si>
  <si>
    <t>Any other non-focal species you want to include and information about bands (point 15)</t>
  </si>
  <si>
    <t>Latitude (point 16)</t>
  </si>
  <si>
    <t>Longitude (point 16)</t>
  </si>
  <si>
    <t>Number of American Oystercatcers (point 16)</t>
  </si>
  <si>
    <t>AMOY Band/Flag Codes (point 16)</t>
  </si>
  <si>
    <t>Number of Black Skimmers (point 16)</t>
  </si>
  <si>
    <t>BLSK Band/Flag Codes (point 16)</t>
  </si>
  <si>
    <t>Number of Piping Plovers (point 16)</t>
  </si>
  <si>
    <t>PIPL Band/Flag Codes (point 16)</t>
  </si>
  <si>
    <t>Number of Red Knots (point 16)</t>
  </si>
  <si>
    <t>REKN Band/Flag Codes (point 16)</t>
  </si>
  <si>
    <t>Number of Snowy Plovers (point 16)</t>
  </si>
  <si>
    <t>SNPL Band/Flag Codes (point 16)</t>
  </si>
  <si>
    <t>Number of Wilson's Plovers (point 16)</t>
  </si>
  <si>
    <t>WIPL Band/Flag Codes (point 16)</t>
  </si>
  <si>
    <t>Any other non-focal species you want to include and information about bands (point 16)</t>
  </si>
  <si>
    <t>Latitude (point 17)</t>
  </si>
  <si>
    <t>Longitude (point 17)</t>
  </si>
  <si>
    <t>Number of American Oystercatcers (point 17)</t>
  </si>
  <si>
    <t>AMOY Band/Flag Codes (point 17)</t>
  </si>
  <si>
    <t>Number of Black Skimmers (point 17)</t>
  </si>
  <si>
    <t>BLSK Band/Flag Codes (point 17)</t>
  </si>
  <si>
    <t>Number of Piping Plovers (point 17)</t>
  </si>
  <si>
    <t>PIPL Band/Flag Codes (point 17)</t>
  </si>
  <si>
    <t>Number of Red Knots (point 17)</t>
  </si>
  <si>
    <t>REKN Band/Flag Codes (point 17)</t>
  </si>
  <si>
    <t>Number of Snowy Plovers (point 17)</t>
  </si>
  <si>
    <t>SNPL Band/Flag Codes (point 17)</t>
  </si>
  <si>
    <t>Number of Wilson's Plovers (point 17)</t>
  </si>
  <si>
    <t>WIPL Band/Flag Codes (point 17)</t>
  </si>
  <si>
    <t>Any other non-focal species you want to include and information about bands (point 17)</t>
  </si>
  <si>
    <t>Latitude (point 18)</t>
  </si>
  <si>
    <t>Longitude (point 18)</t>
  </si>
  <si>
    <t>Number of American Oystercatcers (point 18)</t>
  </si>
  <si>
    <t>AMOY Band/Flag Codes (point 18)</t>
  </si>
  <si>
    <t>Number of Black Skimmers (point 18)</t>
  </si>
  <si>
    <t>BLSK Band/Flag Codes (point 18)</t>
  </si>
  <si>
    <t>Number of Piping Plovers (point 18)</t>
  </si>
  <si>
    <t>PIPL Band/Flag Codes (point 18)</t>
  </si>
  <si>
    <t>Number of Red Knots (point 18)</t>
  </si>
  <si>
    <t>REKN Band/Flag Codes (point 18)</t>
  </si>
  <si>
    <t>Number of Snowy Plovers (point 18)</t>
  </si>
  <si>
    <t>SNPL Band/Flag Codes (point 18)</t>
  </si>
  <si>
    <t>Number of Wilson's Plovers (point 18)</t>
  </si>
  <si>
    <t>WIPL Band/Flag Codes (point 18)</t>
  </si>
  <si>
    <t>Any other non-focal species you want to include and information about bands (point 18)</t>
  </si>
  <si>
    <t>Latitude (point 19)</t>
  </si>
  <si>
    <t>Longitude (point 19)</t>
  </si>
  <si>
    <t>Number of American Oystercatcers (point 19)</t>
  </si>
  <si>
    <t>AMOY Band/Flag Codes (point 19)</t>
  </si>
  <si>
    <t>Number of Black Skimmers (point 19)</t>
  </si>
  <si>
    <t>BLSK Band/Flag Codes (point 19)</t>
  </si>
  <si>
    <t>Number of Piping Plovers (point 19)</t>
  </si>
  <si>
    <t>PIPL Band/Flag Codes (point 19)</t>
  </si>
  <si>
    <t>Number of Red Knots (point 19)</t>
  </si>
  <si>
    <t>REKN Band/Flag Codes (point 19)</t>
  </si>
  <si>
    <t>Number of Snowy Plovers (point 19)</t>
  </si>
  <si>
    <t>SNPL Band/Flag Codes (point 19)</t>
  </si>
  <si>
    <t>Number of Wilson's Plovers (point 19)</t>
  </si>
  <si>
    <t>WIPL Band/Flag Codes (point 19)</t>
  </si>
  <si>
    <t>Any other non-focal species you want to include and information about bands (point 19)</t>
  </si>
  <si>
    <t>BRPE-36, DCCO-57, HERG-6, RBGU-1</t>
  </si>
  <si>
    <t>S//O:x//OY, S//O:x//RW, &amp; x//BG:S(KW)//x</t>
  </si>
  <si>
    <t>Y:S//OR, S//O:KB, OR:S//W, B:RK, X:X, X:X</t>
  </si>
  <si>
    <t>S//YG:x//W (Might be S//W:x//YG)</t>
  </si>
  <si>
    <t>N/A</t>
  </si>
  <si>
    <t>x//W:S//YG</t>
  </si>
  <si>
    <t>x//KO:S(YB)//x</t>
  </si>
  <si>
    <t>x//KB:S//W</t>
  </si>
  <si>
    <t>x//G:S(YB)//W</t>
  </si>
  <si>
    <t>154 BOGU, 5 SAND, 1 LAGU, 1 BBPL, &amp; 7 RBGU</t>
  </si>
  <si>
    <t>All xx</t>
  </si>
  <si>
    <t>S//O:x//OG, S//O:x//BK, &amp; 2 xx</t>
  </si>
  <si>
    <t>(Y/B)//://RB, //Y:S//WR, //Y:S//KY, X:S//YR, //W:S//OK, //Y:S//GB, and 6 X:X</t>
  </si>
  <si>
    <t>x//B:S//GG &amp; x//WK:S//W</t>
  </si>
  <si>
    <t>x//W:S//BR &amp; XX Female</t>
  </si>
  <si>
    <t>16 DUNL, 2 HERG, 23 WILL, 1 BBPL, 29 RBGU, 4 SAND, &amp; 7 FOTE</t>
  </si>
  <si>
    <t>x//GK:S//K, xx Female</t>
  </si>
  <si>
    <t>6 SAND &amp; 1 BBPL</t>
  </si>
  <si>
    <t>XX Male</t>
  </si>
  <si>
    <t>x//W:S//OR, x//Y:S//YW, x//RB:S//W, 2 xx Male, 1 xx Female</t>
  </si>
  <si>
    <t>3 SAND</t>
  </si>
  <si>
    <t xml:space="preserve">x//Y:S//OB </t>
  </si>
  <si>
    <t>x//W:S//OW</t>
  </si>
  <si>
    <t>x//R(faded):x//OO</t>
  </si>
  <si>
    <t>S//K:OK, Y:GG, W:S//GG, W:S//BW, W:S//KR</t>
  </si>
  <si>
    <t>GB:S//B, S//W:OY, Y:S//GR, Y:S//BK, K:S//RW, S(Y/B)//:RR, X:X</t>
  </si>
  <si>
    <t>S//K:WO</t>
  </si>
  <si>
    <t>W:S//RW, S//Y:GK. X:X</t>
  </si>
  <si>
    <t>OW:S(K/W)//, X:X</t>
  </si>
  <si>
    <t>W:S//WW, YO:S(Y/B)//, S//O:RY, S//O:GO</t>
  </si>
  <si>
    <t>S(K/W)//Y:K, S//O:RY</t>
  </si>
  <si>
    <t>X:X</t>
  </si>
  <si>
    <t>S//O:GW</t>
  </si>
  <si>
    <t>S//O:OO, X:X</t>
  </si>
  <si>
    <t>W:S//WR</t>
  </si>
  <si>
    <t>GO//:YG//</t>
  </si>
  <si>
    <t>RO:S//K</t>
  </si>
  <si>
    <t xml:space="preserve">LAGU-379, RBGU-22, FOTE-13, DUNL-14, ROYT-2, GRYE-1, LESA-12 </t>
  </si>
  <si>
    <t>LAGU-52, ROYT-1, RBGU-1, FOTE-1</t>
  </si>
  <si>
    <t>WILL-5, ROYT-1, SAND-1, GRYE-88, SEPL-1, BBPL-27, LAGU-61, DUNL-332, RBGU-17, SBDO-9, FOTE-6, LESA-2</t>
  </si>
  <si>
    <t>LAGU-130, ROYT-45,HERG-6,SATE-38,SAND-4</t>
  </si>
  <si>
    <t>LAGU-300,SAND-66,RBGU-6,ROYT-32,HERG-2</t>
  </si>
  <si>
    <t>LAGU-80, ROYT-20,SATE-4,RIGU-3</t>
  </si>
  <si>
    <t>RUTU-1,RIGU-5,LAGU-5</t>
  </si>
  <si>
    <t>RUTU-2,SAND-6,RIGU-1</t>
  </si>
  <si>
    <t>BOGU-2,LAGU-34</t>
  </si>
  <si>
    <t>all unbanded</t>
  </si>
  <si>
    <t>BRPE-15, ROYT-36, SATE-2, BOGU-2, RBGU-17, LAGU-25, LBBG-2</t>
  </si>
  <si>
    <t>BRPE-17, ROYT-45, SATE-1, DCCO-2, LBBG-1, HERG-17, RBGU-35, FOTE-1</t>
  </si>
  <si>
    <t>LAGU-17,  ROYT-97, BOGU-2, BRPE-1, HERG-36</t>
  </si>
  <si>
    <t>ROYT-58, SATE-1, FOTE-3, HERG-78</t>
  </si>
  <si>
    <t>ROYT-5(1 banded X:X//S), FOTE-1</t>
  </si>
  <si>
    <t>ROYT-1 banded X:X//S</t>
  </si>
  <si>
    <t>HERG-19, LAGU-6, ROYT-30, FOTE-3, LBBG-1, SATE-1</t>
  </si>
  <si>
    <t>ROYT-21, HERG-6, RBGU-1, LAGU-31, SAND-1</t>
  </si>
  <si>
    <t>LAGU-63</t>
  </si>
  <si>
    <t>ROYT-100</t>
  </si>
  <si>
    <t>3  26.07056</t>
  </si>
  <si>
    <t>none seen</t>
  </si>
  <si>
    <t>wht pelicans-166</t>
  </si>
  <si>
    <t>sanderlings-91</t>
  </si>
  <si>
    <t>sanderling-180</t>
  </si>
  <si>
    <t>Dunlin-66</t>
  </si>
  <si>
    <t>black bellied plover-50</t>
  </si>
  <si>
    <t>none banded</t>
  </si>
  <si>
    <t>not banded</t>
  </si>
  <si>
    <t>Oflag/KK-X/L</t>
  </si>
  <si>
    <t>X/K-O(red dot)/L (223)</t>
  </si>
  <si>
    <t>G: A93, C22, C48, C86, E10, E25, E46, 3P; W: 6A7; Y: K17, L39, M69; B: C1F; R: 30M</t>
  </si>
  <si>
    <t>HK* green flag</t>
  </si>
  <si>
    <t>ROYT: W: 7N0</t>
  </si>
  <si>
    <t>G: C76, C96, B62, 2P, A43; Yellow: R73, M88, L30, K90; B: A29; K: B7, H8, V7, A66; R: 19M</t>
  </si>
  <si>
    <t>G(EHY), W(38),</t>
  </si>
  <si>
    <t>G(PEJ)</t>
  </si>
  <si>
    <t>Unbanded</t>
  </si>
  <si>
    <t>Mixed flock over 50; 64 DUNL &amp; 3 LBDO</t>
  </si>
  <si>
    <t>no bands</t>
  </si>
  <si>
    <t xml:space="preserve">collected - reported previously </t>
  </si>
  <si>
    <t>FL[LV] on NE beach</t>
  </si>
  <si>
    <t>None banded</t>
  </si>
  <si>
    <t>ROYT with flag nearby, _, S:_, W(6NU)</t>
  </si>
  <si>
    <t>BF(?),_: BF(?),_</t>
  </si>
  <si>
    <t>Blue Flags; Unable to read code due to proximity limitations and foraging behaviors of the birds</t>
  </si>
  <si>
    <t>x</t>
  </si>
  <si>
    <t>mixed flock, 138 FOTE, 34 REKN, 12 BOGU, 8 ROYT</t>
  </si>
  <si>
    <t>2 banded:WF(=7H),_:_,_ &amp; BF(?),_:BF(?),_</t>
  </si>
  <si>
    <t>72 REKN mixed with 40 FOTE, 1 HERG foraging along shoreline on eastern northern point of island</t>
  </si>
  <si>
    <t>S,_:BF(LV),_</t>
  </si>
  <si>
    <t>Not banded</t>
  </si>
  <si>
    <t>1 banded, S,_:GF(E00),_</t>
  </si>
  <si>
    <t>Mixed Flock over 50 birds, 44 FOTE, 17 ROYT</t>
  </si>
  <si>
    <t>1 banded, unreadable</t>
  </si>
  <si>
    <t>GF(Y25),_:O,_</t>
  </si>
  <si>
    <t>X/G(O/R):X:X; S/b:GY:X</t>
  </si>
  <si>
    <t>bO/(Y/L):X/X</t>
  </si>
  <si>
    <t>YO//:GY//, //R:(Y/B)//R, S//A://G, bO//:bL//</t>
  </si>
  <si>
    <t>S//KY:bF//KG</t>
  </si>
  <si>
    <t>both X:X</t>
  </si>
  <si>
    <t>Red Y81, X:X</t>
  </si>
  <si>
    <t>Red Y61, X:X</t>
  </si>
  <si>
    <t>sand- 9, will 1</t>
  </si>
  <si>
    <t>will-2, LEYE 1, RBGU 1, BBPL 2</t>
  </si>
  <si>
    <t>S//WB:X//R, S(K/W)//X:X//WO</t>
  </si>
  <si>
    <t>SAND 6. DUNL 2, RUTU 1</t>
  </si>
  <si>
    <t>S//YK:X//X</t>
  </si>
  <si>
    <t>SAND 17, DUNL 7, RUTU 2</t>
  </si>
  <si>
    <t>BBPL 3, SAND 2</t>
  </si>
  <si>
    <t>GF//OO:X//GB</t>
  </si>
  <si>
    <t>FOTE 18, SAND 28, RBGU 5, BBPL 1, BOGU 4</t>
  </si>
  <si>
    <t>DUNL 7, SAND 9, BBPL 1</t>
  </si>
  <si>
    <t>sepl 3, sand 6, bbpl 1, dunl 22</t>
  </si>
  <si>
    <t>G(B97)</t>
  </si>
  <si>
    <t>OF//OO:S//b, OF//bB:S//R, OF//RO:S//b, S//X:O//X, OF//RB:S//Y, O(b)//X:S//B(391)</t>
  </si>
  <si>
    <t>RBGU 52, TRHE 1, LAGU 1, SAND 104, FOTE 3, RUTU 1, MAGO 21, BBPL 1, DUNL 4, WILL 83, SBDO 23, WESA 3, DUNL 115, SEPL 12, BRPE 1, GRYE 4</t>
  </si>
  <si>
    <t>SAND 1</t>
  </si>
  <si>
    <t>SAND 81, SBDO 1, WILL 1, BBPL 1, RUTU 1</t>
  </si>
  <si>
    <t>RUTU 1, SAND 2</t>
  </si>
  <si>
    <t>BBPL 1, SAND 2, RUTU 1</t>
  </si>
  <si>
    <t>WILL 1, BBPL 1, RBGU 5, SAND 2, RUTU 2</t>
  </si>
  <si>
    <t>No bands, Will/26, sand/102, DUNL/4, FOTE 43, BOGU/4, ROYT 25, RBGU 35, RUTU 1, LAGU 27, HEG 3</t>
  </si>
  <si>
    <t>X:X,X:X</t>
  </si>
  <si>
    <t>RUTU/2</t>
  </si>
  <si>
    <t>WILL 1, BRPE 3, LAGU 1</t>
  </si>
  <si>
    <t>Red 74 (V); Red Y60 (T)</t>
  </si>
  <si>
    <t>24 SBDO; 6 WILL; 1 BBPL; 30 RBGU</t>
  </si>
  <si>
    <t>L: S-OB: R: FY[T14]-Y</t>
  </si>
  <si>
    <t>2 unbanded; 2 roosting on oyster rakes offshore (couldn't see legs)</t>
  </si>
  <si>
    <t>BO:FG//KG</t>
  </si>
  <si>
    <t>no visible bands- very distant view</t>
  </si>
  <si>
    <t>DUNL-42, KILL-1, SAND-8, SEPL-5, BBPL-2</t>
  </si>
  <si>
    <t>no bands, BRPE 41, HERG 2, RBGU 2, WILL 2, BOGU 2, ROYT 3, FOTE 14</t>
  </si>
  <si>
    <t>BBPL 1, SEPL 1, RUTU 2, SAND 12</t>
  </si>
  <si>
    <t>WILL 3, BBPL 1, RUTU 14, SAND 88, RBGU 3</t>
  </si>
  <si>
    <t>X//G:S(Y/B)//G, S//WY:X//X</t>
  </si>
  <si>
    <t>RBGU 1, SAND 4</t>
  </si>
  <si>
    <t>SAND 27, WILL 42, FOTE 43, BBPL 1, BOGU 15, HERG 3, ROYT 4, RBGU 1, LAGU 16</t>
  </si>
  <si>
    <t>HERG 1, SAND 15</t>
  </si>
  <si>
    <t>DCCO 71, WILL 1, BRPE 5, FOTE 5</t>
  </si>
  <si>
    <t>BRPE 41, DCCO 97, RBGU 1</t>
  </si>
  <si>
    <t>RUTU 5, BBPL 1</t>
  </si>
  <si>
    <t>X//K:S//YY, X//K:S//RK</t>
  </si>
  <si>
    <t>SEPL-4, SAND-33, BOGU-4, DUNL-2, FOTE-5, RBGU-1, BBPL-1</t>
  </si>
  <si>
    <t>SAND-66, BBPL-1, RBGU-7, SEPL-3, WILL-36, DUNL-4</t>
  </si>
  <si>
    <t>Red W82</t>
  </si>
  <si>
    <t>Red X01, X:X</t>
  </si>
  <si>
    <t>x:x</t>
  </si>
  <si>
    <t>S(Y/B)//X:X//WO, S(Y/B)//X:X//OR, X//B:S(K/W)//R, S//BB:X//X</t>
  </si>
  <si>
    <t>RBGU 1, DUNL 46, FOTE 42, SBDO 11, WILL 1, AMAV 4, SAND 13, BOGU 2, SEPL 2, BBPL 5, WESA 7</t>
  </si>
  <si>
    <t>S//X:YF(62Z)//X</t>
  </si>
  <si>
    <t>S//O:X//BW</t>
  </si>
  <si>
    <t>DUNL 1, SAND 3, RBGU 1, BBPL 2, SEPL 2, WILL 1</t>
  </si>
  <si>
    <t>bY//X:BG//X</t>
  </si>
  <si>
    <t>DCCO 36, BRPE 2, ROYT 60, FOTE 9, RBGU 6</t>
  </si>
  <si>
    <t>Red Y62 (T)</t>
  </si>
  <si>
    <t>Red 72 (V)</t>
  </si>
  <si>
    <t>Red Y55 (T), Red 68 (V)</t>
  </si>
  <si>
    <t>Red Y56 (T)</t>
  </si>
  <si>
    <t>unbanded</t>
  </si>
  <si>
    <t>DCCO-62, AWPE-11, BRPE-10, HERG - 1 RBGU-1</t>
  </si>
  <si>
    <t>All X:X</t>
  </si>
  <si>
    <t>SAND-3, DUNL-8, BBPL-1</t>
  </si>
  <si>
    <t>S//OY:YF(E60)//YK, 3 X:X</t>
  </si>
  <si>
    <t>BBPL-1, SEPL-6</t>
  </si>
  <si>
    <t>X:X all</t>
  </si>
  <si>
    <t>MAGO-66, DUNL-321, ROYT-1, SBDO-71, LBCU-1, TCHE-1, SAND-246, WILL-67, BBPL-5, CATE-2, HERG-1</t>
  </si>
  <si>
    <t>RBGU 26, FOTE 5, BRPE 4, HERG 4, LAGU 86, ROYT 4, RUTU 2</t>
  </si>
  <si>
    <t>no bands. Sand 7, BBPL 1, DUNL 1, DCCO 109, RBGU 18, RUTU 2, BOGU 3, HERG 3, FOTE 6, ROYT 3, BRPE 115, LAGU 159</t>
  </si>
  <si>
    <t>X/OG:S(K/W)//X, X:X</t>
  </si>
  <si>
    <t>X:X, X:X</t>
  </si>
  <si>
    <t>LAGU 35, RBGU 7, DCCO 1, SAND 2</t>
  </si>
  <si>
    <t>X:X, S//WK:X//R, X//K:S//KR</t>
  </si>
  <si>
    <t>RBGU 1</t>
  </si>
  <si>
    <t>BRPE 165, HERG 1, DCCO 51</t>
  </si>
  <si>
    <t>X:X, S//GB:X//R</t>
  </si>
  <si>
    <t>HERG 3, RBGU 5, ROYT 38, FOTE 9, SAND 3, LAGU 80, BOGU 5</t>
  </si>
  <si>
    <t>109 AWPE</t>
  </si>
  <si>
    <t>S//WO:X</t>
  </si>
  <si>
    <t>K:S//RY</t>
  </si>
  <si>
    <t>Y:S(K/W)//R, K:S//WB</t>
  </si>
  <si>
    <t>S//W:KR, S//RO:R, GB:S(G)//W</t>
  </si>
  <si>
    <t>X:S//OR, S//YG:R, Y:S(Y/B)//G</t>
  </si>
  <si>
    <t>K:S//GR</t>
  </si>
  <si>
    <t>K:S//RB, B:S//KK</t>
  </si>
  <si>
    <t>7-RUTU,10-SAND,18-WILL,36-RBGU,19-ROTE,63-LAGU,1-HERG,15-FOTE,71-DCCO,11-CATE,67BRPE</t>
  </si>
  <si>
    <t>OFL/WG:X/W</t>
  </si>
  <si>
    <t>GF(EAJ)//x:x//S &amp; x//x:gF(CE4)//S</t>
  </si>
  <si>
    <t>1 WILL, 2 SAND, 5 RUTU, &amp; 2 DUNL</t>
  </si>
  <si>
    <t>G(J3)//B:S//GW</t>
  </si>
  <si>
    <t>2 SAND, 1 FOTE, 1 DUNL, &amp; 1 RUTU</t>
  </si>
  <si>
    <t>151 FOTE, 16 RBGU, 25 LAGU, 8 BOGU, 51 ROYT, 8 HERG, &amp; 4 SAND</t>
  </si>
  <si>
    <t>BOGU-40, FOTE-20</t>
  </si>
  <si>
    <t>Red W89 (T), Red Y68 (T)</t>
  </si>
  <si>
    <t>WILL-18, DUNL-50, BBPL-3</t>
  </si>
  <si>
    <t>DUNL-266, LAGU-1, SBDO-36, WILL-2, RBGU-1, BBPL-1</t>
  </si>
  <si>
    <t>DUNL-36, SBDO-5, WILL-11, BBPL</t>
  </si>
  <si>
    <t>K:S//KO, X:X</t>
  </si>
  <si>
    <t xml:space="preserve">6 LAGU, 28 BRPE, 16 DCCO, 6 RBGU, 3 BOGU, 3 HERG, 7 ROYT, 4 FOTE, 1 SEPL, 6 SAND, 3 RUTU, </t>
  </si>
  <si>
    <t xml:space="preserve">B:S(Y/B)//Y, X:X </t>
  </si>
  <si>
    <t xml:space="preserve">5 SAND, 4 DUNL, 2 BBPL, 1 AWPE, 1 HERG, 1 RBGU, </t>
  </si>
  <si>
    <t xml:space="preserve"> X:X fem, S//OR:R</t>
  </si>
  <si>
    <t xml:space="preserve">7 DCCO, 3 SEPL, 11 RBGU, 2 HERG, 5 DUNL, 7 SAND, 2 RUTU, </t>
  </si>
  <si>
    <t>X:X male, X:B/WB, B:S//YR</t>
  </si>
  <si>
    <t>None</t>
  </si>
  <si>
    <t>GG:S//B</t>
  </si>
  <si>
    <t>S//O:WR fem</t>
  </si>
  <si>
    <t>X:X fem</t>
  </si>
  <si>
    <t>B:S//OO, S:b//Bb, W:S//KY, X:X fem,</t>
  </si>
  <si>
    <t>GR:S//W, K:S(G)//B, W:S(Y/B)//K, S//BK:R</t>
  </si>
  <si>
    <t>1 HERG, 6 SAND</t>
  </si>
  <si>
    <t>X:X male, S//:BB, Y:S//YY, W:S//YK</t>
  </si>
  <si>
    <t>S//GK:R, S//GW:R, 2 X:X fem, S//RG:R, BG:S(G)//, S//RK:R, BO:S//W, B:S//YO</t>
  </si>
  <si>
    <t>30 WILL, 1 HERG, 1 BOGU, 1 RBGU, 1 SAND, 1 BBPL</t>
  </si>
  <si>
    <t>S//W:WB, Y:S//KG, S//YY:R, S(Y/B)//K/R:X, S//W:RW</t>
  </si>
  <si>
    <t>1 SEPL</t>
  </si>
  <si>
    <t>S//KB:R, S//GY:R, W:S//OG, W:S//YR, 2 X:X fem, Y:S(Y/B)//K, 2 X:X male, S//WY:R</t>
  </si>
  <si>
    <t>27 DUNL, 22 SAND, 2 BBPL, 3 WILL, 1 GRYE</t>
  </si>
  <si>
    <t xml:space="preserve">48 BRPE, 9 DCCO, 1 HERG, 1 RBGU, 4 ROYT, </t>
  </si>
  <si>
    <t>W:S//KK</t>
  </si>
  <si>
    <t>S//YR:R, K:S//KY, W:S//RO, S//W:OK, S//R:GB</t>
  </si>
  <si>
    <t>1 group: 69 LAGU, 5  ROYT, 2 WILL, 1 RBGU</t>
  </si>
  <si>
    <t>Red Y42 (T)</t>
  </si>
  <si>
    <t>Green TO (H)</t>
  </si>
  <si>
    <t>Group 1: Dunlin 57, Sanderlings 30, Black-bellied plover 24, Ruddy turnstone 16, Red knot 1</t>
  </si>
  <si>
    <t>Group 2: Sanderlings 510, Ruddy turnstone 3</t>
  </si>
  <si>
    <t>87 ROYT; 3 BRPE; 2 RBGU; 2 HEGU; 2 DCCO; 5 RUTU; 2 BBPL; 3 SAND; 2 LAGU; 1 FOTE</t>
  </si>
  <si>
    <t>1 REEG; 3 RBGU; 28 ROYT; 1 LEYE; 4 BBPL; 1 CATE; 5 WILL; 2 BRPE; 2 RUTU; 2 SAND</t>
  </si>
  <si>
    <t>1, rt gr &amp; wh, lt gr</t>
  </si>
  <si>
    <t>*9J</t>
  </si>
  <si>
    <t>W/B</t>
  </si>
  <si>
    <t>Sanibel bird</t>
  </si>
  <si>
    <t>bands reported to AMOY working group</t>
  </si>
  <si>
    <t>bands reported to AMOY WG</t>
  </si>
  <si>
    <t>41 ROYT, 58 RBGU, and 1 HEGU</t>
  </si>
  <si>
    <t>32 LEYE, 28 GRYE</t>
  </si>
  <si>
    <t>14 GRYE, 2 LESA, 16 DUNL, 2 WESA, 1 DCCO</t>
  </si>
  <si>
    <t>25 CATE, 3 FOTE, 52 AMPE, 14 LEYE, 5 GRYE, 23 WILL, 13 SAND</t>
  </si>
  <si>
    <t>Biscayne National Park - Elliott Key Harbor, Boca Chita Key, and Elliott Key Oceanside beaches</t>
  </si>
  <si>
    <t xml:space="preserve"> 25.453172°</t>
  </si>
  <si>
    <t>-80.196983°</t>
  </si>
  <si>
    <t xml:space="preserve">no bands or flags </t>
  </si>
  <si>
    <t>O, - :FG(LCE), -   (banded as an adult on May 18, 2019 on Cedar Island, VA.).
S ,YG : - , GK        (Adult banded 6/5/2013 at a sand and gravel mine along the Lower Platte River near Fremont, Dodge County, NE).</t>
  </si>
  <si>
    <t xml:space="preserve">1 ROYT, X//S:X//X </t>
  </si>
  <si>
    <t>BRPE- 12; BBPL- 183; LAGU- 2</t>
  </si>
  <si>
    <t>X//S:X//W(5A0); X//S:X//Y(5..) (could not confirm last 2 digits of code)</t>
  </si>
  <si>
    <t>LAGU- 119; ROYT- 99; HEGU- 3; BRPE- 6</t>
  </si>
  <si>
    <t>SAND - 164, RUTU -13, SESA - 5 SBDO - 1</t>
  </si>
  <si>
    <t>LAGU - 174</t>
  </si>
  <si>
    <t>LAGU - 207</t>
  </si>
  <si>
    <t>ROYT 99, W:S (code 062)</t>
  </si>
  <si>
    <t>HEGU- 4; BBPL- 30; WHPE- 112; ROYT- 105; SAND- 6; RBGU- 1</t>
  </si>
  <si>
    <t>BBPL 1</t>
  </si>
  <si>
    <t>Gf(XXK)//X:O//X</t>
  </si>
  <si>
    <t>Gf//:O// banded PIPL (XXK) with 17 other PIPL resting, along with BBPL 2, WILL 2, RUTU 8, SAND 25, SBDO 19, SEPL 7.</t>
  </si>
  <si>
    <t>SBDO 132, WILL 3, BBPL 1</t>
  </si>
  <si>
    <t>Mixed Flock over 50; LAGU 9, FOTE 23, ROYT 14, SAND 4</t>
  </si>
  <si>
    <t xml:space="preserve">GF[L6V],_:G,_ &amp; X,b(128):O,b/O   </t>
  </si>
  <si>
    <t>SAND 24</t>
  </si>
  <si>
    <t>88 SEPL &amp; 34 WESA roosting</t>
  </si>
  <si>
    <t xml:space="preserve">BK[AMA]  DG[EOO] [CTE] </t>
  </si>
  <si>
    <t>RE[2/8] [X12]</t>
  </si>
  <si>
    <t>S//K:x//Y/O, x//W:S//K/O, Lb/K//x:Lb/Y//x</t>
  </si>
  <si>
    <t>SAND-19, SNPL-4ub, 1unk (flushed)</t>
  </si>
  <si>
    <t>SNPL-1ub, SAND-1</t>
  </si>
  <si>
    <t>S//O:x//Y/R, x//B:S//Lg</t>
  </si>
  <si>
    <t>SAND-3</t>
  </si>
  <si>
    <t>x//Y:S//O/O, x//Y:S//K/B, S//O:x//Y/K, K/K//x:K/Y//x</t>
  </si>
  <si>
    <t>SAND-1, SNPL-6ub, 1unk (flushed)</t>
  </si>
  <si>
    <t>SAND-1, SNPL-2ub</t>
  </si>
  <si>
    <t>SAND-3, SNPL-1unk (flushed), WILL-9, BBPL-1, BOGU-3</t>
  </si>
  <si>
    <t>S//O:x//G/B</t>
  </si>
  <si>
    <t>x//K/Y:S//x, x//Y:S//B/O, BW(USFWS)//x:x//R/Y</t>
  </si>
  <si>
    <t>SAND-3, SNPL-5ub</t>
  </si>
  <si>
    <t>B/S-g, W-S//W/R, S//Y-K/O, KW//-K/R, S//O-W/W, S//O-R/R, Y-A//S, W-S//G/B</t>
  </si>
  <si>
    <t>1BRPE, 6 SAND, 2 WILL, 52 FOTE, 61 LAGU, 3 HEGU, 3 BOGU, 3 RBGU, 1 BBPL and 10 ROTE</t>
  </si>
  <si>
    <t>b//K/K-YF(10F)//Y/b</t>
  </si>
  <si>
    <t>54 Laughing Gulls</t>
  </si>
  <si>
    <t>Assorted gulls 
&amp; turns</t>
  </si>
  <si>
    <t>Red W29</t>
  </si>
  <si>
    <t>Red W24</t>
  </si>
  <si>
    <t>Red Y99</t>
  </si>
  <si>
    <t>Red Y98</t>
  </si>
  <si>
    <t>300 peeps</t>
  </si>
  <si>
    <t>250 peeps, 65 LBDO</t>
  </si>
  <si>
    <t>66 LBDO</t>
  </si>
  <si>
    <t>75 LBDO</t>
  </si>
  <si>
    <t>200 LESP</t>
  </si>
  <si>
    <t>78 AWPE</t>
  </si>
  <si>
    <t>65 LBDO, 60 SPSA, 410 BBPL, 60 RUTU</t>
  </si>
  <si>
    <t>85 LBDO, 60 RUTU</t>
  </si>
  <si>
    <t>at the same location had 75 LBDO</t>
  </si>
  <si>
    <t>80 LBDO, 70 peeps</t>
  </si>
  <si>
    <t>500 American white pelicans</t>
  </si>
  <si>
    <t xml:space="preserve">.YK-X.K
</t>
  </si>
  <si>
    <t>FO.GV-X.V</t>
  </si>
  <si>
    <t>FG(7AV).-O.</t>
  </si>
  <si>
    <t>sand9, rutu16, hegu1, lagu3</t>
  </si>
  <si>
    <t>royt10, rbgu12, hegu3, sand32, rutu8, lagu8</t>
  </si>
  <si>
    <t>FO.YY-X.G</t>
  </si>
  <si>
    <t>sand2, sppl2</t>
  </si>
  <si>
    <t>R(25).S-R(25), O(J25).X-O(J25)</t>
  </si>
  <si>
    <t>will50, sand8</t>
  </si>
  <si>
    <t>RUTU 7, SAND 1, WILL 1</t>
  </si>
  <si>
    <t>LAGU 67, RBGU 4</t>
  </si>
  <si>
    <t>HERG 3, LAGU 22, WILL 23, SAND 1</t>
  </si>
  <si>
    <t>LAGU 25, RBGU 6, ROYT 111, SAND 44, WILL 5; banded ROYT white 040</t>
  </si>
  <si>
    <t>O(YFC), Y(77), O(YAC), K(K6), K(P4), O(YKN), O(NH3), Y(N44), R(APW), K(J2)</t>
  </si>
  <si>
    <t>.</t>
  </si>
  <si>
    <t xml:space="preserve"> 100 Sanderling</t>
  </si>
  <si>
    <t>large group of birds, none focal</t>
  </si>
  <si>
    <t>A75</t>
  </si>
  <si>
    <t>FY(78E).BR-X.OB</t>
  </si>
  <si>
    <t>FG(NLE).-O.</t>
  </si>
  <si>
    <t>Group inlcuded: 1WHIM, 1 RBGU, 1 LBBG, 23 WILL, 6 SAND, 3 BBPL,1 HERG</t>
  </si>
  <si>
    <t>Group included: 1 GBHE, 2 SAND, 16 WILL, 1 BBPL, 1 RBGU</t>
  </si>
  <si>
    <t>REKN band: orange geo tag upper left leg, light green flag (heavily faded) EA6 upper right, federal band lower right. Group included: 1 RUTU, 2 SAND, 6 RBGU, 31 LAGU, 1 WILL, 1 HERG, 1 LLBG, 5 ROYT</t>
  </si>
  <si>
    <t>BLSK Bands: Blue E08, Black 16 &amp; 29, Green B74, A46, B76; Group included: 55 LAGU,22 RBGU,1 BBPL,2 SAND, 95 ROYT, 1 WILL, 1 LBBG, 6 SATE</t>
  </si>
  <si>
    <t>Group included: 4 RUTU,13 SAND, 2 BBPL, 1 WILL</t>
  </si>
  <si>
    <t>green B42</t>
  </si>
  <si>
    <t>other shore- and seabirds</t>
  </si>
  <si>
    <t>AE</t>
  </si>
  <si>
    <t>W-BO, SG-YB, W-SGY, SO-YO, SO-OR, SW-OB, SO-BG, W-SGR, SW-BB, SO-YW</t>
  </si>
  <si>
    <t>SRR-GreenXL R</t>
  </si>
  <si>
    <t>CX</t>
  </si>
  <si>
    <t>2 mint-colored flags: maybe 4PL and &gt;IN, but cannot be sure</t>
  </si>
  <si>
    <t>AWPE 48, BRPE 7, ROYT 103, CATE 1, LAGU 53, RBGU 15, GBBG 1, WILL 15, BBPL 55, SAND 20, SEPL 30, SBDO 10, DUNL 45, LESA 15, WESA 20</t>
  </si>
  <si>
    <t>Group included: 28 LAGU, 50 ROYT, 8 FOTE, 2 SATE, 2 RBGU, 1 LBBG</t>
  </si>
  <si>
    <t>Group included: 28 ROYT, 36 LAGU, 5 RBGU, 1 SATE</t>
  </si>
  <si>
    <t>FO.LbY-X.B</t>
  </si>
  <si>
    <t>FY(7Y5)-X.</t>
  </si>
  <si>
    <t>SAND-7, LAGU-93, RBGU-1, FOTE-4, SATE-3</t>
  </si>
  <si>
    <t>LAGU-46, RBGU-5, LBBG-2, FOTE-2, ROYT-21, SATE-9</t>
  </si>
  <si>
    <t>none detected</t>
  </si>
  <si>
    <t>BBPL-30, RUTU-1, SAND-40</t>
  </si>
  <si>
    <t>BBPL-5, RUTU-2, SAND-2</t>
  </si>
  <si>
    <t>BBPL-7, SEPL-1, SAND-13</t>
  </si>
  <si>
    <t>&gt;1E</t>
  </si>
  <si>
    <t>Left Lower Leg
GW, Photo</t>
  </si>
  <si>
    <t>Photo  Y,R66</t>
  </si>
  <si>
    <t>BLSK: Left Yellow R66, 
Right metal
 145 HEGU
2 FOTE,
11 SATE
 17 ROYT, 
 220 BLSK
 12  2 RUTU</t>
  </si>
  <si>
    <t xml:space="preserve"> Fg *8A, Upper R
Photo</t>
  </si>
  <si>
    <t>Red30M 
lower left leg 
Green8D 
lower right leg 
Photos</t>
  </si>
  <si>
    <t>8 FOTE 
15 SATE
 62 BLSK
10 ROYT
 50 LAGU
7 RBGU
3 SAND</t>
  </si>
  <si>
    <t>193 HEGU
 2 RBGU
 2 SAND</t>
  </si>
  <si>
    <t>1 LBBG
1 COTE
115 SATE
15 FOTE
2 RBGU
17 ROYT
5 SAND</t>
  </si>
  <si>
    <t>11 ROYT
3 RUTU
8 SATE
17 FOTE
75 LAGU
2 RBGU
1 BOGU
18 SATE</t>
  </si>
  <si>
    <t xml:space="preserve">Right White/Green   Left : Red/Black    </t>
  </si>
  <si>
    <t>1 band reported to AMOY WG</t>
  </si>
  <si>
    <t>11 bands reported to AMOY WG</t>
  </si>
  <si>
    <t>bands reports to AMOY WG</t>
  </si>
  <si>
    <t>band reported to AMOY WG</t>
  </si>
  <si>
    <t>L Red X92  R Red X 92, Silver,  #2 L Red W97 R 97 , #3 L Green, R Silver/Green CPX, #4 L Red V87 R Red V87, #5  L Yellow A11, R Yellow A11</t>
  </si>
  <si>
    <t>BPL</t>
  </si>
  <si>
    <t xml:space="preserve"> 27.474224°</t>
  </si>
  <si>
    <t>-80.289975°</t>
  </si>
  <si>
    <t>Al.C84 Blue with white</t>
  </si>
  <si>
    <t>same locale as pt 1</t>
  </si>
  <si>
    <t>Same locale as pt 1</t>
  </si>
  <si>
    <t>Al.E38 Green with white</t>
  </si>
  <si>
    <r>
      <rPr>
        <u/>
        <sz val="10"/>
        <color rgb="FF1155CC"/>
        <rFont val="Arial"/>
        <family val="2"/>
      </rPr>
      <t>27.Al</t>
    </r>
    <r>
      <rPr>
        <sz val="10"/>
        <color rgb="FF000000"/>
        <rFont val="Arial"/>
        <family val="2"/>
        <scheme val="minor"/>
      </rPr>
      <t xml:space="preserve">  Black with white</t>
    </r>
  </si>
  <si>
    <t>Same lat/long as black skimmers there were also 36 ROTE, 15 RIGU, 6 LAGU, 3 WILL</t>
  </si>
  <si>
    <t>2 unreadable</t>
  </si>
  <si>
    <t>bands reported</t>
  </si>
  <si>
    <t>1 Individual: UL blue band white letters "DP", UR blue band white letters "DP"</t>
  </si>
  <si>
    <t>NA</t>
  </si>
  <si>
    <t>5 BBPL, 350 DUNL, 10 LESA, 9 SBDO, 8 GRYE, 47 WILL</t>
  </si>
  <si>
    <t>12 LBDO, 34 SBDO, 102 WILL, 180 DUNL</t>
  </si>
  <si>
    <t>1 AMAV, 9 BBPL, 48 SEPL, 5 LESP, 240 WESP, 43 WILL, 120 SBDO, 720 DUNL, 1 LEYE</t>
  </si>
  <si>
    <t>203 DUNL, 1 BBPL</t>
  </si>
  <si>
    <t>RBGU-93, BRPE-1, WILL-28, DUNL-122, SBDO-19</t>
  </si>
  <si>
    <t>RBGU-48, WILL-15, FOTE-1, SBDO-3, AWPE-5, DUNL-20</t>
  </si>
  <si>
    <t>DCCO-16, RBGU-35, BRPE-1, FOTE-43, HERG-1</t>
  </si>
  <si>
    <t>DUNL-120, WILL-30</t>
  </si>
  <si>
    <t>Green CW3 (T)</t>
  </si>
  <si>
    <t>W:S//YY</t>
  </si>
  <si>
    <t>S//K:BR, Y:S//RW, OB:S(G)//</t>
  </si>
  <si>
    <t xml:space="preserve">X:X </t>
  </si>
  <si>
    <t>No bands were noted on any birds in this group.  Group included:  6 ROYT, 62 LAGU, 5 RBGU, 43 FOTE, 4 RUTU, 1 SAND</t>
  </si>
  <si>
    <t>No bands were observed in the group.  Group included 4 SEPL, 2 SBDO, 3 SAND</t>
  </si>
  <si>
    <t>52 Brown Pelican, 2 SNEG</t>
  </si>
  <si>
    <t>Hillsborough Bay</t>
  </si>
  <si>
    <t>Orange NCT</t>
  </si>
  <si>
    <t>Green 1K, Green 6Q, Black A53</t>
  </si>
  <si>
    <t>Port Everglades Inlet to LBTS Pier</t>
  </si>
  <si>
    <t>No bands observed. Group included: 50 SAND.</t>
  </si>
  <si>
    <t>Hillsboro Inlet to LBTS Pier</t>
  </si>
  <si>
    <t>No bands observed. Group included: 30 ROTE, 191 BLSK, 5 RIBI.</t>
  </si>
  <si>
    <t>Point #</t>
  </si>
  <si>
    <t>Latitude</t>
  </si>
  <si>
    <t>Longitude</t>
  </si>
  <si>
    <t>Number of American Oystercatcers</t>
  </si>
  <si>
    <t>AMOY Band/Flag Codes</t>
  </si>
  <si>
    <t>Number of Black Skimmers</t>
  </si>
  <si>
    <t xml:space="preserve">BLSK Band/Flag Codes   </t>
  </si>
  <si>
    <t xml:space="preserve">Number of Piping Plovers   </t>
  </si>
  <si>
    <t xml:space="preserve">PIPL Band/Flag Codes   </t>
  </si>
  <si>
    <t xml:space="preserve">Number of Red Knots   </t>
  </si>
  <si>
    <t xml:space="preserve">REKN Band/Flag Codes   </t>
  </si>
  <si>
    <t xml:space="preserve">Number of Snowy Plovers   </t>
  </si>
  <si>
    <t xml:space="preserve">SNPL Band/Flag Codes   </t>
  </si>
  <si>
    <t xml:space="preserve">Number of Wilson's Plovers   </t>
  </si>
  <si>
    <t xml:space="preserve">WIPL Band/Flag Codes   </t>
  </si>
  <si>
    <t xml:space="preserve">Any other non-focal species you want to include and information about bands   </t>
  </si>
  <si>
    <t>St. Marks NWR - West</t>
  </si>
  <si>
    <t>SBDO-4, RUTU-2, WILL-30, MAGO-15</t>
  </si>
  <si>
    <t>Red W46 (T)</t>
  </si>
  <si>
    <t>Red 80 (V)</t>
  </si>
  <si>
    <t>Red W45 (T)</t>
  </si>
  <si>
    <t>Red W47 (T), Red Y31 (T)</t>
  </si>
  <si>
    <t>Red W10 (T)</t>
  </si>
  <si>
    <t>Red W42 (T)</t>
  </si>
  <si>
    <t>RBGU-31, FOTE-6, MAGO-2, WILL-8, DUNL-88, SBDO-1, BBPL-3</t>
  </si>
  <si>
    <t>DCCO-30, BRPE-25, AWPE-8, RBGU-10</t>
  </si>
  <si>
    <t>RBGU-120, WILL-20, DUNL-500</t>
  </si>
  <si>
    <t>BBPL-2, DUNL-44, SEPL-2, WILL-3, RBGU-4, FOTE-2, BRPE-5</t>
  </si>
  <si>
    <t>WILL-5, RBGU-41, AWPE-5, DUNL-200, FOTE-3, HERG-1, DCCO-6, SBDO-2</t>
  </si>
  <si>
    <t>Black P3 (V), Red 76 (V)</t>
  </si>
  <si>
    <t>RBGU-150</t>
  </si>
  <si>
    <t>DCCO-50, RBGU-24, BRPE-12, HERG</t>
  </si>
  <si>
    <t>Red Y67 (T), Red W97 (T)</t>
  </si>
  <si>
    <t>Red Y30 (T)</t>
  </si>
  <si>
    <t>Red W05 (T)</t>
  </si>
  <si>
    <t>Red W03 (T)</t>
  </si>
  <si>
    <t>Entered</t>
  </si>
  <si>
    <t>Not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</si>
</sst>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quot;:&quot;mm&quot; &quot;AM/PM"/>
    <numFmt numFmtId="165" formatCode="m/d/yy"/>
    <numFmt numFmtId="166" formatCode="yyyy\-mm\-dd"/>
    <numFmt numFmtId="167" formatCode="mm/dd/yyyy"/>
    <numFmt numFmtId="168" formatCode="0.000000"/>
  </numFmts>
  <fonts count="33">
    <font>
      <sz val="10"/>
      <color rgb="FF000000"/>
      <name val="Arial"/>
      <scheme val="minor"/>
    </font>
    <font>
      <b/>
      <sz val="14"/>
      <color theme="1"/>
      <name val="Calibri"/>
      <family val="2"/>
    </font>
    <font>
      <sz val="10"/>
      <color theme="1"/>
      <name val="Arial"/>
      <family val="2"/>
    </font>
    <font>
      <sz val="14"/>
      <color rgb="FF000000"/>
      <name val="Calibri"/>
      <family val="2"/>
    </font>
    <font>
      <sz val="14"/>
      <color theme="1"/>
      <name val="Calibri"/>
      <family val="2"/>
    </font>
    <font>
      <b/>
      <sz val="12"/>
      <color theme="1"/>
      <name val="Calibri"/>
      <family val="2"/>
    </font>
    <font>
      <sz val="12"/>
      <color rgb="FF000000"/>
      <name val="Calibri"/>
      <family val="2"/>
    </font>
    <font>
      <sz val="10"/>
      <color theme="1"/>
      <name val="Arial"/>
      <family val="2"/>
      <scheme val="minor"/>
    </font>
    <font>
      <sz val="12"/>
      <color theme="1"/>
      <name val="Calibri"/>
      <family val="2"/>
    </font>
    <font>
      <sz val="10"/>
      <color rgb="FF000000"/>
      <name val="Roboto"/>
    </font>
    <font>
      <sz val="10"/>
      <color rgb="FF000000"/>
      <name val="Arial"/>
      <family val="2"/>
    </font>
    <font>
      <u/>
      <sz val="10"/>
      <color rgb="FF0000FF"/>
      <name val="Arial"/>
      <family val="2"/>
    </font>
    <font>
      <sz val="11"/>
      <color rgb="FF222222"/>
      <name val="Roboto"/>
    </font>
    <font>
      <sz val="10"/>
      <color theme="1"/>
      <name val="Roboto"/>
    </font>
    <font>
      <sz val="12"/>
      <color rgb="FF70757A"/>
      <name val="Calibri"/>
      <family val="2"/>
    </font>
    <font>
      <sz val="12"/>
      <color rgb="FF1F497D"/>
      <name val="Calibri"/>
      <family val="2"/>
    </font>
    <font>
      <sz val="12"/>
      <color rgb="FF000000"/>
      <name val="Docs-Calibri"/>
    </font>
    <font>
      <sz val="10"/>
      <color theme="1"/>
      <name val="Arial"/>
      <family val="2"/>
      <scheme val="minor"/>
    </font>
    <font>
      <u/>
      <sz val="10"/>
      <color theme="1"/>
      <name val="Arial"/>
      <family val="2"/>
    </font>
    <font>
      <sz val="11"/>
      <color rgb="FF555555"/>
      <name val="Roboto"/>
    </font>
    <font>
      <sz val="12"/>
      <color rgb="FF222222"/>
      <name val="Calibri"/>
      <family val="2"/>
    </font>
    <font>
      <u/>
      <sz val="9"/>
      <color rgb="FF4285F4"/>
      <name val="Roboto"/>
    </font>
    <font>
      <sz val="10"/>
      <color rgb="FF222222"/>
      <name val="Arial"/>
      <family val="2"/>
    </font>
    <font>
      <sz val="12"/>
      <color rgb="FF222222"/>
      <name val="&quot;Helvetica Neue&quot;"/>
    </font>
    <font>
      <sz val="11"/>
      <color rgb="FF1C1E21"/>
      <name val="Helvetica"/>
    </font>
    <font>
      <sz val="11"/>
      <color rgb="FF000000"/>
      <name val="Calibri"/>
      <family val="2"/>
    </font>
    <font>
      <sz val="12"/>
      <color theme="1"/>
      <name val="Helvetica"/>
    </font>
    <font>
      <sz val="12"/>
      <color rgb="FF202124"/>
      <name val="Roboto"/>
    </font>
    <font>
      <sz val="11"/>
      <color theme="1"/>
      <name val="Calibri"/>
      <family val="2"/>
    </font>
    <font>
      <sz val="10"/>
      <color rgb="FF000000"/>
      <name val="'Arial'"/>
    </font>
    <font>
      <sz val="10"/>
      <color rgb="FF000000"/>
      <name val="Arial"/>
      <family val="2"/>
      <scheme val="minor"/>
    </font>
    <font>
      <b/>
      <sz val="12"/>
      <color rgb="FFFFFF00"/>
      <name val="Calibri"/>
      <family val="2"/>
    </font>
    <font>
      <u/>
      <sz val="10"/>
      <color rgb="FF1155CC"/>
      <name val="Arial"/>
      <family val="2"/>
    </font>
  </fonts>
  <fills count="8">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rgb="FFFFE599"/>
        <bgColor rgb="FFFFE599"/>
      </patternFill>
    </fill>
    <fill>
      <patternFill patternType="solid">
        <fgColor theme="0"/>
        <bgColor theme="0"/>
      </patternFill>
    </fill>
    <fill>
      <patternFill patternType="solid">
        <fgColor rgb="FFCFE2F3"/>
        <bgColor rgb="FFCFE2F3"/>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24">
    <xf numFmtId="0" fontId="0" fillId="0" borderId="0" xfId="0" applyFont="1" applyAlignment="1"/>
    <xf numFmtId="0" fontId="1" fillId="0" borderId="1" xfId="0" applyFont="1" applyBorder="1" applyAlignment="1">
      <alignment wrapText="1"/>
    </xf>
    <xf numFmtId="0" fontId="2" fillId="2" borderId="2" xfId="0" applyFont="1" applyFill="1" applyBorder="1" applyAlignment="1">
      <alignment wrapText="1"/>
    </xf>
    <xf numFmtId="0" fontId="3" fillId="2" borderId="2" xfId="0" applyFont="1" applyFill="1" applyBorder="1" applyAlignment="1">
      <alignment wrapText="1"/>
    </xf>
    <xf numFmtId="0" fontId="4" fillId="0" borderId="2" xfId="0" applyFont="1" applyBorder="1" applyAlignment="1">
      <alignment wrapText="1"/>
    </xf>
    <xf numFmtId="0" fontId="2" fillId="0" borderId="2"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4" fillId="3" borderId="0" xfId="0" applyFont="1" applyFill="1" applyAlignment="1">
      <alignment wrapText="1"/>
    </xf>
    <xf numFmtId="0" fontId="5" fillId="4"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6" fillId="0" borderId="0" xfId="0" applyFont="1" applyAlignment="1">
      <alignment wrapText="1"/>
    </xf>
    <xf numFmtId="0" fontId="6" fillId="0" borderId="0" xfId="0" applyFont="1" applyAlignment="1">
      <alignment wrapText="1"/>
    </xf>
    <xf numFmtId="14" fontId="7" fillId="0" borderId="0" xfId="0" applyNumberFormat="1" applyFont="1" applyAlignment="1"/>
    <xf numFmtId="0" fontId="7" fillId="0" borderId="0" xfId="0" applyFont="1" applyAlignment="1"/>
    <xf numFmtId="164" fontId="7" fillId="0" borderId="0" xfId="0" applyNumberFormat="1" applyFont="1" applyAlignment="1">
      <alignment horizontal="right"/>
    </xf>
    <xf numFmtId="0" fontId="7" fillId="0" borderId="0" xfId="0" applyFont="1"/>
    <xf numFmtId="0" fontId="7" fillId="0" borderId="0" xfId="0" applyFont="1" applyAlignment="1">
      <alignment wrapText="1"/>
    </xf>
    <xf numFmtId="0" fontId="7" fillId="0" borderId="0" xfId="0" applyFont="1" applyAlignment="1">
      <alignment wrapText="1"/>
    </xf>
    <xf numFmtId="0" fontId="8" fillId="2" borderId="0" xfId="0" applyFont="1" applyFill="1" applyAlignment="1">
      <alignment wrapText="1"/>
    </xf>
    <xf numFmtId="20" fontId="7" fillId="0" borderId="0" xfId="0" applyNumberFormat="1" applyFont="1" applyAlignment="1">
      <alignment horizontal="right"/>
    </xf>
    <xf numFmtId="14" fontId="9" fillId="2" borderId="0" xfId="0" applyNumberFormat="1" applyFont="1" applyFill="1" applyAlignment="1"/>
    <xf numFmtId="0" fontId="7" fillId="0" borderId="0" xfId="0" applyFont="1" applyAlignment="1">
      <alignment horizontal="right"/>
    </xf>
    <xf numFmtId="0" fontId="8" fillId="0" borderId="0" xfId="0" applyFont="1" applyAlignment="1">
      <alignment wrapText="1"/>
    </xf>
    <xf numFmtId="0" fontId="7" fillId="0" borderId="0" xfId="0" applyFont="1" applyAlignment="1"/>
    <xf numFmtId="18" fontId="7" fillId="0" borderId="0" xfId="0" applyNumberFormat="1" applyFont="1" applyAlignment="1">
      <alignment horizontal="right"/>
    </xf>
    <xf numFmtId="0" fontId="10" fillId="0" borderId="0" xfId="0" applyFont="1" applyAlignment="1"/>
    <xf numFmtId="0" fontId="11" fillId="0" borderId="0" xfId="0" applyFont="1" applyAlignment="1"/>
    <xf numFmtId="0" fontId="6" fillId="2" borderId="0" xfId="0" applyFont="1" applyFill="1" applyAlignment="1">
      <alignment wrapText="1"/>
    </xf>
    <xf numFmtId="165" fontId="7" fillId="0" borderId="0" xfId="0" applyNumberFormat="1" applyFont="1" applyAlignment="1"/>
    <xf numFmtId="0" fontId="8" fillId="0" borderId="0" xfId="0" applyFont="1" applyAlignment="1">
      <alignment wrapText="1"/>
    </xf>
    <xf numFmtId="14" fontId="7" fillId="0" borderId="0" xfId="0" applyNumberFormat="1" applyFont="1" applyAlignment="1"/>
    <xf numFmtId="164" fontId="7" fillId="0" borderId="0" xfId="0" applyNumberFormat="1" applyFont="1" applyAlignment="1">
      <alignment horizontal="right"/>
    </xf>
    <xf numFmtId="0" fontId="12" fillId="2" borderId="0" xfId="0" applyFont="1" applyFill="1" applyAlignment="1"/>
    <xf numFmtId="0" fontId="6" fillId="0" borderId="0" xfId="0" applyFont="1" applyAlignment="1">
      <alignment wrapText="1"/>
    </xf>
    <xf numFmtId="0" fontId="9" fillId="2" borderId="0" xfId="0" applyFont="1" applyFill="1" applyAlignment="1"/>
    <xf numFmtId="166" fontId="7" fillId="0" borderId="0" xfId="0" applyNumberFormat="1" applyFont="1" applyAlignment="1"/>
    <xf numFmtId="14" fontId="7" fillId="0" borderId="0" xfId="0" applyNumberFormat="1" applyFont="1"/>
    <xf numFmtId="0" fontId="2" fillId="0" borderId="0" xfId="0" applyFont="1" applyAlignment="1"/>
    <xf numFmtId="14" fontId="2" fillId="0" borderId="0" xfId="0" applyNumberFormat="1" applyFont="1" applyAlignment="1">
      <alignment horizontal="right"/>
    </xf>
    <xf numFmtId="164" fontId="2" fillId="0" borderId="0" xfId="0" applyNumberFormat="1" applyFont="1" applyAlignment="1">
      <alignment horizontal="right"/>
    </xf>
    <xf numFmtId="0" fontId="2" fillId="0" borderId="0" xfId="0" applyFont="1" applyAlignment="1"/>
    <xf numFmtId="167" fontId="7" fillId="0" borderId="0" xfId="0" applyNumberFormat="1" applyFont="1" applyAlignment="1"/>
    <xf numFmtId="14" fontId="6" fillId="2" borderId="0" xfId="0" applyNumberFormat="1" applyFont="1" applyFill="1" applyAlignment="1">
      <alignment horizontal="right"/>
    </xf>
    <xf numFmtId="0" fontId="8" fillId="0" borderId="0" xfId="0" applyFont="1" applyAlignment="1">
      <alignment horizontal="right" wrapText="1"/>
    </xf>
    <xf numFmtId="164" fontId="8" fillId="0" borderId="0" xfId="0" applyNumberFormat="1" applyFont="1" applyAlignment="1">
      <alignment horizontal="right" wrapText="1"/>
    </xf>
    <xf numFmtId="0" fontId="8" fillId="0" borderId="0" xfId="0" applyFont="1" applyAlignment="1"/>
    <xf numFmtId="0" fontId="2" fillId="0" borderId="0" xfId="0" applyFont="1" applyAlignment="1"/>
    <xf numFmtId="165" fontId="8" fillId="0" borderId="0" xfId="0" applyNumberFormat="1" applyFont="1" applyAlignment="1">
      <alignment horizontal="right" wrapText="1"/>
    </xf>
    <xf numFmtId="0" fontId="8" fillId="0" borderId="0" xfId="0" applyFont="1" applyAlignment="1"/>
    <xf numFmtId="0" fontId="13" fillId="0" borderId="0" xfId="0" applyFont="1" applyAlignment="1"/>
    <xf numFmtId="0" fontId="7" fillId="0" borderId="0" xfId="0" applyFont="1" applyAlignment="1">
      <alignment horizontal="center"/>
    </xf>
    <xf numFmtId="0" fontId="5" fillId="0" borderId="0" xfId="0" applyFont="1" applyAlignment="1">
      <alignment wrapText="1"/>
    </xf>
    <xf numFmtId="0" fontId="13" fillId="0" borderId="0" xfId="0" applyFont="1" applyAlignment="1">
      <alignment wrapText="1"/>
    </xf>
    <xf numFmtId="0" fontId="14" fillId="0" borderId="0" xfId="0" applyFont="1" applyAlignment="1"/>
    <xf numFmtId="0" fontId="15" fillId="2" borderId="0" xfId="0" applyFont="1" applyFill="1" applyAlignment="1"/>
    <xf numFmtId="18" fontId="7" fillId="0" borderId="0" xfId="0" applyNumberFormat="1" applyFont="1" applyAlignment="1"/>
    <xf numFmtId="0" fontId="2" fillId="0" borderId="0" xfId="0" applyFont="1" applyAlignment="1"/>
    <xf numFmtId="0" fontId="10" fillId="2" borderId="0" xfId="0" applyFont="1" applyFill="1" applyAlignment="1">
      <alignment horizontal="left"/>
    </xf>
    <xf numFmtId="14" fontId="7" fillId="0" borderId="0" xfId="0" applyNumberFormat="1" applyFont="1" applyAlignment="1">
      <alignment horizontal="center"/>
    </xf>
    <xf numFmtId="0" fontId="2" fillId="0" borderId="0" xfId="0" applyFont="1" applyAlignment="1"/>
    <xf numFmtId="0" fontId="8" fillId="0" borderId="0" xfId="0" applyFont="1" applyAlignment="1"/>
    <xf numFmtId="0" fontId="16" fillId="2" borderId="0" xfId="0" applyFont="1" applyFill="1" applyAlignment="1">
      <alignment wrapText="1"/>
    </xf>
    <xf numFmtId="0" fontId="7" fillId="0" borderId="0" xfId="0" applyFont="1" applyAlignment="1">
      <alignment wrapText="1"/>
    </xf>
    <xf numFmtId="14" fontId="2" fillId="0" borderId="0" xfId="0" applyNumberFormat="1" applyFont="1" applyAlignment="1">
      <alignment horizontal="right"/>
    </xf>
    <xf numFmtId="164" fontId="2"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wrapText="1"/>
    </xf>
    <xf numFmtId="0" fontId="6" fillId="6" borderId="0" xfId="0" applyFont="1" applyFill="1" applyAlignment="1">
      <alignment wrapText="1"/>
    </xf>
    <xf numFmtId="14" fontId="7" fillId="6" borderId="0" xfId="0" applyNumberFormat="1" applyFont="1" applyFill="1" applyAlignment="1"/>
    <xf numFmtId="0" fontId="7" fillId="2" borderId="0" xfId="0" applyFont="1" applyFill="1" applyAlignment="1"/>
    <xf numFmtId="0" fontId="7" fillId="6" borderId="0" xfId="0" applyFont="1" applyFill="1" applyAlignment="1"/>
    <xf numFmtId="20" fontId="7" fillId="6" borderId="0" xfId="0" applyNumberFormat="1" applyFont="1" applyFill="1" applyAlignment="1">
      <alignment horizontal="right"/>
    </xf>
    <xf numFmtId="0" fontId="7" fillId="6" borderId="0" xfId="0" applyFont="1" applyFill="1"/>
    <xf numFmtId="0" fontId="7" fillId="6" borderId="0" xfId="0" applyFont="1" applyFill="1" applyAlignment="1">
      <alignment wrapText="1"/>
    </xf>
    <xf numFmtId="0" fontId="17" fillId="0" borderId="0" xfId="0" applyFont="1" applyAlignment="1"/>
    <xf numFmtId="0" fontId="18" fillId="0" borderId="0" xfId="0" applyFont="1" applyAlignment="1"/>
    <xf numFmtId="0" fontId="10" fillId="0" borderId="0" xfId="0" applyFont="1" applyAlignment="1"/>
    <xf numFmtId="0" fontId="19" fillId="2" borderId="0" xfId="0" applyFont="1" applyFill="1" applyAlignment="1"/>
    <xf numFmtId="0" fontId="20" fillId="2" borderId="0" xfId="0" applyFont="1" applyFill="1" applyAlignment="1"/>
    <xf numFmtId="165" fontId="7" fillId="6" borderId="0" xfId="0" applyNumberFormat="1" applyFont="1" applyFill="1" applyAlignment="1"/>
    <xf numFmtId="0" fontId="7" fillId="6" borderId="0" xfId="0" applyFont="1" applyFill="1" applyAlignment="1">
      <alignment horizontal="right"/>
    </xf>
    <xf numFmtId="0" fontId="7" fillId="6" borderId="0" xfId="0" applyFont="1" applyFill="1" applyAlignment="1">
      <alignment wrapText="1"/>
    </xf>
    <xf numFmtId="0" fontId="6" fillId="2" borderId="0" xfId="0" applyFont="1" applyFill="1" applyAlignment="1">
      <alignment horizontal="center" wrapText="1"/>
    </xf>
    <xf numFmtId="0" fontId="8" fillId="2" borderId="0" xfId="0" applyFont="1" applyFill="1" applyAlignment="1">
      <alignment wrapText="1"/>
    </xf>
    <xf numFmtId="0" fontId="6" fillId="2" borderId="0" xfId="0" applyFont="1" applyFill="1" applyAlignment="1">
      <alignment wrapText="1"/>
    </xf>
    <xf numFmtId="0" fontId="2" fillId="0" borderId="0" xfId="0" applyFont="1" applyAlignment="1"/>
    <xf numFmtId="0" fontId="16" fillId="2" borderId="0" xfId="0" applyFont="1" applyFill="1" applyAlignment="1">
      <alignment horizontal="left"/>
    </xf>
    <xf numFmtId="0" fontId="2" fillId="0" borderId="0" xfId="0" applyFont="1" applyAlignment="1"/>
    <xf numFmtId="0" fontId="5" fillId="3" borderId="0" xfId="0" applyFont="1" applyFill="1" applyAlignment="1">
      <alignment wrapText="1"/>
    </xf>
    <xf numFmtId="0" fontId="5" fillId="7" borderId="0" xfId="0" applyFont="1" applyFill="1" applyAlignment="1">
      <alignment wrapText="1"/>
    </xf>
    <xf numFmtId="0" fontId="2" fillId="7" borderId="0" xfId="0" applyFont="1" applyFill="1" applyAlignment="1">
      <alignment wrapText="1"/>
    </xf>
    <xf numFmtId="0" fontId="2" fillId="7" borderId="0" xfId="0" applyFont="1" applyFill="1" applyAlignment="1">
      <alignment horizontal="right" wrapText="1"/>
    </xf>
    <xf numFmtId="0" fontId="2" fillId="7" borderId="0" xfId="0" applyFont="1" applyFill="1" applyAlignment="1">
      <alignment wrapText="1"/>
    </xf>
    <xf numFmtId="0" fontId="8" fillId="7" borderId="0" xfId="0" applyFont="1" applyFill="1" applyAlignment="1">
      <alignment wrapText="1"/>
    </xf>
    <xf numFmtId="0" fontId="8" fillId="7" borderId="0" xfId="0" applyFont="1" applyFill="1" applyAlignment="1">
      <alignment wrapText="1"/>
    </xf>
    <xf numFmtId="0" fontId="21" fillId="2" borderId="0" xfId="0" applyFont="1" applyFill="1" applyAlignment="1">
      <alignment horizontal="left"/>
    </xf>
    <xf numFmtId="0" fontId="2" fillId="2" borderId="0" xfId="0" applyFont="1" applyFill="1" applyAlignment="1"/>
    <xf numFmtId="168" fontId="7" fillId="0" borderId="0" xfId="0" applyNumberFormat="1" applyFont="1" applyAlignment="1"/>
    <xf numFmtId="0" fontId="10" fillId="0" borderId="0" xfId="0" applyFont="1" applyAlignment="1">
      <alignment horizontal="right"/>
    </xf>
    <xf numFmtId="0" fontId="22" fillId="2" borderId="0" xfId="0" applyFont="1" applyFill="1" applyAlignment="1"/>
    <xf numFmtId="0" fontId="9" fillId="2" borderId="0" xfId="0" applyFont="1" applyFill="1" applyAlignment="1">
      <alignment horizontal="left"/>
    </xf>
    <xf numFmtId="0" fontId="23" fillId="2" borderId="0" xfId="0" applyFont="1" applyFill="1" applyAlignment="1"/>
    <xf numFmtId="0" fontId="24" fillId="2" borderId="0" xfId="0" applyFont="1" applyFill="1" applyAlignment="1">
      <alignment horizontal="left" wrapText="1"/>
    </xf>
    <xf numFmtId="0" fontId="9" fillId="2" borderId="0" xfId="0" applyFont="1" applyFill="1" applyAlignment="1">
      <alignment horizontal="left"/>
    </xf>
    <xf numFmtId="0" fontId="2" fillId="0" borderId="0" xfId="0" applyFont="1" applyAlignment="1"/>
    <xf numFmtId="0" fontId="7" fillId="0" borderId="0" xfId="0" applyFont="1" applyAlignment="1"/>
    <xf numFmtId="0" fontId="25" fillId="0" borderId="0" xfId="0" applyFont="1" applyAlignment="1">
      <alignment horizontal="right"/>
    </xf>
    <xf numFmtId="0" fontId="6" fillId="2" borderId="0" xfId="0" applyFont="1" applyFill="1" applyAlignment="1">
      <alignment wrapText="1"/>
    </xf>
    <xf numFmtId="0" fontId="26" fillId="0" borderId="0" xfId="0" applyFont="1" applyAlignment="1"/>
    <xf numFmtId="0" fontId="27" fillId="0" borderId="0" xfId="0" applyFont="1" applyAlignment="1"/>
    <xf numFmtId="0" fontId="28" fillId="0" borderId="0" xfId="0" applyFont="1" applyAlignment="1"/>
    <xf numFmtId="0" fontId="29" fillId="0" borderId="0" xfId="0" applyFont="1" applyAlignment="1"/>
    <xf numFmtId="0" fontId="7" fillId="0" borderId="0" xfId="0" applyFont="1" applyAlignment="1"/>
    <xf numFmtId="0" fontId="9" fillId="0" borderId="0" xfId="0" applyFont="1" applyAlignment="1">
      <alignment horizontal="left"/>
    </xf>
    <xf numFmtId="0" fontId="27" fillId="2" borderId="0" xfId="0" applyFont="1" applyFill="1" applyAlignment="1"/>
    <xf numFmtId="0" fontId="7" fillId="0" borderId="0" xfId="0" applyFont="1" applyAlignment="1">
      <alignment wrapText="1"/>
    </xf>
    <xf numFmtId="0" fontId="20" fillId="2" borderId="0" xfId="0" applyFont="1" applyFill="1" applyAlignment="1"/>
    <xf numFmtId="0" fontId="30" fillId="0" borderId="0" xfId="0" applyFont="1" applyAlignment="1"/>
    <xf numFmtId="0" fontId="10" fillId="0" borderId="0" xfId="0" applyFont="1" applyAlignment="1"/>
    <xf numFmtId="0" fontId="6" fillId="2" borderId="0" xfId="0" applyFont="1" applyFill="1" applyAlignment="1">
      <alignment horizontal="center" wrapText="1"/>
    </xf>
    <xf numFmtId="0" fontId="10" fillId="2" borderId="0" xfId="0" applyFont="1" applyFill="1" applyAlignment="1">
      <alignment horizontal="right"/>
    </xf>
    <xf numFmtId="0" fontId="7" fillId="7" borderId="0" xfId="0" applyFont="1" applyFill="1" applyAlignment="1"/>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Number of surveys entered</a:t>
            </a:r>
          </a:p>
        </c:rich>
      </c:tx>
      <c:overlay val="0"/>
    </c:title>
    <c:autoTitleDeleted val="0"/>
    <c:plotArea>
      <c:layout/>
      <c:pieChart>
        <c:varyColors val="1"/>
        <c:ser>
          <c:idx val="0"/>
          <c:order val="0"/>
          <c:dPt>
            <c:idx val="0"/>
            <c:bubble3D val="0"/>
            <c:spPr>
              <a:solidFill>
                <a:srgbClr val="8E7CC3"/>
              </a:solidFill>
            </c:spPr>
            <c:extLst>
              <c:ext xmlns:c16="http://schemas.microsoft.com/office/drawing/2014/chart" uri="{C3380CC4-5D6E-409C-BE32-E72D297353CC}">
                <c16:uniqueId val="{00000001-1BCE-4B56-A39A-BC46B9CAFF74}"/>
              </c:ext>
            </c:extLst>
          </c:dPt>
          <c:dPt>
            <c:idx val="1"/>
            <c:bubble3D val="0"/>
            <c:spPr>
              <a:solidFill>
                <a:srgbClr val="CFE2F3"/>
              </a:solidFill>
            </c:spPr>
            <c:extLst>
              <c:ext xmlns:c16="http://schemas.microsoft.com/office/drawing/2014/chart" uri="{C3380CC4-5D6E-409C-BE32-E72D297353CC}">
                <c16:uniqueId val="{00000003-1BCE-4B56-A39A-BC46B9CAFF7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'Summary Data'!$H$2:$H$3</c:f>
              <c:strCache>
                <c:ptCount val="2"/>
                <c:pt idx="0">
                  <c:v>Entered</c:v>
                </c:pt>
                <c:pt idx="1">
                  <c:v>Not Entered</c:v>
                </c:pt>
              </c:strCache>
            </c:strRef>
          </c:cat>
          <c:val>
            <c:numRef>
              <c:f>'Summary Data'!$I$2:$I$3</c:f>
              <c:numCache>
                <c:formatCode>General</c:formatCode>
                <c:ptCount val="2"/>
                <c:pt idx="0">
                  <c:v>271</c:v>
                </c:pt>
                <c:pt idx="1">
                  <c:v>79</c:v>
                </c:pt>
              </c:numCache>
            </c:numRef>
          </c:val>
          <c:extLst>
            <c:ext xmlns:c16="http://schemas.microsoft.com/office/drawing/2014/chart" uri="{C3380CC4-5D6E-409C-BE32-E72D297353CC}">
              <c16:uniqueId val="{00000004-1BCE-4B56-A39A-BC46B9CAFF7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600" b="0">
              <a:solidFill>
                <a:srgbClr val="1A1A1A"/>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Winter Seabirds 2021</a:t>
            </a:r>
          </a:p>
        </c:rich>
      </c:tx>
      <c:overlay val="0"/>
    </c:title>
    <c:autoTitleDeleted val="0"/>
    <c:plotArea>
      <c:layout/>
      <c:barChart>
        <c:barDir val="bar"/>
        <c:grouping val="clustered"/>
        <c:varyColors val="1"/>
        <c:ser>
          <c:idx val="0"/>
          <c:order val="0"/>
          <c:spPr>
            <a:solidFill>
              <a:srgbClr val="76A5AF"/>
            </a:solidFill>
            <a:ln cmpd="sng">
              <a:solidFill>
                <a:srgbClr val="000000"/>
              </a:solidFill>
            </a:ln>
          </c:spPr>
          <c:invertIfNegative val="1"/>
          <c:cat>
            <c:strRef>
              <c:f>'All Species'!$AM$1:$BD$1</c:f>
              <c:strCache>
                <c:ptCount val="18"/>
                <c:pt idx="0">
                  <c:v>Black Skimmer </c:v>
                </c:pt>
                <c:pt idx="1">
                  <c:v>Bonaparte's Gull</c:v>
                </c:pt>
                <c:pt idx="2">
                  <c:v>Brown Booby</c:v>
                </c:pt>
                <c:pt idx="3">
                  <c:v>Brown Pelican</c:v>
                </c:pt>
                <c:pt idx="4">
                  <c:v>Caspian Tern</c:v>
                </c:pt>
                <c:pt idx="5">
                  <c:v>Common Tern</c:v>
                </c:pt>
                <c:pt idx="6">
                  <c:v>Double-crested Cormorant</c:v>
                </c:pt>
                <c:pt idx="7">
                  <c:v>Forster's Tern</c:v>
                </c:pt>
                <c:pt idx="8">
                  <c:v>Glaucous Gull</c:v>
                </c:pt>
                <c:pt idx="9">
                  <c:v>Great Black-backed Gull</c:v>
                </c:pt>
                <c:pt idx="10">
                  <c:v>Herring Gull</c:v>
                </c:pt>
                <c:pt idx="11">
                  <c:v>Laughing Gull</c:v>
                </c:pt>
                <c:pt idx="12">
                  <c:v>Lesser Black-backed Gull</c:v>
                </c:pt>
                <c:pt idx="13">
                  <c:v>Ring-billed Gull</c:v>
                </c:pt>
                <c:pt idx="14">
                  <c:v>Royal Tern</c:v>
                </c:pt>
                <c:pt idx="15">
                  <c:v>Sandwich Tern</c:v>
                </c:pt>
                <c:pt idx="16">
                  <c:v>Vega Gull</c:v>
                </c:pt>
                <c:pt idx="17">
                  <c:v>White Pelican</c:v>
                </c:pt>
              </c:strCache>
            </c:strRef>
          </c:cat>
          <c:val>
            <c:numRef>
              <c:f>'All Species'!$AM$2:$BD$2</c:f>
              <c:numCache>
                <c:formatCode>General</c:formatCode>
                <c:ptCount val="18"/>
                <c:pt idx="0">
                  <c:v>8934</c:v>
                </c:pt>
                <c:pt idx="1">
                  <c:v>1447</c:v>
                </c:pt>
                <c:pt idx="2">
                  <c:v>0</c:v>
                </c:pt>
                <c:pt idx="3">
                  <c:v>2808</c:v>
                </c:pt>
                <c:pt idx="4">
                  <c:v>373</c:v>
                </c:pt>
                <c:pt idx="5">
                  <c:v>10</c:v>
                </c:pt>
                <c:pt idx="6">
                  <c:v>4284</c:v>
                </c:pt>
                <c:pt idx="7">
                  <c:v>2522</c:v>
                </c:pt>
                <c:pt idx="8">
                  <c:v>0</c:v>
                </c:pt>
                <c:pt idx="9">
                  <c:v>70</c:v>
                </c:pt>
                <c:pt idx="10">
                  <c:v>1572</c:v>
                </c:pt>
                <c:pt idx="11">
                  <c:v>15041</c:v>
                </c:pt>
                <c:pt idx="12">
                  <c:v>285</c:v>
                </c:pt>
                <c:pt idx="13">
                  <c:v>6355</c:v>
                </c:pt>
                <c:pt idx="14">
                  <c:v>6098</c:v>
                </c:pt>
                <c:pt idx="15">
                  <c:v>432</c:v>
                </c:pt>
                <c:pt idx="16">
                  <c:v>0</c:v>
                </c:pt>
                <c:pt idx="17">
                  <c:v>2238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B39-4A1B-952A-1C0450F126C5}"/>
            </c:ext>
          </c:extLst>
        </c:ser>
        <c:ser>
          <c:idx val="1"/>
          <c:order val="1"/>
          <c:spPr>
            <a:solidFill>
              <a:srgbClr val="EA4335"/>
            </a:solidFill>
            <a:ln cmpd="sng">
              <a:solidFill>
                <a:srgbClr val="000000"/>
              </a:solidFill>
            </a:ln>
          </c:spPr>
          <c:invertIfNegative val="1"/>
          <c:cat>
            <c:strRef>
              <c:f>'All Species'!$AM$1:$BD$1</c:f>
              <c:strCache>
                <c:ptCount val="18"/>
                <c:pt idx="0">
                  <c:v>Black Skimmer </c:v>
                </c:pt>
                <c:pt idx="1">
                  <c:v>Bonaparte's Gull</c:v>
                </c:pt>
                <c:pt idx="2">
                  <c:v>Brown Booby</c:v>
                </c:pt>
                <c:pt idx="3">
                  <c:v>Brown Pelican</c:v>
                </c:pt>
                <c:pt idx="4">
                  <c:v>Caspian Tern</c:v>
                </c:pt>
                <c:pt idx="5">
                  <c:v>Common Tern</c:v>
                </c:pt>
                <c:pt idx="6">
                  <c:v>Double-crested Cormorant</c:v>
                </c:pt>
                <c:pt idx="7">
                  <c:v>Forster's Tern</c:v>
                </c:pt>
                <c:pt idx="8">
                  <c:v>Glaucous Gull</c:v>
                </c:pt>
                <c:pt idx="9">
                  <c:v>Great Black-backed Gull</c:v>
                </c:pt>
                <c:pt idx="10">
                  <c:v>Herring Gull</c:v>
                </c:pt>
                <c:pt idx="11">
                  <c:v>Laughing Gull</c:v>
                </c:pt>
                <c:pt idx="12">
                  <c:v>Lesser Black-backed Gull</c:v>
                </c:pt>
                <c:pt idx="13">
                  <c:v>Ring-billed Gull</c:v>
                </c:pt>
                <c:pt idx="14">
                  <c:v>Royal Tern</c:v>
                </c:pt>
                <c:pt idx="15">
                  <c:v>Sandwich Tern</c:v>
                </c:pt>
                <c:pt idx="16">
                  <c:v>Vega Gull</c:v>
                </c:pt>
                <c:pt idx="17">
                  <c:v>White Pelican</c:v>
                </c:pt>
              </c:strCache>
            </c:strRef>
          </c:cat>
          <c:val>
            <c:numRef>
              <c:f>'All Species'!$AM$4:$BD$4</c:f>
              <c:numCache>
                <c:formatCode>General</c:formatCode>
                <c:ptCount val="18"/>
                <c:pt idx="3">
                  <c:v>36</c:v>
                </c:pt>
                <c:pt idx="6">
                  <c:v>57</c:v>
                </c:pt>
                <c:pt idx="10">
                  <c:v>6</c:v>
                </c:pt>
                <c:pt idx="1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B39-4A1B-952A-1C0450F126C5}"/>
            </c:ext>
          </c:extLst>
        </c:ser>
        <c:dLbls>
          <c:showLegendKey val="0"/>
          <c:showVal val="0"/>
          <c:showCatName val="0"/>
          <c:showSerName val="0"/>
          <c:showPercent val="0"/>
          <c:showBubbleSize val="0"/>
        </c:dLbls>
        <c:gapWidth val="150"/>
        <c:axId val="764261501"/>
        <c:axId val="173024103"/>
      </c:barChart>
      <c:catAx>
        <c:axId val="76426150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3024103"/>
        <c:crosses val="autoZero"/>
        <c:auto val="1"/>
        <c:lblAlgn val="ctr"/>
        <c:lblOffset val="100"/>
        <c:noMultiLvlLbl val="1"/>
      </c:catAx>
      <c:valAx>
        <c:axId val="1730241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6426150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647700</xdr:colOff>
      <xdr:row>3</xdr:row>
      <xdr:rowOff>66675</xdr:rowOff>
    </xdr:from>
    <xdr:ext cx="4676775" cy="2895600"/>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23</xdr:row>
      <xdr:rowOff>200025</xdr:rowOff>
    </xdr:from>
    <xdr:ext cx="7172325" cy="4457700"/>
    <xdr:graphicFrame macro="">
      <xdr:nvGraphicFramePr>
        <xdr:cNvPr id="3" name="Chart 2"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adventureflorida@aol.com" TargetMode="External"/><Relationship Id="rId1" Type="http://schemas.openxmlformats.org/officeDocument/2006/relationships/hyperlink" Target="http://cathyolson.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27.a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1007"/>
  <sheetViews>
    <sheetView workbookViewId="0"/>
  </sheetViews>
  <sheetFormatPr defaultColWidth="12.5703125" defaultRowHeight="15.75" customHeight="1"/>
  <cols>
    <col min="1" max="1" width="83.85546875" customWidth="1"/>
  </cols>
  <sheetData>
    <row r="1" spans="1:1" ht="15.75" customHeight="1">
      <c r="A1" s="1" t="s">
        <v>0</v>
      </c>
    </row>
    <row r="2" spans="1:1" ht="12.75">
      <c r="A2" s="2"/>
    </row>
    <row r="3" spans="1:1" ht="15.75" customHeight="1">
      <c r="A3" s="3" t="s">
        <v>1</v>
      </c>
    </row>
    <row r="4" spans="1:1" ht="15.75" customHeight="1">
      <c r="A4" s="4" t="s">
        <v>2</v>
      </c>
    </row>
    <row r="5" spans="1:1" ht="15.75" customHeight="1">
      <c r="A5" s="4" t="s">
        <v>3</v>
      </c>
    </row>
    <row r="6" spans="1:1" ht="25.5">
      <c r="A6" s="5" t="s">
        <v>4</v>
      </c>
    </row>
    <row r="7" spans="1:1" ht="15.75" customHeight="1">
      <c r="A7" s="6" t="s">
        <v>5</v>
      </c>
    </row>
    <row r="8" spans="1:1" ht="15.75" customHeight="1">
      <c r="A8" s="7"/>
    </row>
    <row r="9" spans="1:1" ht="15.75" customHeight="1">
      <c r="A9" s="8"/>
    </row>
    <row r="10" spans="1:1" ht="15.75" customHeight="1">
      <c r="A10" s="7"/>
    </row>
    <row r="11" spans="1:1" ht="15.75" customHeight="1">
      <c r="A11" s="7"/>
    </row>
    <row r="12" spans="1:1" ht="15.75" customHeight="1">
      <c r="A12" s="7"/>
    </row>
    <row r="13" spans="1:1" ht="15.75" customHeight="1">
      <c r="A13" s="7"/>
    </row>
    <row r="14" spans="1:1" ht="15.75" customHeight="1">
      <c r="A14" s="7"/>
    </row>
    <row r="15" spans="1:1" ht="15.75" customHeight="1">
      <c r="A15" s="7"/>
    </row>
    <row r="16" spans="1:1" ht="15.75" customHeight="1">
      <c r="A16" s="7"/>
    </row>
    <row r="17" spans="1:1" ht="15.75" customHeight="1">
      <c r="A17" s="7"/>
    </row>
    <row r="18" spans="1:1" ht="15.75" customHeight="1">
      <c r="A18" s="7"/>
    </row>
    <row r="19" spans="1:1" ht="15.75" customHeight="1">
      <c r="A19" s="7"/>
    </row>
    <row r="20" spans="1:1" ht="15.75" customHeight="1">
      <c r="A20" s="7"/>
    </row>
    <row r="21" spans="1:1" ht="15.75" customHeight="1">
      <c r="A21" s="7"/>
    </row>
    <row r="22" spans="1:1" ht="15.75" customHeight="1">
      <c r="A22" s="7"/>
    </row>
    <row r="23" spans="1:1" ht="15.75" customHeight="1">
      <c r="A23" s="7"/>
    </row>
    <row r="24" spans="1:1" ht="15.75" customHeight="1">
      <c r="A24" s="7"/>
    </row>
    <row r="25" spans="1:1" ht="15.75" customHeight="1">
      <c r="A25" s="7"/>
    </row>
    <row r="26" spans="1:1" ht="15.75" customHeight="1">
      <c r="A26" s="7"/>
    </row>
    <row r="27" spans="1:1" ht="15.75" customHeight="1">
      <c r="A27" s="7"/>
    </row>
    <row r="28" spans="1:1" ht="15.75" customHeight="1">
      <c r="A28" s="7"/>
    </row>
    <row r="29" spans="1:1" ht="15.75" customHeight="1">
      <c r="A29" s="7"/>
    </row>
    <row r="30" spans="1:1" ht="15.75" customHeight="1">
      <c r="A30" s="7"/>
    </row>
    <row r="31" spans="1:1" ht="15.75" customHeight="1">
      <c r="A31" s="7"/>
    </row>
    <row r="32" spans="1:1" ht="15.75" customHeight="1">
      <c r="A32" s="7"/>
    </row>
    <row r="33" spans="1:1" ht="15.75" customHeight="1">
      <c r="A33" s="7"/>
    </row>
    <row r="34" spans="1:1" ht="15.75" customHeight="1">
      <c r="A34" s="7"/>
    </row>
    <row r="35" spans="1:1" ht="15.75" customHeight="1">
      <c r="A35" s="7"/>
    </row>
    <row r="36" spans="1:1" ht="15.75" customHeight="1">
      <c r="A36" s="7"/>
    </row>
    <row r="37" spans="1:1" ht="15.75" customHeight="1">
      <c r="A37" s="7"/>
    </row>
    <row r="38" spans="1:1" ht="15.75" customHeight="1">
      <c r="A38" s="7"/>
    </row>
    <row r="39" spans="1:1" ht="15.75" customHeight="1">
      <c r="A39" s="7"/>
    </row>
    <row r="40" spans="1:1" ht="15.75" customHeight="1">
      <c r="A40" s="7"/>
    </row>
    <row r="41" spans="1:1" ht="15.75" customHeight="1">
      <c r="A41" s="7"/>
    </row>
    <row r="42" spans="1:1" ht="15.75" customHeight="1">
      <c r="A42" s="7"/>
    </row>
    <row r="43" spans="1:1" ht="15.75" customHeight="1">
      <c r="A43" s="7"/>
    </row>
    <row r="44" spans="1:1" ht="15.75" customHeight="1">
      <c r="A44" s="7"/>
    </row>
    <row r="45" spans="1:1" ht="15.75" customHeight="1">
      <c r="A45" s="7"/>
    </row>
    <row r="46" spans="1:1" ht="18.75">
      <c r="A46" s="7"/>
    </row>
    <row r="47" spans="1:1" ht="18.75">
      <c r="A47" s="7"/>
    </row>
    <row r="48" spans="1:1" ht="18.75">
      <c r="A48" s="7"/>
    </row>
    <row r="49" spans="1:1" ht="18.75">
      <c r="A49" s="7"/>
    </row>
    <row r="50" spans="1:1" ht="18.75">
      <c r="A50" s="7"/>
    </row>
    <row r="51" spans="1:1" ht="18.75">
      <c r="A51" s="7"/>
    </row>
    <row r="52" spans="1:1" ht="18.75">
      <c r="A52" s="7"/>
    </row>
    <row r="53" spans="1:1" ht="18.75">
      <c r="A53" s="7"/>
    </row>
    <row r="54" spans="1:1" ht="18.75">
      <c r="A54" s="7"/>
    </row>
    <row r="55" spans="1:1" ht="18.75">
      <c r="A55" s="7"/>
    </row>
    <row r="56" spans="1:1" ht="18.75">
      <c r="A56" s="7"/>
    </row>
    <row r="57" spans="1:1" ht="18.75">
      <c r="A57" s="7"/>
    </row>
    <row r="58" spans="1:1" ht="18.75">
      <c r="A58" s="7"/>
    </row>
    <row r="59" spans="1:1" ht="18.75">
      <c r="A59" s="7"/>
    </row>
    <row r="60" spans="1:1" ht="18.75">
      <c r="A60" s="7"/>
    </row>
    <row r="61" spans="1:1" ht="18.75">
      <c r="A61" s="7"/>
    </row>
    <row r="62" spans="1:1" ht="18.75">
      <c r="A62" s="7"/>
    </row>
    <row r="63" spans="1:1" ht="18.75">
      <c r="A63" s="7"/>
    </row>
    <row r="64" spans="1:1" ht="18.75">
      <c r="A64" s="7"/>
    </row>
    <row r="65" spans="1:1" ht="18.75">
      <c r="A65" s="7"/>
    </row>
    <row r="66" spans="1:1" ht="18.75">
      <c r="A66" s="7"/>
    </row>
    <row r="67" spans="1:1" ht="18.75">
      <c r="A67" s="7"/>
    </row>
    <row r="68" spans="1:1" ht="18.75">
      <c r="A68" s="7"/>
    </row>
    <row r="69" spans="1:1" ht="18.75">
      <c r="A69" s="7"/>
    </row>
    <row r="70" spans="1:1" ht="18.75">
      <c r="A70" s="7"/>
    </row>
    <row r="71" spans="1:1" ht="18.75">
      <c r="A71" s="7"/>
    </row>
    <row r="72" spans="1:1" ht="18.75">
      <c r="A72" s="7"/>
    </row>
    <row r="73" spans="1:1" ht="18.75">
      <c r="A73" s="7"/>
    </row>
    <row r="74" spans="1:1" ht="18.75">
      <c r="A74" s="7"/>
    </row>
    <row r="75" spans="1:1" ht="18.75">
      <c r="A75" s="7"/>
    </row>
    <row r="76" spans="1:1" ht="18.75">
      <c r="A76" s="7"/>
    </row>
    <row r="77" spans="1:1" ht="18.75">
      <c r="A77" s="7"/>
    </row>
    <row r="78" spans="1:1" ht="18.75">
      <c r="A78" s="7"/>
    </row>
    <row r="79" spans="1:1" ht="18.75">
      <c r="A79" s="7"/>
    </row>
    <row r="80" spans="1:1" ht="18.75">
      <c r="A80" s="7"/>
    </row>
    <row r="81" spans="1:1" ht="18.75">
      <c r="A81" s="7"/>
    </row>
    <row r="82" spans="1:1" ht="18.75">
      <c r="A82" s="7"/>
    </row>
    <row r="83" spans="1:1" ht="18.75">
      <c r="A83" s="7"/>
    </row>
    <row r="84" spans="1:1" ht="18.75">
      <c r="A84" s="7"/>
    </row>
    <row r="85" spans="1:1" ht="18.75">
      <c r="A85" s="7"/>
    </row>
    <row r="86" spans="1:1" ht="18.75">
      <c r="A86" s="7"/>
    </row>
    <row r="87" spans="1:1" ht="18.75">
      <c r="A87" s="7"/>
    </row>
    <row r="88" spans="1:1" ht="18.75">
      <c r="A88" s="7"/>
    </row>
    <row r="89" spans="1:1" ht="18.75">
      <c r="A89" s="7"/>
    </row>
    <row r="90" spans="1:1" ht="18.75">
      <c r="A90" s="7"/>
    </row>
    <row r="91" spans="1:1" ht="18.75">
      <c r="A91" s="7"/>
    </row>
    <row r="92" spans="1:1" ht="18.75">
      <c r="A92" s="7"/>
    </row>
    <row r="93" spans="1:1" ht="18.75">
      <c r="A93" s="7"/>
    </row>
    <row r="94" spans="1:1" ht="18.75">
      <c r="A94" s="7"/>
    </row>
    <row r="95" spans="1:1" ht="18.75">
      <c r="A95" s="7"/>
    </row>
    <row r="96" spans="1:1" ht="18.75">
      <c r="A96" s="7"/>
    </row>
    <row r="97" spans="1:1" ht="18.75">
      <c r="A97" s="7"/>
    </row>
    <row r="98" spans="1:1" ht="18.75">
      <c r="A98" s="7"/>
    </row>
    <row r="99" spans="1:1" ht="18.75">
      <c r="A99" s="7"/>
    </row>
    <row r="100" spans="1:1" ht="18.75">
      <c r="A100" s="7"/>
    </row>
    <row r="101" spans="1:1" ht="18.75">
      <c r="A101" s="7"/>
    </row>
    <row r="102" spans="1:1" ht="18.75">
      <c r="A102" s="7"/>
    </row>
    <row r="103" spans="1:1" ht="18.75">
      <c r="A103" s="7"/>
    </row>
    <row r="104" spans="1:1" ht="18.75">
      <c r="A104" s="7"/>
    </row>
    <row r="105" spans="1:1" ht="18.75">
      <c r="A105" s="7"/>
    </row>
    <row r="106" spans="1:1" ht="18.75">
      <c r="A106" s="7"/>
    </row>
    <row r="107" spans="1:1" ht="18.75">
      <c r="A107" s="7"/>
    </row>
    <row r="108" spans="1:1" ht="18.75">
      <c r="A108" s="7"/>
    </row>
    <row r="109" spans="1:1" ht="18.75">
      <c r="A109" s="7"/>
    </row>
    <row r="110" spans="1:1" ht="18.75">
      <c r="A110" s="7"/>
    </row>
    <row r="111" spans="1:1" ht="18.75">
      <c r="A111" s="7"/>
    </row>
    <row r="112" spans="1:1" ht="18.75">
      <c r="A112" s="7"/>
    </row>
    <row r="113" spans="1:1" ht="18.75">
      <c r="A113" s="7"/>
    </row>
    <row r="114" spans="1:1" ht="18.75">
      <c r="A114" s="7"/>
    </row>
    <row r="115" spans="1:1" ht="18.75">
      <c r="A115" s="7"/>
    </row>
    <row r="116" spans="1:1" ht="18.75">
      <c r="A116" s="7"/>
    </row>
    <row r="117" spans="1:1" ht="18.75">
      <c r="A117" s="7"/>
    </row>
    <row r="118" spans="1:1" ht="18.75">
      <c r="A118" s="7"/>
    </row>
    <row r="119" spans="1:1" ht="18.75">
      <c r="A119" s="7"/>
    </row>
    <row r="120" spans="1:1" ht="18.75">
      <c r="A120" s="7"/>
    </row>
    <row r="121" spans="1:1" ht="18.75">
      <c r="A121" s="7"/>
    </row>
    <row r="122" spans="1:1" ht="18.75">
      <c r="A122" s="7"/>
    </row>
    <row r="123" spans="1:1" ht="18.75">
      <c r="A123" s="7"/>
    </row>
    <row r="124" spans="1:1" ht="18.75">
      <c r="A124" s="7"/>
    </row>
    <row r="125" spans="1:1" ht="18.75">
      <c r="A125" s="7"/>
    </row>
    <row r="126" spans="1:1" ht="18.75">
      <c r="A126" s="7"/>
    </row>
    <row r="127" spans="1:1" ht="18.75">
      <c r="A127" s="7"/>
    </row>
    <row r="128" spans="1:1" ht="18.75">
      <c r="A128" s="7"/>
    </row>
    <row r="129" spans="1:1" ht="18.75">
      <c r="A129" s="7"/>
    </row>
    <row r="130" spans="1:1" ht="18.75">
      <c r="A130" s="7"/>
    </row>
    <row r="131" spans="1:1" ht="18.75">
      <c r="A131" s="7"/>
    </row>
    <row r="132" spans="1:1" ht="18.75">
      <c r="A132" s="7"/>
    </row>
    <row r="133" spans="1:1" ht="18.75">
      <c r="A133" s="7"/>
    </row>
    <row r="134" spans="1:1" ht="18.75">
      <c r="A134" s="7"/>
    </row>
    <row r="135" spans="1:1" ht="18.75">
      <c r="A135" s="7"/>
    </row>
    <row r="136" spans="1:1" ht="18.75">
      <c r="A136" s="7"/>
    </row>
    <row r="137" spans="1:1" ht="18.75">
      <c r="A137" s="7"/>
    </row>
    <row r="138" spans="1:1" ht="18.75">
      <c r="A138" s="7"/>
    </row>
    <row r="139" spans="1:1" ht="18.75">
      <c r="A139" s="7"/>
    </row>
    <row r="140" spans="1:1" ht="18.75">
      <c r="A140" s="7"/>
    </row>
    <row r="141" spans="1:1" ht="18.75">
      <c r="A141" s="7"/>
    </row>
    <row r="142" spans="1:1" ht="18.75">
      <c r="A142" s="7"/>
    </row>
    <row r="143" spans="1:1" ht="18.75">
      <c r="A143" s="7"/>
    </row>
    <row r="144" spans="1:1" ht="18.75">
      <c r="A144" s="7"/>
    </row>
    <row r="145" spans="1:1" ht="18.75">
      <c r="A145" s="7"/>
    </row>
    <row r="146" spans="1:1" ht="18.75">
      <c r="A146" s="7"/>
    </row>
    <row r="147" spans="1:1" ht="18.75">
      <c r="A147" s="7"/>
    </row>
    <row r="148" spans="1:1" ht="18.75">
      <c r="A148" s="7"/>
    </row>
    <row r="149" spans="1:1" ht="18.75">
      <c r="A149" s="7"/>
    </row>
    <row r="150" spans="1:1" ht="18.75">
      <c r="A150" s="7"/>
    </row>
    <row r="151" spans="1:1" ht="18.75">
      <c r="A151" s="7"/>
    </row>
    <row r="152" spans="1:1" ht="18.75">
      <c r="A152" s="7"/>
    </row>
    <row r="153" spans="1:1" ht="18.75">
      <c r="A153" s="7"/>
    </row>
    <row r="154" spans="1:1" ht="18.75">
      <c r="A154" s="7"/>
    </row>
    <row r="155" spans="1:1" ht="18.75">
      <c r="A155" s="7"/>
    </row>
    <row r="156" spans="1:1" ht="18.75">
      <c r="A156" s="7"/>
    </row>
    <row r="157" spans="1:1" ht="18.75">
      <c r="A157" s="7"/>
    </row>
    <row r="158" spans="1:1" ht="18.75">
      <c r="A158" s="7"/>
    </row>
    <row r="159" spans="1:1" ht="18.75">
      <c r="A159" s="7"/>
    </row>
    <row r="160" spans="1:1" ht="18.75">
      <c r="A160" s="7"/>
    </row>
    <row r="161" spans="1:1" ht="18.75">
      <c r="A161" s="7"/>
    </row>
    <row r="162" spans="1:1" ht="18.75">
      <c r="A162" s="7"/>
    </row>
    <row r="163" spans="1:1" ht="18.75">
      <c r="A163" s="7"/>
    </row>
    <row r="164" spans="1:1" ht="18.75">
      <c r="A164" s="7"/>
    </row>
    <row r="165" spans="1:1" ht="18.75">
      <c r="A165" s="7"/>
    </row>
    <row r="166" spans="1:1" ht="18.75">
      <c r="A166" s="7"/>
    </row>
    <row r="167" spans="1:1" ht="18.75">
      <c r="A167" s="7"/>
    </row>
    <row r="168" spans="1:1" ht="18.75">
      <c r="A168" s="7"/>
    </row>
    <row r="169" spans="1:1" ht="18.75">
      <c r="A169" s="7"/>
    </row>
    <row r="170" spans="1:1" ht="18.75">
      <c r="A170" s="7"/>
    </row>
    <row r="171" spans="1:1" ht="18.75">
      <c r="A171" s="7"/>
    </row>
    <row r="172" spans="1:1" ht="18.75">
      <c r="A172" s="7"/>
    </row>
    <row r="173" spans="1:1" ht="18.75">
      <c r="A173" s="7"/>
    </row>
    <row r="174" spans="1:1" ht="18.75">
      <c r="A174" s="7"/>
    </row>
    <row r="175" spans="1:1" ht="18.75">
      <c r="A175" s="7"/>
    </row>
    <row r="176" spans="1:1" ht="18.75">
      <c r="A176" s="7"/>
    </row>
    <row r="177" spans="1:1" ht="18.75">
      <c r="A177" s="7"/>
    </row>
    <row r="178" spans="1:1" ht="18.75">
      <c r="A178" s="7"/>
    </row>
    <row r="179" spans="1:1" ht="18.75">
      <c r="A179" s="7"/>
    </row>
    <row r="180" spans="1:1" ht="18.75">
      <c r="A180" s="7"/>
    </row>
    <row r="181" spans="1:1" ht="18.75">
      <c r="A181" s="7"/>
    </row>
    <row r="182" spans="1:1" ht="18.75">
      <c r="A182" s="7"/>
    </row>
    <row r="183" spans="1:1" ht="18.75">
      <c r="A183" s="7"/>
    </row>
    <row r="184" spans="1:1" ht="18.75">
      <c r="A184" s="7"/>
    </row>
    <row r="185" spans="1:1" ht="18.75">
      <c r="A185" s="7"/>
    </row>
    <row r="186" spans="1:1" ht="18.75">
      <c r="A186" s="7"/>
    </row>
    <row r="187" spans="1:1" ht="18.75">
      <c r="A187" s="7"/>
    </row>
    <row r="188" spans="1:1" ht="18.75">
      <c r="A188" s="7"/>
    </row>
    <row r="189" spans="1:1" ht="18.75">
      <c r="A189" s="7"/>
    </row>
    <row r="190" spans="1:1" ht="18.75">
      <c r="A190" s="7"/>
    </row>
    <row r="191" spans="1:1" ht="18.75">
      <c r="A191" s="7"/>
    </row>
    <row r="192" spans="1:1" ht="18.75">
      <c r="A192" s="7"/>
    </row>
    <row r="193" spans="1:1" ht="18.75">
      <c r="A193" s="7"/>
    </row>
    <row r="194" spans="1:1" ht="18.75">
      <c r="A194" s="7"/>
    </row>
    <row r="195" spans="1:1" ht="18.75">
      <c r="A195" s="7"/>
    </row>
    <row r="196" spans="1:1" ht="18.75">
      <c r="A196" s="7"/>
    </row>
    <row r="197" spans="1:1" ht="18.75">
      <c r="A197" s="7"/>
    </row>
    <row r="198" spans="1:1" ht="18.75">
      <c r="A198" s="7"/>
    </row>
    <row r="199" spans="1:1" ht="18.75">
      <c r="A199" s="7"/>
    </row>
    <row r="200" spans="1:1" ht="18.75">
      <c r="A200" s="7"/>
    </row>
    <row r="201" spans="1:1" ht="18.75">
      <c r="A201" s="7"/>
    </row>
    <row r="202" spans="1:1" ht="18.75">
      <c r="A202" s="7"/>
    </row>
    <row r="203" spans="1:1" ht="18.75">
      <c r="A203" s="7"/>
    </row>
    <row r="204" spans="1:1" ht="18.75">
      <c r="A204" s="7"/>
    </row>
    <row r="205" spans="1:1" ht="18.75">
      <c r="A205" s="7"/>
    </row>
    <row r="206" spans="1:1" ht="18.75">
      <c r="A206" s="7"/>
    </row>
    <row r="207" spans="1:1" ht="18.75">
      <c r="A207" s="7"/>
    </row>
    <row r="208" spans="1:1" ht="18.75">
      <c r="A208" s="7"/>
    </row>
    <row r="209" spans="1:1" ht="18.75">
      <c r="A209" s="7"/>
    </row>
    <row r="210" spans="1:1" ht="18.75">
      <c r="A210" s="7"/>
    </row>
    <row r="211" spans="1:1" ht="18.75">
      <c r="A211" s="7"/>
    </row>
    <row r="212" spans="1:1" ht="18.75">
      <c r="A212" s="7"/>
    </row>
    <row r="213" spans="1:1" ht="18.75">
      <c r="A213" s="7"/>
    </row>
    <row r="214" spans="1:1" ht="18.75">
      <c r="A214" s="7"/>
    </row>
    <row r="215" spans="1:1" ht="18.75">
      <c r="A215" s="7"/>
    </row>
    <row r="216" spans="1:1" ht="18.75">
      <c r="A216" s="7"/>
    </row>
    <row r="217" spans="1:1" ht="18.75">
      <c r="A217" s="7"/>
    </row>
    <row r="218" spans="1:1" ht="18.75">
      <c r="A218" s="7"/>
    </row>
    <row r="219" spans="1:1" ht="18.75">
      <c r="A219" s="7"/>
    </row>
    <row r="220" spans="1:1" ht="18.75">
      <c r="A220" s="7"/>
    </row>
    <row r="221" spans="1:1" ht="18.75">
      <c r="A221" s="7"/>
    </row>
    <row r="222" spans="1:1" ht="18.75">
      <c r="A222" s="7"/>
    </row>
    <row r="223" spans="1:1" ht="18.75">
      <c r="A223" s="7"/>
    </row>
    <row r="224" spans="1:1" ht="18.75">
      <c r="A224" s="7"/>
    </row>
    <row r="225" spans="1:1" ht="18.75">
      <c r="A225" s="7"/>
    </row>
    <row r="226" spans="1:1" ht="18.75">
      <c r="A226" s="7"/>
    </row>
    <row r="227" spans="1:1" ht="18.75">
      <c r="A227" s="7"/>
    </row>
    <row r="228" spans="1:1" ht="18.75">
      <c r="A228" s="7"/>
    </row>
    <row r="229" spans="1:1" ht="18.75">
      <c r="A229" s="7"/>
    </row>
    <row r="230" spans="1:1" ht="18.75">
      <c r="A230" s="7"/>
    </row>
    <row r="231" spans="1:1" ht="18.75">
      <c r="A231" s="7"/>
    </row>
    <row r="232" spans="1:1" ht="18.75">
      <c r="A232" s="7"/>
    </row>
    <row r="233" spans="1:1" ht="18.75">
      <c r="A233" s="7"/>
    </row>
    <row r="234" spans="1:1" ht="18.75">
      <c r="A234" s="7"/>
    </row>
    <row r="235" spans="1:1" ht="18.75">
      <c r="A235" s="7"/>
    </row>
    <row r="236" spans="1:1" ht="18.75">
      <c r="A236" s="7"/>
    </row>
    <row r="237" spans="1:1" ht="18.75">
      <c r="A237" s="7"/>
    </row>
    <row r="238" spans="1:1" ht="18.75">
      <c r="A238" s="7"/>
    </row>
    <row r="239" spans="1:1" ht="18.75">
      <c r="A239" s="7"/>
    </row>
    <row r="240" spans="1:1" ht="18.75">
      <c r="A240" s="7"/>
    </row>
    <row r="241" spans="1:1" ht="18.75">
      <c r="A241" s="7"/>
    </row>
    <row r="242" spans="1:1" ht="18.75">
      <c r="A242" s="7"/>
    </row>
    <row r="243" spans="1:1" ht="18.75">
      <c r="A243" s="7"/>
    </row>
    <row r="244" spans="1:1" ht="18.75">
      <c r="A244" s="7"/>
    </row>
    <row r="245" spans="1:1" ht="18.75">
      <c r="A245" s="7"/>
    </row>
    <row r="246" spans="1:1" ht="18.75">
      <c r="A246" s="7"/>
    </row>
    <row r="247" spans="1:1" ht="18.75">
      <c r="A247" s="7"/>
    </row>
    <row r="248" spans="1:1" ht="18.75">
      <c r="A248" s="7"/>
    </row>
    <row r="249" spans="1:1" ht="18.75">
      <c r="A249" s="7"/>
    </row>
    <row r="250" spans="1:1" ht="18.75">
      <c r="A250" s="7"/>
    </row>
    <row r="251" spans="1:1" ht="18.75">
      <c r="A251" s="7"/>
    </row>
    <row r="252" spans="1:1" ht="18.75">
      <c r="A252" s="7"/>
    </row>
    <row r="253" spans="1:1" ht="18.75">
      <c r="A253" s="7"/>
    </row>
    <row r="254" spans="1:1" ht="18.75">
      <c r="A254" s="7"/>
    </row>
    <row r="255" spans="1:1" ht="18.75">
      <c r="A255" s="7"/>
    </row>
    <row r="256" spans="1:1" ht="18.75">
      <c r="A256" s="7"/>
    </row>
    <row r="257" spans="1:1" ht="18.75">
      <c r="A257" s="7"/>
    </row>
    <row r="258" spans="1:1" ht="18.75">
      <c r="A258" s="7"/>
    </row>
    <row r="259" spans="1:1" ht="18.75">
      <c r="A259" s="7"/>
    </row>
    <row r="260" spans="1:1" ht="18.75">
      <c r="A260" s="7"/>
    </row>
    <row r="261" spans="1:1" ht="18.75">
      <c r="A261" s="7"/>
    </row>
    <row r="262" spans="1:1" ht="18.75">
      <c r="A262" s="7"/>
    </row>
    <row r="263" spans="1:1" ht="18.75">
      <c r="A263" s="7"/>
    </row>
    <row r="264" spans="1:1" ht="18.75">
      <c r="A264" s="7"/>
    </row>
    <row r="265" spans="1:1" ht="18.75">
      <c r="A265" s="7"/>
    </row>
    <row r="266" spans="1:1" ht="18.75">
      <c r="A266" s="7"/>
    </row>
    <row r="267" spans="1:1" ht="18.75">
      <c r="A267" s="7"/>
    </row>
    <row r="268" spans="1:1" ht="18.75">
      <c r="A268" s="7"/>
    </row>
    <row r="269" spans="1:1" ht="18.75">
      <c r="A269" s="7"/>
    </row>
    <row r="270" spans="1:1" ht="18.75">
      <c r="A270" s="7"/>
    </row>
    <row r="271" spans="1:1" ht="18.75">
      <c r="A271" s="7"/>
    </row>
    <row r="272" spans="1:1" ht="18.75">
      <c r="A272" s="7"/>
    </row>
    <row r="273" spans="1:1" ht="18.75">
      <c r="A273" s="7"/>
    </row>
    <row r="274" spans="1:1" ht="18.75">
      <c r="A274" s="7"/>
    </row>
    <row r="275" spans="1:1" ht="18.75">
      <c r="A275" s="7"/>
    </row>
    <row r="276" spans="1:1" ht="18.75">
      <c r="A276" s="7"/>
    </row>
    <row r="277" spans="1:1" ht="18.75">
      <c r="A277" s="7"/>
    </row>
    <row r="278" spans="1:1" ht="18.75">
      <c r="A278" s="7"/>
    </row>
    <row r="279" spans="1:1" ht="18.75">
      <c r="A279" s="7"/>
    </row>
    <row r="280" spans="1:1" ht="18.75">
      <c r="A280" s="7"/>
    </row>
    <row r="281" spans="1:1" ht="18.75">
      <c r="A281" s="7"/>
    </row>
    <row r="282" spans="1:1" ht="18.75">
      <c r="A282" s="7"/>
    </row>
    <row r="283" spans="1:1" ht="18.75">
      <c r="A283" s="7"/>
    </row>
    <row r="284" spans="1:1" ht="18.75">
      <c r="A284" s="7"/>
    </row>
    <row r="285" spans="1:1" ht="18.75">
      <c r="A285" s="7"/>
    </row>
    <row r="286" spans="1:1" ht="18.75">
      <c r="A286" s="7"/>
    </row>
    <row r="287" spans="1:1" ht="18.75">
      <c r="A287" s="7"/>
    </row>
    <row r="288" spans="1:1" ht="18.75">
      <c r="A288" s="7"/>
    </row>
    <row r="289" spans="1:1" ht="18.75">
      <c r="A289" s="7"/>
    </row>
    <row r="290" spans="1:1" ht="18.75">
      <c r="A290" s="7"/>
    </row>
    <row r="291" spans="1:1" ht="18.75">
      <c r="A291" s="7"/>
    </row>
    <row r="292" spans="1:1" ht="18.75">
      <c r="A292" s="7"/>
    </row>
    <row r="293" spans="1:1" ht="18.75">
      <c r="A293" s="7"/>
    </row>
    <row r="294" spans="1:1" ht="18.75">
      <c r="A294" s="7"/>
    </row>
    <row r="295" spans="1:1" ht="18.75">
      <c r="A295" s="7"/>
    </row>
    <row r="296" spans="1:1" ht="18.75">
      <c r="A296" s="7"/>
    </row>
    <row r="297" spans="1:1" ht="18.75">
      <c r="A297" s="7"/>
    </row>
    <row r="298" spans="1:1" ht="18.75">
      <c r="A298" s="7"/>
    </row>
    <row r="299" spans="1:1" ht="18.75">
      <c r="A299" s="7"/>
    </row>
    <row r="300" spans="1:1" ht="18.75">
      <c r="A300" s="7"/>
    </row>
    <row r="301" spans="1:1" ht="18.75">
      <c r="A301" s="7"/>
    </row>
    <row r="302" spans="1:1" ht="18.75">
      <c r="A302" s="7"/>
    </row>
    <row r="303" spans="1:1" ht="18.75">
      <c r="A303" s="7"/>
    </row>
    <row r="304" spans="1:1" ht="18.75">
      <c r="A304" s="7"/>
    </row>
    <row r="305" spans="1:1" ht="18.75">
      <c r="A305" s="7"/>
    </row>
    <row r="306" spans="1:1" ht="18.75">
      <c r="A306" s="7"/>
    </row>
    <row r="307" spans="1:1" ht="18.75">
      <c r="A307" s="7"/>
    </row>
    <row r="308" spans="1:1" ht="18.75">
      <c r="A308" s="7"/>
    </row>
    <row r="309" spans="1:1" ht="18.75">
      <c r="A309" s="7"/>
    </row>
    <row r="310" spans="1:1" ht="18.75">
      <c r="A310" s="7"/>
    </row>
    <row r="311" spans="1:1" ht="18.75">
      <c r="A311" s="7"/>
    </row>
    <row r="312" spans="1:1" ht="18.75">
      <c r="A312" s="7"/>
    </row>
    <row r="313" spans="1:1" ht="18.75">
      <c r="A313" s="7"/>
    </row>
    <row r="314" spans="1:1" ht="18.75">
      <c r="A314" s="7"/>
    </row>
    <row r="315" spans="1:1" ht="18.75">
      <c r="A315" s="7"/>
    </row>
    <row r="316" spans="1:1" ht="18.75">
      <c r="A316" s="7"/>
    </row>
    <row r="317" spans="1:1" ht="18.75">
      <c r="A317" s="7"/>
    </row>
    <row r="318" spans="1:1" ht="18.75">
      <c r="A318" s="7"/>
    </row>
    <row r="319" spans="1:1" ht="18.75">
      <c r="A319" s="7"/>
    </row>
    <row r="320" spans="1:1" ht="18.75">
      <c r="A320" s="7"/>
    </row>
    <row r="321" spans="1:1" ht="18.75">
      <c r="A321" s="7"/>
    </row>
    <row r="322" spans="1:1" ht="18.75">
      <c r="A322" s="7"/>
    </row>
    <row r="323" spans="1:1" ht="18.75">
      <c r="A323" s="7"/>
    </row>
    <row r="324" spans="1:1" ht="18.75">
      <c r="A324" s="7"/>
    </row>
    <row r="325" spans="1:1" ht="18.75">
      <c r="A325" s="7"/>
    </row>
    <row r="326" spans="1:1" ht="18.75">
      <c r="A326" s="7"/>
    </row>
    <row r="327" spans="1:1" ht="18.75">
      <c r="A327" s="7"/>
    </row>
    <row r="328" spans="1:1" ht="18.75">
      <c r="A328" s="7"/>
    </row>
    <row r="329" spans="1:1" ht="18.75">
      <c r="A329" s="7"/>
    </row>
    <row r="330" spans="1:1" ht="18.75">
      <c r="A330" s="7"/>
    </row>
    <row r="331" spans="1:1" ht="18.75">
      <c r="A331" s="7"/>
    </row>
    <row r="332" spans="1:1" ht="18.75">
      <c r="A332" s="7"/>
    </row>
    <row r="333" spans="1:1" ht="18.75">
      <c r="A333" s="7"/>
    </row>
    <row r="334" spans="1:1" ht="18.75">
      <c r="A334" s="7"/>
    </row>
    <row r="335" spans="1:1" ht="18.75">
      <c r="A335" s="7"/>
    </row>
    <row r="336" spans="1:1" ht="18.75">
      <c r="A336" s="7"/>
    </row>
    <row r="337" spans="1:1" ht="18.75">
      <c r="A337" s="7"/>
    </row>
    <row r="338" spans="1:1" ht="18.75">
      <c r="A338" s="7"/>
    </row>
    <row r="339" spans="1:1" ht="18.75">
      <c r="A339" s="7"/>
    </row>
    <row r="340" spans="1:1" ht="18.75">
      <c r="A340" s="7"/>
    </row>
    <row r="341" spans="1:1" ht="18.75">
      <c r="A341" s="7"/>
    </row>
    <row r="342" spans="1:1" ht="18.75">
      <c r="A342" s="7"/>
    </row>
    <row r="343" spans="1:1" ht="18.75">
      <c r="A343" s="7"/>
    </row>
    <row r="344" spans="1:1" ht="18.75">
      <c r="A344" s="7"/>
    </row>
    <row r="345" spans="1:1" ht="18.75">
      <c r="A345" s="7"/>
    </row>
    <row r="346" spans="1:1" ht="18.75">
      <c r="A346" s="7"/>
    </row>
    <row r="347" spans="1:1" ht="18.75">
      <c r="A347" s="7"/>
    </row>
    <row r="348" spans="1:1" ht="18.75">
      <c r="A348" s="7"/>
    </row>
    <row r="349" spans="1:1" ht="18.75">
      <c r="A349" s="7"/>
    </row>
    <row r="350" spans="1:1" ht="18.75">
      <c r="A350" s="7"/>
    </row>
    <row r="351" spans="1:1" ht="18.75">
      <c r="A351" s="7"/>
    </row>
    <row r="352" spans="1:1" ht="18.75">
      <c r="A352" s="7"/>
    </row>
    <row r="353" spans="1:1" ht="18.75">
      <c r="A353" s="7"/>
    </row>
    <row r="354" spans="1:1" ht="18.75">
      <c r="A354" s="7"/>
    </row>
    <row r="355" spans="1:1" ht="18.75">
      <c r="A355" s="7"/>
    </row>
    <row r="356" spans="1:1" ht="18.75">
      <c r="A356" s="7"/>
    </row>
    <row r="357" spans="1:1" ht="18.75">
      <c r="A357" s="7"/>
    </row>
    <row r="358" spans="1:1" ht="18.75">
      <c r="A358" s="7"/>
    </row>
    <row r="359" spans="1:1" ht="18.75">
      <c r="A359" s="7"/>
    </row>
    <row r="360" spans="1:1" ht="18.75">
      <c r="A360" s="7"/>
    </row>
    <row r="361" spans="1:1" ht="18.75">
      <c r="A361" s="7"/>
    </row>
    <row r="362" spans="1:1" ht="18.75">
      <c r="A362" s="7"/>
    </row>
    <row r="363" spans="1:1" ht="18.75">
      <c r="A363" s="7"/>
    </row>
    <row r="364" spans="1:1" ht="18.75">
      <c r="A364" s="7"/>
    </row>
    <row r="365" spans="1:1" ht="18.75">
      <c r="A365" s="7"/>
    </row>
    <row r="366" spans="1:1" ht="18.75">
      <c r="A366" s="7"/>
    </row>
    <row r="367" spans="1:1" ht="18.75">
      <c r="A367" s="7"/>
    </row>
    <row r="368" spans="1:1" ht="18.75">
      <c r="A368" s="7"/>
    </row>
    <row r="369" spans="1:1" ht="18.75">
      <c r="A369" s="7"/>
    </row>
    <row r="370" spans="1:1" ht="18.75">
      <c r="A370" s="7"/>
    </row>
    <row r="371" spans="1:1" ht="18.75">
      <c r="A371" s="7"/>
    </row>
    <row r="372" spans="1:1" ht="18.75">
      <c r="A372" s="7"/>
    </row>
    <row r="373" spans="1:1" ht="18.75">
      <c r="A373" s="7"/>
    </row>
    <row r="374" spans="1:1" ht="18.75">
      <c r="A374" s="7"/>
    </row>
    <row r="375" spans="1:1" ht="18.75">
      <c r="A375" s="7"/>
    </row>
    <row r="376" spans="1:1" ht="18.75">
      <c r="A376" s="7"/>
    </row>
    <row r="377" spans="1:1" ht="18.75">
      <c r="A377" s="7"/>
    </row>
    <row r="378" spans="1:1" ht="18.75">
      <c r="A378" s="7"/>
    </row>
    <row r="379" spans="1:1" ht="18.75">
      <c r="A379" s="7"/>
    </row>
    <row r="380" spans="1:1" ht="18.75">
      <c r="A380" s="7"/>
    </row>
    <row r="381" spans="1:1" ht="18.75">
      <c r="A381" s="7"/>
    </row>
    <row r="382" spans="1:1" ht="18.75">
      <c r="A382" s="7"/>
    </row>
    <row r="383" spans="1:1" ht="18.75">
      <c r="A383" s="7"/>
    </row>
    <row r="384" spans="1:1" ht="18.75">
      <c r="A384" s="7"/>
    </row>
    <row r="385" spans="1:1" ht="18.75">
      <c r="A385" s="7"/>
    </row>
    <row r="386" spans="1:1" ht="18.75">
      <c r="A386" s="7"/>
    </row>
    <row r="387" spans="1:1" ht="18.75">
      <c r="A387" s="7"/>
    </row>
    <row r="388" spans="1:1" ht="18.75">
      <c r="A388" s="7"/>
    </row>
    <row r="389" spans="1:1" ht="18.75">
      <c r="A389" s="7"/>
    </row>
    <row r="390" spans="1:1" ht="18.75">
      <c r="A390" s="7"/>
    </row>
    <row r="391" spans="1:1" ht="18.75">
      <c r="A391" s="7"/>
    </row>
    <row r="392" spans="1:1" ht="18.75">
      <c r="A392" s="7"/>
    </row>
    <row r="393" spans="1:1" ht="18.75">
      <c r="A393" s="7"/>
    </row>
    <row r="394" spans="1:1" ht="18.75">
      <c r="A394" s="7"/>
    </row>
    <row r="395" spans="1:1" ht="18.75">
      <c r="A395" s="7"/>
    </row>
    <row r="396" spans="1:1" ht="18.75">
      <c r="A396" s="7"/>
    </row>
    <row r="397" spans="1:1" ht="18.75">
      <c r="A397" s="7"/>
    </row>
    <row r="398" spans="1:1" ht="18.75">
      <c r="A398" s="7"/>
    </row>
    <row r="399" spans="1:1" ht="18.75">
      <c r="A399" s="7"/>
    </row>
    <row r="400" spans="1:1" ht="18.75">
      <c r="A400" s="7"/>
    </row>
    <row r="401" spans="1:1" ht="18.75">
      <c r="A401" s="7"/>
    </row>
    <row r="402" spans="1:1" ht="18.75">
      <c r="A402" s="7"/>
    </row>
    <row r="403" spans="1:1" ht="18.75">
      <c r="A403" s="7"/>
    </row>
    <row r="404" spans="1:1" ht="18.75">
      <c r="A404" s="7"/>
    </row>
    <row r="405" spans="1:1" ht="18.75">
      <c r="A405" s="7"/>
    </row>
    <row r="406" spans="1:1" ht="18.75">
      <c r="A406" s="7"/>
    </row>
    <row r="407" spans="1:1" ht="18.75">
      <c r="A407" s="7"/>
    </row>
    <row r="408" spans="1:1" ht="18.75">
      <c r="A408" s="7"/>
    </row>
    <row r="409" spans="1:1" ht="18.75">
      <c r="A409" s="7"/>
    </row>
    <row r="410" spans="1:1" ht="18.75">
      <c r="A410" s="7"/>
    </row>
    <row r="411" spans="1:1" ht="18.75">
      <c r="A411" s="7"/>
    </row>
    <row r="412" spans="1:1" ht="18.75">
      <c r="A412" s="7"/>
    </row>
    <row r="413" spans="1:1" ht="18.75">
      <c r="A413" s="7"/>
    </row>
    <row r="414" spans="1:1" ht="18.75">
      <c r="A414" s="7"/>
    </row>
    <row r="415" spans="1:1" ht="18.75">
      <c r="A415" s="7"/>
    </row>
    <row r="416" spans="1:1" ht="18.75">
      <c r="A416" s="7"/>
    </row>
    <row r="417" spans="1:1" ht="18.75">
      <c r="A417" s="7"/>
    </row>
    <row r="418" spans="1:1" ht="18.75">
      <c r="A418" s="7"/>
    </row>
    <row r="419" spans="1:1" ht="18.75">
      <c r="A419" s="7"/>
    </row>
    <row r="420" spans="1:1" ht="18.75">
      <c r="A420" s="7"/>
    </row>
    <row r="421" spans="1:1" ht="18.75">
      <c r="A421" s="7"/>
    </row>
    <row r="422" spans="1:1" ht="18.75">
      <c r="A422" s="7"/>
    </row>
    <row r="423" spans="1:1" ht="18.75">
      <c r="A423" s="7"/>
    </row>
    <row r="424" spans="1:1" ht="18.75">
      <c r="A424" s="7"/>
    </row>
    <row r="425" spans="1:1" ht="18.75">
      <c r="A425" s="7"/>
    </row>
    <row r="426" spans="1:1" ht="18.75">
      <c r="A426" s="7"/>
    </row>
    <row r="427" spans="1:1" ht="18.75">
      <c r="A427" s="7"/>
    </row>
    <row r="428" spans="1:1" ht="18.75">
      <c r="A428" s="7"/>
    </row>
    <row r="429" spans="1:1" ht="18.75">
      <c r="A429" s="7"/>
    </row>
    <row r="430" spans="1:1" ht="18.75">
      <c r="A430" s="7"/>
    </row>
    <row r="431" spans="1:1" ht="18.75">
      <c r="A431" s="7"/>
    </row>
    <row r="432" spans="1:1" ht="18.75">
      <c r="A432" s="7"/>
    </row>
    <row r="433" spans="1:1" ht="18.75">
      <c r="A433" s="7"/>
    </row>
    <row r="434" spans="1:1" ht="18.75">
      <c r="A434" s="7"/>
    </row>
    <row r="435" spans="1:1" ht="18.75">
      <c r="A435" s="7"/>
    </row>
    <row r="436" spans="1:1" ht="18.75">
      <c r="A436" s="7"/>
    </row>
    <row r="437" spans="1:1" ht="18.75">
      <c r="A437" s="7"/>
    </row>
    <row r="438" spans="1:1" ht="18.75">
      <c r="A438" s="7"/>
    </row>
    <row r="439" spans="1:1" ht="18.75">
      <c r="A439" s="7"/>
    </row>
    <row r="440" spans="1:1" ht="18.75">
      <c r="A440" s="7"/>
    </row>
    <row r="441" spans="1:1" ht="18.75">
      <c r="A441" s="7"/>
    </row>
    <row r="442" spans="1:1" ht="18.75">
      <c r="A442" s="7"/>
    </row>
    <row r="443" spans="1:1" ht="18.75">
      <c r="A443" s="7"/>
    </row>
    <row r="444" spans="1:1" ht="18.75">
      <c r="A444" s="7"/>
    </row>
    <row r="445" spans="1:1" ht="18.75">
      <c r="A445" s="7"/>
    </row>
    <row r="446" spans="1:1" ht="18.75">
      <c r="A446" s="7"/>
    </row>
    <row r="447" spans="1:1" ht="18.75">
      <c r="A447" s="7"/>
    </row>
    <row r="448" spans="1:1" ht="18.75">
      <c r="A448" s="7"/>
    </row>
    <row r="449" spans="1:1" ht="18.75">
      <c r="A449" s="7"/>
    </row>
    <row r="450" spans="1:1" ht="18.75">
      <c r="A450" s="7"/>
    </row>
    <row r="451" spans="1:1" ht="18.75">
      <c r="A451" s="7"/>
    </row>
    <row r="452" spans="1:1" ht="18.75">
      <c r="A452" s="7"/>
    </row>
    <row r="453" spans="1:1" ht="18.75">
      <c r="A453" s="7"/>
    </row>
    <row r="454" spans="1:1" ht="18.75">
      <c r="A454" s="7"/>
    </row>
    <row r="455" spans="1:1" ht="18.75">
      <c r="A455" s="7"/>
    </row>
    <row r="456" spans="1:1" ht="18.75">
      <c r="A456" s="7"/>
    </row>
    <row r="457" spans="1:1" ht="18.75">
      <c r="A457" s="7"/>
    </row>
    <row r="458" spans="1:1" ht="18.75">
      <c r="A458" s="7"/>
    </row>
    <row r="459" spans="1:1" ht="18.75">
      <c r="A459" s="7"/>
    </row>
    <row r="460" spans="1:1" ht="18.75">
      <c r="A460" s="7"/>
    </row>
    <row r="461" spans="1:1" ht="18.75">
      <c r="A461" s="7"/>
    </row>
    <row r="462" spans="1:1" ht="18.75">
      <c r="A462" s="7"/>
    </row>
    <row r="463" spans="1:1" ht="18.75">
      <c r="A463" s="7"/>
    </row>
    <row r="464" spans="1:1" ht="18.75">
      <c r="A464" s="7"/>
    </row>
    <row r="465" spans="1:1" ht="18.75">
      <c r="A465" s="7"/>
    </row>
    <row r="466" spans="1:1" ht="18.75">
      <c r="A466" s="7"/>
    </row>
    <row r="467" spans="1:1" ht="18.75">
      <c r="A467" s="7"/>
    </row>
    <row r="468" spans="1:1" ht="18.75">
      <c r="A468" s="7"/>
    </row>
    <row r="469" spans="1:1" ht="18.75">
      <c r="A469" s="7"/>
    </row>
    <row r="470" spans="1:1" ht="18.75">
      <c r="A470" s="7"/>
    </row>
    <row r="471" spans="1:1" ht="18.75">
      <c r="A471" s="7"/>
    </row>
    <row r="472" spans="1:1" ht="18.75">
      <c r="A472" s="7"/>
    </row>
    <row r="473" spans="1:1" ht="18.75">
      <c r="A473" s="7"/>
    </row>
    <row r="474" spans="1:1" ht="18.75">
      <c r="A474" s="7"/>
    </row>
    <row r="475" spans="1:1" ht="18.75">
      <c r="A475" s="7"/>
    </row>
    <row r="476" spans="1:1" ht="18.75">
      <c r="A476" s="7"/>
    </row>
    <row r="477" spans="1:1" ht="18.75">
      <c r="A477" s="7"/>
    </row>
    <row r="478" spans="1:1" ht="18.75">
      <c r="A478" s="7"/>
    </row>
    <row r="479" spans="1:1" ht="18.75">
      <c r="A479" s="7"/>
    </row>
    <row r="480" spans="1:1" ht="18.75">
      <c r="A480" s="7"/>
    </row>
    <row r="481" spans="1:1" ht="18.75">
      <c r="A481" s="7"/>
    </row>
    <row r="482" spans="1:1" ht="18.75">
      <c r="A482" s="7"/>
    </row>
    <row r="483" spans="1:1" ht="18.75">
      <c r="A483" s="7"/>
    </row>
    <row r="484" spans="1:1" ht="18.75">
      <c r="A484" s="7"/>
    </row>
    <row r="485" spans="1:1" ht="18.75">
      <c r="A485" s="7"/>
    </row>
    <row r="486" spans="1:1" ht="18.75">
      <c r="A486" s="7"/>
    </row>
    <row r="487" spans="1:1" ht="18.75">
      <c r="A487" s="7"/>
    </row>
    <row r="488" spans="1:1" ht="18.75">
      <c r="A488" s="7"/>
    </row>
    <row r="489" spans="1:1" ht="18.75">
      <c r="A489" s="7"/>
    </row>
    <row r="490" spans="1:1" ht="18.75">
      <c r="A490" s="7"/>
    </row>
    <row r="491" spans="1:1" ht="18.75">
      <c r="A491" s="7"/>
    </row>
    <row r="492" spans="1:1" ht="18.75">
      <c r="A492" s="7"/>
    </row>
    <row r="493" spans="1:1" ht="18.75">
      <c r="A493" s="7"/>
    </row>
    <row r="494" spans="1:1" ht="18.75">
      <c r="A494" s="7"/>
    </row>
    <row r="495" spans="1:1" ht="18.75">
      <c r="A495" s="7"/>
    </row>
    <row r="496" spans="1:1" ht="18.75">
      <c r="A496" s="7"/>
    </row>
    <row r="497" spans="1:1" ht="18.75">
      <c r="A497" s="7"/>
    </row>
    <row r="498" spans="1:1" ht="18.75">
      <c r="A498" s="7"/>
    </row>
    <row r="499" spans="1:1" ht="18.75">
      <c r="A499" s="7"/>
    </row>
    <row r="500" spans="1:1" ht="18.75">
      <c r="A500" s="7"/>
    </row>
    <row r="501" spans="1:1" ht="18.75">
      <c r="A501" s="7"/>
    </row>
    <row r="502" spans="1:1" ht="18.75">
      <c r="A502" s="7"/>
    </row>
    <row r="503" spans="1:1" ht="18.75">
      <c r="A503" s="7"/>
    </row>
    <row r="504" spans="1:1" ht="18.75">
      <c r="A504" s="7"/>
    </row>
    <row r="505" spans="1:1" ht="18.75">
      <c r="A505" s="7"/>
    </row>
    <row r="506" spans="1:1" ht="18.75">
      <c r="A506" s="7"/>
    </row>
    <row r="507" spans="1:1" ht="18.75">
      <c r="A507" s="7"/>
    </row>
    <row r="508" spans="1:1" ht="18.75">
      <c r="A508" s="7"/>
    </row>
    <row r="509" spans="1:1" ht="18.75">
      <c r="A509" s="7"/>
    </row>
    <row r="510" spans="1:1" ht="18.75">
      <c r="A510" s="7"/>
    </row>
    <row r="511" spans="1:1" ht="18.75">
      <c r="A511" s="7"/>
    </row>
    <row r="512" spans="1:1" ht="18.75">
      <c r="A512" s="7"/>
    </row>
    <row r="513" spans="1:1" ht="18.75">
      <c r="A513" s="7"/>
    </row>
    <row r="514" spans="1:1" ht="18.75">
      <c r="A514" s="7"/>
    </row>
    <row r="515" spans="1:1" ht="18.75">
      <c r="A515" s="7"/>
    </row>
    <row r="516" spans="1:1" ht="18.75">
      <c r="A516" s="7"/>
    </row>
    <row r="517" spans="1:1" ht="18.75">
      <c r="A517" s="7"/>
    </row>
    <row r="518" spans="1:1" ht="18.75">
      <c r="A518" s="7"/>
    </row>
    <row r="519" spans="1:1" ht="18.75">
      <c r="A519" s="7"/>
    </row>
    <row r="520" spans="1:1" ht="18.75">
      <c r="A520" s="7"/>
    </row>
    <row r="521" spans="1:1" ht="18.75">
      <c r="A521" s="7"/>
    </row>
    <row r="522" spans="1:1" ht="18.75">
      <c r="A522" s="7"/>
    </row>
    <row r="523" spans="1:1" ht="18.75">
      <c r="A523" s="7"/>
    </row>
    <row r="524" spans="1:1" ht="18.75">
      <c r="A524" s="7"/>
    </row>
    <row r="525" spans="1:1" ht="18.75">
      <c r="A525" s="7"/>
    </row>
    <row r="526" spans="1:1" ht="18.75">
      <c r="A526" s="7"/>
    </row>
    <row r="527" spans="1:1" ht="18.75">
      <c r="A527" s="7"/>
    </row>
    <row r="528" spans="1:1" ht="18.75">
      <c r="A528" s="7"/>
    </row>
    <row r="529" spans="1:1" ht="18.75">
      <c r="A529" s="7"/>
    </row>
    <row r="530" spans="1:1" ht="18.75">
      <c r="A530" s="7"/>
    </row>
    <row r="531" spans="1:1" ht="18.75">
      <c r="A531" s="7"/>
    </row>
    <row r="532" spans="1:1" ht="18.75">
      <c r="A532" s="7"/>
    </row>
    <row r="533" spans="1:1" ht="18.75">
      <c r="A533" s="7"/>
    </row>
    <row r="534" spans="1:1" ht="18.75">
      <c r="A534" s="7"/>
    </row>
    <row r="535" spans="1:1" ht="18.75">
      <c r="A535" s="7"/>
    </row>
    <row r="536" spans="1:1" ht="18.75">
      <c r="A536" s="7"/>
    </row>
    <row r="537" spans="1:1" ht="18.75">
      <c r="A537" s="7"/>
    </row>
    <row r="538" spans="1:1" ht="18.75">
      <c r="A538" s="7"/>
    </row>
    <row r="539" spans="1:1" ht="18.75">
      <c r="A539" s="7"/>
    </row>
    <row r="540" spans="1:1" ht="18.75">
      <c r="A540" s="7"/>
    </row>
    <row r="541" spans="1:1" ht="18.75">
      <c r="A541" s="7"/>
    </row>
    <row r="542" spans="1:1" ht="18.75">
      <c r="A542" s="7"/>
    </row>
    <row r="543" spans="1:1" ht="18.75">
      <c r="A543" s="7"/>
    </row>
    <row r="544" spans="1:1" ht="18.75">
      <c r="A544" s="7"/>
    </row>
    <row r="545" spans="1:1" ht="18.75">
      <c r="A545" s="7"/>
    </row>
    <row r="546" spans="1:1" ht="18.75">
      <c r="A546" s="7"/>
    </row>
    <row r="547" spans="1:1" ht="18.75">
      <c r="A547" s="7"/>
    </row>
    <row r="548" spans="1:1" ht="18.75">
      <c r="A548" s="7"/>
    </row>
    <row r="549" spans="1:1" ht="18.75">
      <c r="A549" s="7"/>
    </row>
    <row r="550" spans="1:1" ht="18.75">
      <c r="A550" s="7"/>
    </row>
    <row r="551" spans="1:1" ht="18.75">
      <c r="A551" s="7"/>
    </row>
    <row r="552" spans="1:1" ht="18.75">
      <c r="A552" s="7"/>
    </row>
    <row r="553" spans="1:1" ht="18.75">
      <c r="A553" s="7"/>
    </row>
    <row r="554" spans="1:1" ht="18.75">
      <c r="A554" s="7"/>
    </row>
    <row r="555" spans="1:1" ht="18.75">
      <c r="A555" s="7"/>
    </row>
    <row r="556" spans="1:1" ht="18.75">
      <c r="A556" s="7"/>
    </row>
    <row r="557" spans="1:1" ht="18.75">
      <c r="A557" s="7"/>
    </row>
    <row r="558" spans="1:1" ht="18.75">
      <c r="A558" s="7"/>
    </row>
    <row r="559" spans="1:1" ht="18.75">
      <c r="A559" s="7"/>
    </row>
    <row r="560" spans="1:1" ht="18.75">
      <c r="A560" s="7"/>
    </row>
    <row r="561" spans="1:1" ht="18.75">
      <c r="A561" s="7"/>
    </row>
    <row r="562" spans="1:1" ht="18.75">
      <c r="A562" s="7"/>
    </row>
    <row r="563" spans="1:1" ht="18.75">
      <c r="A563" s="7"/>
    </row>
    <row r="564" spans="1:1" ht="18.75">
      <c r="A564" s="7"/>
    </row>
    <row r="565" spans="1:1" ht="18.75">
      <c r="A565" s="7"/>
    </row>
    <row r="566" spans="1:1" ht="18.75">
      <c r="A566" s="7"/>
    </row>
    <row r="567" spans="1:1" ht="18.75">
      <c r="A567" s="7"/>
    </row>
    <row r="568" spans="1:1" ht="18.75">
      <c r="A568" s="7"/>
    </row>
    <row r="569" spans="1:1" ht="18.75">
      <c r="A569" s="7"/>
    </row>
    <row r="570" spans="1:1" ht="18.75">
      <c r="A570" s="7"/>
    </row>
    <row r="571" spans="1:1" ht="18.75">
      <c r="A571" s="7"/>
    </row>
    <row r="572" spans="1:1" ht="18.75">
      <c r="A572" s="7"/>
    </row>
    <row r="573" spans="1:1" ht="18.75">
      <c r="A573" s="7"/>
    </row>
    <row r="574" spans="1:1" ht="18.75">
      <c r="A574" s="7"/>
    </row>
    <row r="575" spans="1:1" ht="18.75">
      <c r="A575" s="7"/>
    </row>
    <row r="576" spans="1:1" ht="18.75">
      <c r="A576" s="7"/>
    </row>
    <row r="577" spans="1:1" ht="18.75">
      <c r="A577" s="7"/>
    </row>
    <row r="578" spans="1:1" ht="18.75">
      <c r="A578" s="7"/>
    </row>
    <row r="579" spans="1:1" ht="18.75">
      <c r="A579" s="7"/>
    </row>
    <row r="580" spans="1:1" ht="18.75">
      <c r="A580" s="7"/>
    </row>
    <row r="581" spans="1:1" ht="18.75">
      <c r="A581" s="7"/>
    </row>
    <row r="582" spans="1:1" ht="18.75">
      <c r="A582" s="7"/>
    </row>
    <row r="583" spans="1:1" ht="18.75">
      <c r="A583" s="7"/>
    </row>
    <row r="584" spans="1:1" ht="18.75">
      <c r="A584" s="7"/>
    </row>
    <row r="585" spans="1:1" ht="18.75">
      <c r="A585" s="7"/>
    </row>
    <row r="586" spans="1:1" ht="18.75">
      <c r="A586" s="7"/>
    </row>
    <row r="587" spans="1:1" ht="18.75">
      <c r="A587" s="7"/>
    </row>
    <row r="588" spans="1:1" ht="18.75">
      <c r="A588" s="7"/>
    </row>
    <row r="589" spans="1:1" ht="18.75">
      <c r="A589" s="7"/>
    </row>
    <row r="590" spans="1:1" ht="18.75">
      <c r="A590" s="7"/>
    </row>
    <row r="591" spans="1:1" ht="18.75">
      <c r="A591" s="7"/>
    </row>
    <row r="592" spans="1:1" ht="18.75">
      <c r="A592" s="7"/>
    </row>
    <row r="593" spans="1:1" ht="18.75">
      <c r="A593" s="7"/>
    </row>
    <row r="594" spans="1:1" ht="18.75">
      <c r="A594" s="7"/>
    </row>
    <row r="595" spans="1:1" ht="18.75">
      <c r="A595" s="7"/>
    </row>
    <row r="596" spans="1:1" ht="18.75">
      <c r="A596" s="7"/>
    </row>
    <row r="597" spans="1:1" ht="18.75">
      <c r="A597" s="7"/>
    </row>
    <row r="598" spans="1:1" ht="18.75">
      <c r="A598" s="7"/>
    </row>
    <row r="599" spans="1:1" ht="18.75">
      <c r="A599" s="7"/>
    </row>
    <row r="600" spans="1:1" ht="18.75">
      <c r="A600" s="7"/>
    </row>
    <row r="601" spans="1:1" ht="18.75">
      <c r="A601" s="7"/>
    </row>
    <row r="602" spans="1:1" ht="18.75">
      <c r="A602" s="7"/>
    </row>
    <row r="603" spans="1:1" ht="18.75">
      <c r="A603" s="7"/>
    </row>
    <row r="604" spans="1:1" ht="18.75">
      <c r="A604" s="7"/>
    </row>
    <row r="605" spans="1:1" ht="18.75">
      <c r="A605" s="7"/>
    </row>
    <row r="606" spans="1:1" ht="18.75">
      <c r="A606" s="7"/>
    </row>
    <row r="607" spans="1:1" ht="18.75">
      <c r="A607" s="7"/>
    </row>
    <row r="608" spans="1:1" ht="18.75">
      <c r="A608" s="7"/>
    </row>
    <row r="609" spans="1:1" ht="18.75">
      <c r="A609" s="7"/>
    </row>
    <row r="610" spans="1:1" ht="18.75">
      <c r="A610" s="7"/>
    </row>
    <row r="611" spans="1:1" ht="18.75">
      <c r="A611" s="7"/>
    </row>
    <row r="612" spans="1:1" ht="18.75">
      <c r="A612" s="7"/>
    </row>
    <row r="613" spans="1:1" ht="18.75">
      <c r="A613" s="7"/>
    </row>
    <row r="614" spans="1:1" ht="18.75">
      <c r="A614" s="7"/>
    </row>
    <row r="615" spans="1:1" ht="18.75">
      <c r="A615" s="7"/>
    </row>
    <row r="616" spans="1:1" ht="18.75">
      <c r="A616" s="7"/>
    </row>
    <row r="617" spans="1:1" ht="18.75">
      <c r="A617" s="7"/>
    </row>
    <row r="618" spans="1:1" ht="18.75">
      <c r="A618" s="7"/>
    </row>
    <row r="619" spans="1:1" ht="18.75">
      <c r="A619" s="7"/>
    </row>
    <row r="620" spans="1:1" ht="18.75">
      <c r="A620" s="7"/>
    </row>
    <row r="621" spans="1:1" ht="18.75">
      <c r="A621" s="7"/>
    </row>
    <row r="622" spans="1:1" ht="18.75">
      <c r="A622" s="7"/>
    </row>
    <row r="623" spans="1:1" ht="18.75">
      <c r="A623" s="7"/>
    </row>
    <row r="624" spans="1:1" ht="18.75">
      <c r="A624" s="7"/>
    </row>
    <row r="625" spans="1:1" ht="18.75">
      <c r="A625" s="7"/>
    </row>
    <row r="626" spans="1:1" ht="18.75">
      <c r="A626" s="7"/>
    </row>
    <row r="627" spans="1:1" ht="18.75">
      <c r="A627" s="7"/>
    </row>
    <row r="628" spans="1:1" ht="18.75">
      <c r="A628" s="7"/>
    </row>
    <row r="629" spans="1:1" ht="18.75">
      <c r="A629" s="7"/>
    </row>
    <row r="630" spans="1:1" ht="18.75">
      <c r="A630" s="7"/>
    </row>
    <row r="631" spans="1:1" ht="18.75">
      <c r="A631" s="7"/>
    </row>
    <row r="632" spans="1:1" ht="18.75">
      <c r="A632" s="7"/>
    </row>
    <row r="633" spans="1:1" ht="18.75">
      <c r="A633" s="7"/>
    </row>
    <row r="634" spans="1:1" ht="18.75">
      <c r="A634" s="7"/>
    </row>
    <row r="635" spans="1:1" ht="18.75">
      <c r="A635" s="7"/>
    </row>
    <row r="636" spans="1:1" ht="18.75">
      <c r="A636" s="7"/>
    </row>
    <row r="637" spans="1:1" ht="18.75">
      <c r="A637" s="7"/>
    </row>
    <row r="638" spans="1:1" ht="18.75">
      <c r="A638" s="7"/>
    </row>
    <row r="639" spans="1:1" ht="18.75">
      <c r="A639" s="7"/>
    </row>
    <row r="640" spans="1:1" ht="18.75">
      <c r="A640" s="7"/>
    </row>
    <row r="641" spans="1:1" ht="18.75">
      <c r="A641" s="7"/>
    </row>
    <row r="642" spans="1:1" ht="18.75">
      <c r="A642" s="7"/>
    </row>
    <row r="643" spans="1:1" ht="18.75">
      <c r="A643" s="7"/>
    </row>
    <row r="644" spans="1:1" ht="18.75">
      <c r="A644" s="7"/>
    </row>
    <row r="645" spans="1:1" ht="18.75">
      <c r="A645" s="7"/>
    </row>
    <row r="646" spans="1:1" ht="18.75">
      <c r="A646" s="7"/>
    </row>
    <row r="647" spans="1:1" ht="18.75">
      <c r="A647" s="7"/>
    </row>
    <row r="648" spans="1:1" ht="18.75">
      <c r="A648" s="7"/>
    </row>
    <row r="649" spans="1:1" ht="18.75">
      <c r="A649" s="7"/>
    </row>
    <row r="650" spans="1:1" ht="18.75">
      <c r="A650" s="7"/>
    </row>
    <row r="651" spans="1:1" ht="18.75">
      <c r="A651" s="7"/>
    </row>
    <row r="652" spans="1:1" ht="18.75">
      <c r="A652" s="7"/>
    </row>
    <row r="653" spans="1:1" ht="18.75">
      <c r="A653" s="7"/>
    </row>
    <row r="654" spans="1:1" ht="18.75">
      <c r="A654" s="7"/>
    </row>
    <row r="655" spans="1:1" ht="18.75">
      <c r="A655" s="7"/>
    </row>
    <row r="656" spans="1:1" ht="18.75">
      <c r="A656" s="7"/>
    </row>
    <row r="657" spans="1:1" ht="18.75">
      <c r="A657" s="7"/>
    </row>
    <row r="658" spans="1:1" ht="18.75">
      <c r="A658" s="7"/>
    </row>
    <row r="659" spans="1:1" ht="18.75">
      <c r="A659" s="7"/>
    </row>
    <row r="660" spans="1:1" ht="18.75">
      <c r="A660" s="7"/>
    </row>
    <row r="661" spans="1:1" ht="18.75">
      <c r="A661" s="7"/>
    </row>
    <row r="662" spans="1:1" ht="18.75">
      <c r="A662" s="7"/>
    </row>
    <row r="663" spans="1:1" ht="18.75">
      <c r="A663" s="7"/>
    </row>
    <row r="664" spans="1:1" ht="18.75">
      <c r="A664" s="7"/>
    </row>
    <row r="665" spans="1:1" ht="18.75">
      <c r="A665" s="7"/>
    </row>
    <row r="666" spans="1:1" ht="18.75">
      <c r="A666" s="7"/>
    </row>
    <row r="667" spans="1:1" ht="18.75">
      <c r="A667" s="7"/>
    </row>
    <row r="668" spans="1:1" ht="18.75">
      <c r="A668" s="7"/>
    </row>
    <row r="669" spans="1:1" ht="18.75">
      <c r="A669" s="7"/>
    </row>
    <row r="670" spans="1:1" ht="18.75">
      <c r="A670" s="7"/>
    </row>
    <row r="671" spans="1:1" ht="18.75">
      <c r="A671" s="7"/>
    </row>
    <row r="672" spans="1:1" ht="18.75">
      <c r="A672" s="7"/>
    </row>
    <row r="673" spans="1:1" ht="18.75">
      <c r="A673" s="7"/>
    </row>
    <row r="674" spans="1:1" ht="18.75">
      <c r="A674" s="7"/>
    </row>
    <row r="675" spans="1:1" ht="18.75">
      <c r="A675" s="7"/>
    </row>
    <row r="676" spans="1:1" ht="18.75">
      <c r="A676" s="7"/>
    </row>
    <row r="677" spans="1:1" ht="18.75">
      <c r="A677" s="7"/>
    </row>
    <row r="678" spans="1:1" ht="18.75">
      <c r="A678" s="7"/>
    </row>
    <row r="679" spans="1:1" ht="18.75">
      <c r="A679" s="7"/>
    </row>
    <row r="680" spans="1:1" ht="18.75">
      <c r="A680" s="7"/>
    </row>
    <row r="681" spans="1:1" ht="18.75">
      <c r="A681" s="7"/>
    </row>
    <row r="682" spans="1:1" ht="18.75">
      <c r="A682" s="7"/>
    </row>
    <row r="683" spans="1:1" ht="18.75">
      <c r="A683" s="7"/>
    </row>
    <row r="684" spans="1:1" ht="18.75">
      <c r="A684" s="7"/>
    </row>
    <row r="685" spans="1:1" ht="18.75">
      <c r="A685" s="7"/>
    </row>
    <row r="686" spans="1:1" ht="18.75">
      <c r="A686" s="7"/>
    </row>
    <row r="687" spans="1:1" ht="18.75">
      <c r="A687" s="7"/>
    </row>
    <row r="688" spans="1:1" ht="18.75">
      <c r="A688" s="7"/>
    </row>
    <row r="689" spans="1:1" ht="18.75">
      <c r="A689" s="7"/>
    </row>
    <row r="690" spans="1:1" ht="18.75">
      <c r="A690" s="7"/>
    </row>
    <row r="691" spans="1:1" ht="18.75">
      <c r="A691" s="7"/>
    </row>
    <row r="692" spans="1:1" ht="18.75">
      <c r="A692" s="7"/>
    </row>
    <row r="693" spans="1:1" ht="18.75">
      <c r="A693" s="7"/>
    </row>
    <row r="694" spans="1:1" ht="18.75">
      <c r="A694" s="7"/>
    </row>
    <row r="695" spans="1:1" ht="18.75">
      <c r="A695" s="7"/>
    </row>
    <row r="696" spans="1:1" ht="18.75">
      <c r="A696" s="7"/>
    </row>
    <row r="697" spans="1:1" ht="18.75">
      <c r="A697" s="7"/>
    </row>
    <row r="698" spans="1:1" ht="18.75">
      <c r="A698" s="7"/>
    </row>
    <row r="699" spans="1:1" ht="18.75">
      <c r="A699" s="7"/>
    </row>
    <row r="700" spans="1:1" ht="18.75">
      <c r="A700" s="7"/>
    </row>
    <row r="701" spans="1:1" ht="18.75">
      <c r="A701" s="7"/>
    </row>
    <row r="702" spans="1:1" ht="18.75">
      <c r="A702" s="7"/>
    </row>
    <row r="703" spans="1:1" ht="18.75">
      <c r="A703" s="7"/>
    </row>
    <row r="704" spans="1:1" ht="18.75">
      <c r="A704" s="7"/>
    </row>
    <row r="705" spans="1:1" ht="18.75">
      <c r="A705" s="7"/>
    </row>
    <row r="706" spans="1:1" ht="18.75">
      <c r="A706" s="7"/>
    </row>
    <row r="707" spans="1:1" ht="18.75">
      <c r="A707" s="7"/>
    </row>
    <row r="708" spans="1:1" ht="18.75">
      <c r="A708" s="7"/>
    </row>
    <row r="709" spans="1:1" ht="18.75">
      <c r="A709" s="7"/>
    </row>
    <row r="710" spans="1:1" ht="18.75">
      <c r="A710" s="7"/>
    </row>
    <row r="711" spans="1:1" ht="18.75">
      <c r="A711" s="7"/>
    </row>
    <row r="712" spans="1:1" ht="18.75">
      <c r="A712" s="7"/>
    </row>
    <row r="713" spans="1:1" ht="18.75">
      <c r="A713" s="7"/>
    </row>
    <row r="714" spans="1:1" ht="18.75">
      <c r="A714" s="7"/>
    </row>
    <row r="715" spans="1:1" ht="18.75">
      <c r="A715" s="7"/>
    </row>
    <row r="716" spans="1:1" ht="18.75">
      <c r="A716" s="7"/>
    </row>
    <row r="717" spans="1:1" ht="18.75">
      <c r="A717" s="7"/>
    </row>
    <row r="718" spans="1:1" ht="18.75">
      <c r="A718" s="7"/>
    </row>
    <row r="719" spans="1:1" ht="18.75">
      <c r="A719" s="7"/>
    </row>
    <row r="720" spans="1:1" ht="18.75">
      <c r="A720" s="7"/>
    </row>
    <row r="721" spans="1:1" ht="18.75">
      <c r="A721" s="7"/>
    </row>
    <row r="722" spans="1:1" ht="18.75">
      <c r="A722" s="7"/>
    </row>
    <row r="723" spans="1:1" ht="18.75">
      <c r="A723" s="7"/>
    </row>
    <row r="724" spans="1:1" ht="18.75">
      <c r="A724" s="7"/>
    </row>
    <row r="725" spans="1:1" ht="18.75">
      <c r="A725" s="7"/>
    </row>
    <row r="726" spans="1:1" ht="18.75">
      <c r="A726" s="7"/>
    </row>
    <row r="727" spans="1:1" ht="18.75">
      <c r="A727" s="7"/>
    </row>
    <row r="728" spans="1:1" ht="18.75">
      <c r="A728" s="7"/>
    </row>
    <row r="729" spans="1:1" ht="18.75">
      <c r="A729" s="7"/>
    </row>
    <row r="730" spans="1:1" ht="18.75">
      <c r="A730" s="7"/>
    </row>
    <row r="731" spans="1:1" ht="18.75">
      <c r="A731" s="7"/>
    </row>
    <row r="732" spans="1:1" ht="18.75">
      <c r="A732" s="7"/>
    </row>
    <row r="733" spans="1:1" ht="18.75">
      <c r="A733" s="7"/>
    </row>
    <row r="734" spans="1:1" ht="18.75">
      <c r="A734" s="7"/>
    </row>
    <row r="735" spans="1:1" ht="18.75">
      <c r="A735" s="7"/>
    </row>
    <row r="736" spans="1:1" ht="18.75">
      <c r="A736" s="7"/>
    </row>
    <row r="737" spans="1:1" ht="18.75">
      <c r="A737" s="7"/>
    </row>
    <row r="738" spans="1:1" ht="18.75">
      <c r="A738" s="7"/>
    </row>
    <row r="739" spans="1:1" ht="18.75">
      <c r="A739" s="7"/>
    </row>
    <row r="740" spans="1:1" ht="18.75">
      <c r="A740" s="7"/>
    </row>
    <row r="741" spans="1:1" ht="18.75">
      <c r="A741" s="7"/>
    </row>
    <row r="742" spans="1:1" ht="18.75">
      <c r="A742" s="7"/>
    </row>
    <row r="743" spans="1:1" ht="18.75">
      <c r="A743" s="7"/>
    </row>
    <row r="744" spans="1:1" ht="18.75">
      <c r="A744" s="7"/>
    </row>
    <row r="745" spans="1:1" ht="18.75">
      <c r="A745" s="7"/>
    </row>
    <row r="746" spans="1:1" ht="18.75">
      <c r="A746" s="7"/>
    </row>
    <row r="747" spans="1:1" ht="18.75">
      <c r="A747" s="7"/>
    </row>
    <row r="748" spans="1:1" ht="18.75">
      <c r="A748" s="7"/>
    </row>
    <row r="749" spans="1:1" ht="18.75">
      <c r="A749" s="7"/>
    </row>
    <row r="750" spans="1:1" ht="18.75">
      <c r="A750" s="7"/>
    </row>
    <row r="751" spans="1:1" ht="18.75">
      <c r="A751" s="7"/>
    </row>
    <row r="752" spans="1:1" ht="18.75">
      <c r="A752" s="7"/>
    </row>
    <row r="753" spans="1:1" ht="18.75">
      <c r="A753" s="7"/>
    </row>
    <row r="754" spans="1:1" ht="18.75">
      <c r="A754" s="7"/>
    </row>
    <row r="755" spans="1:1" ht="18.75">
      <c r="A755" s="7"/>
    </row>
    <row r="756" spans="1:1" ht="18.75">
      <c r="A756" s="7"/>
    </row>
    <row r="757" spans="1:1" ht="18.75">
      <c r="A757" s="7"/>
    </row>
    <row r="758" spans="1:1" ht="18.75">
      <c r="A758" s="7"/>
    </row>
    <row r="759" spans="1:1" ht="18.75">
      <c r="A759" s="7"/>
    </row>
    <row r="760" spans="1:1" ht="18.75">
      <c r="A760" s="7"/>
    </row>
    <row r="761" spans="1:1" ht="18.75">
      <c r="A761" s="7"/>
    </row>
    <row r="762" spans="1:1" ht="18.75">
      <c r="A762" s="7"/>
    </row>
    <row r="763" spans="1:1" ht="18.75">
      <c r="A763" s="7"/>
    </row>
    <row r="764" spans="1:1" ht="18.75">
      <c r="A764" s="7"/>
    </row>
    <row r="765" spans="1:1" ht="18.75">
      <c r="A765" s="7"/>
    </row>
    <row r="766" spans="1:1" ht="18.75">
      <c r="A766" s="7"/>
    </row>
    <row r="767" spans="1:1" ht="18.75">
      <c r="A767" s="7"/>
    </row>
    <row r="768" spans="1:1" ht="18.75">
      <c r="A768" s="7"/>
    </row>
    <row r="769" spans="1:1" ht="18.75">
      <c r="A769" s="7"/>
    </row>
    <row r="770" spans="1:1" ht="18.75">
      <c r="A770" s="7"/>
    </row>
    <row r="771" spans="1:1" ht="18.75">
      <c r="A771" s="7"/>
    </row>
    <row r="772" spans="1:1" ht="18.75">
      <c r="A772" s="7"/>
    </row>
    <row r="773" spans="1:1" ht="18.75">
      <c r="A773" s="7"/>
    </row>
    <row r="774" spans="1:1" ht="18.75">
      <c r="A774" s="7"/>
    </row>
    <row r="775" spans="1:1" ht="18.75">
      <c r="A775" s="7"/>
    </row>
    <row r="776" spans="1:1" ht="18.75">
      <c r="A776" s="7"/>
    </row>
    <row r="777" spans="1:1" ht="18.75">
      <c r="A777" s="7"/>
    </row>
    <row r="778" spans="1:1" ht="18.75">
      <c r="A778" s="7"/>
    </row>
    <row r="779" spans="1:1" ht="18.75">
      <c r="A779" s="7"/>
    </row>
    <row r="780" spans="1:1" ht="18.75">
      <c r="A780" s="7"/>
    </row>
    <row r="781" spans="1:1" ht="18.75">
      <c r="A781" s="7"/>
    </row>
    <row r="782" spans="1:1" ht="18.75">
      <c r="A782" s="7"/>
    </row>
    <row r="783" spans="1:1" ht="18.75">
      <c r="A783" s="7"/>
    </row>
    <row r="784" spans="1:1" ht="18.75">
      <c r="A784" s="7"/>
    </row>
    <row r="785" spans="1:1" ht="18.75">
      <c r="A785" s="7"/>
    </row>
    <row r="786" spans="1:1" ht="18.75">
      <c r="A786" s="7"/>
    </row>
    <row r="787" spans="1:1" ht="18.75">
      <c r="A787" s="7"/>
    </row>
    <row r="788" spans="1:1" ht="18.75">
      <c r="A788" s="7"/>
    </row>
    <row r="789" spans="1:1" ht="18.75">
      <c r="A789" s="7"/>
    </row>
    <row r="790" spans="1:1" ht="18.75">
      <c r="A790" s="7"/>
    </row>
    <row r="791" spans="1:1" ht="18.75">
      <c r="A791" s="7"/>
    </row>
    <row r="792" spans="1:1" ht="18.75">
      <c r="A792" s="7"/>
    </row>
    <row r="793" spans="1:1" ht="18.75">
      <c r="A793" s="7"/>
    </row>
    <row r="794" spans="1:1" ht="18.75">
      <c r="A794" s="7"/>
    </row>
    <row r="795" spans="1:1" ht="18.75">
      <c r="A795" s="7"/>
    </row>
    <row r="796" spans="1:1" ht="18.75">
      <c r="A796" s="7"/>
    </row>
    <row r="797" spans="1:1" ht="18.75">
      <c r="A797" s="7"/>
    </row>
    <row r="798" spans="1:1" ht="18.75">
      <c r="A798" s="7"/>
    </row>
    <row r="799" spans="1:1" ht="18.75">
      <c r="A799" s="7"/>
    </row>
    <row r="800" spans="1:1" ht="18.75">
      <c r="A800" s="7"/>
    </row>
    <row r="801" spans="1:1" ht="18.75">
      <c r="A801" s="7"/>
    </row>
    <row r="802" spans="1:1" ht="18.75">
      <c r="A802" s="7"/>
    </row>
    <row r="803" spans="1:1" ht="18.75">
      <c r="A803" s="7"/>
    </row>
    <row r="804" spans="1:1" ht="18.75">
      <c r="A804" s="7"/>
    </row>
    <row r="805" spans="1:1" ht="18.75">
      <c r="A805" s="7"/>
    </row>
    <row r="806" spans="1:1" ht="18.75">
      <c r="A806" s="7"/>
    </row>
    <row r="807" spans="1:1" ht="18.75">
      <c r="A807" s="7"/>
    </row>
    <row r="808" spans="1:1" ht="18.75">
      <c r="A808" s="7"/>
    </row>
    <row r="809" spans="1:1" ht="18.75">
      <c r="A809" s="7"/>
    </row>
    <row r="810" spans="1:1" ht="18.75">
      <c r="A810" s="7"/>
    </row>
    <row r="811" spans="1:1" ht="18.75">
      <c r="A811" s="7"/>
    </row>
    <row r="812" spans="1:1" ht="18.75">
      <c r="A812" s="7"/>
    </row>
    <row r="813" spans="1:1" ht="18.75">
      <c r="A813" s="7"/>
    </row>
    <row r="814" spans="1:1" ht="18.75">
      <c r="A814" s="7"/>
    </row>
    <row r="815" spans="1:1" ht="18.75">
      <c r="A815" s="7"/>
    </row>
    <row r="816" spans="1:1" ht="18.75">
      <c r="A816" s="7"/>
    </row>
    <row r="817" spans="1:1" ht="18.75">
      <c r="A817" s="7"/>
    </row>
    <row r="818" spans="1:1" ht="18.75">
      <c r="A818" s="7"/>
    </row>
    <row r="819" spans="1:1" ht="18.75">
      <c r="A819" s="7"/>
    </row>
    <row r="820" spans="1:1" ht="18.75">
      <c r="A820" s="7"/>
    </row>
    <row r="821" spans="1:1" ht="18.75">
      <c r="A821" s="7"/>
    </row>
    <row r="822" spans="1:1" ht="18.75">
      <c r="A822" s="7"/>
    </row>
    <row r="823" spans="1:1" ht="18.75">
      <c r="A823" s="7"/>
    </row>
    <row r="824" spans="1:1" ht="18.75">
      <c r="A824" s="7"/>
    </row>
    <row r="825" spans="1:1" ht="18.75">
      <c r="A825" s="7"/>
    </row>
    <row r="826" spans="1:1" ht="18.75">
      <c r="A826" s="7"/>
    </row>
    <row r="827" spans="1:1" ht="18.75">
      <c r="A827" s="7"/>
    </row>
    <row r="828" spans="1:1" ht="18.75">
      <c r="A828" s="7"/>
    </row>
    <row r="829" spans="1:1" ht="18.75">
      <c r="A829" s="7"/>
    </row>
    <row r="830" spans="1:1" ht="18.75">
      <c r="A830" s="7"/>
    </row>
    <row r="831" spans="1:1" ht="18.75">
      <c r="A831" s="7"/>
    </row>
    <row r="832" spans="1:1" ht="18.75">
      <c r="A832" s="7"/>
    </row>
    <row r="833" spans="1:1" ht="18.75">
      <c r="A833" s="7"/>
    </row>
    <row r="834" spans="1:1" ht="18.75">
      <c r="A834" s="7"/>
    </row>
    <row r="835" spans="1:1" ht="18.75">
      <c r="A835" s="7"/>
    </row>
    <row r="836" spans="1:1" ht="18.75">
      <c r="A836" s="7"/>
    </row>
    <row r="837" spans="1:1" ht="18.75">
      <c r="A837" s="7"/>
    </row>
    <row r="838" spans="1:1" ht="18.75">
      <c r="A838" s="7"/>
    </row>
    <row r="839" spans="1:1" ht="18.75">
      <c r="A839" s="7"/>
    </row>
    <row r="840" spans="1:1" ht="18.75">
      <c r="A840" s="7"/>
    </row>
    <row r="841" spans="1:1" ht="18.75">
      <c r="A841" s="7"/>
    </row>
    <row r="842" spans="1:1" ht="18.75">
      <c r="A842" s="7"/>
    </row>
    <row r="843" spans="1:1" ht="18.75">
      <c r="A843" s="7"/>
    </row>
    <row r="844" spans="1:1" ht="18.75">
      <c r="A844" s="7"/>
    </row>
    <row r="845" spans="1:1" ht="18.75">
      <c r="A845" s="7"/>
    </row>
    <row r="846" spans="1:1" ht="18.75">
      <c r="A846" s="7"/>
    </row>
    <row r="847" spans="1:1" ht="18.75">
      <c r="A847" s="7"/>
    </row>
    <row r="848" spans="1:1" ht="18.75">
      <c r="A848" s="7"/>
    </row>
    <row r="849" spans="1:1" ht="18.75">
      <c r="A849" s="7"/>
    </row>
    <row r="850" spans="1:1" ht="18.75">
      <c r="A850" s="7"/>
    </row>
    <row r="851" spans="1:1" ht="18.75">
      <c r="A851" s="7"/>
    </row>
    <row r="852" spans="1:1" ht="18.75">
      <c r="A852" s="7"/>
    </row>
    <row r="853" spans="1:1" ht="18.75">
      <c r="A853" s="7"/>
    </row>
    <row r="854" spans="1:1" ht="18.75">
      <c r="A854" s="7"/>
    </row>
    <row r="855" spans="1:1" ht="18.75">
      <c r="A855" s="7"/>
    </row>
    <row r="856" spans="1:1" ht="18.75">
      <c r="A856" s="7"/>
    </row>
    <row r="857" spans="1:1" ht="18.75">
      <c r="A857" s="7"/>
    </row>
    <row r="858" spans="1:1" ht="18.75">
      <c r="A858" s="7"/>
    </row>
    <row r="859" spans="1:1" ht="18.75">
      <c r="A859" s="7"/>
    </row>
    <row r="860" spans="1:1" ht="18.75">
      <c r="A860" s="7"/>
    </row>
    <row r="861" spans="1:1" ht="18.75">
      <c r="A861" s="7"/>
    </row>
    <row r="862" spans="1:1" ht="18.75">
      <c r="A862" s="7"/>
    </row>
    <row r="863" spans="1:1" ht="18.75">
      <c r="A863" s="7"/>
    </row>
    <row r="864" spans="1:1" ht="18.75">
      <c r="A864" s="7"/>
    </row>
    <row r="865" spans="1:1" ht="18.75">
      <c r="A865" s="7"/>
    </row>
    <row r="866" spans="1:1" ht="18.75">
      <c r="A866" s="7"/>
    </row>
    <row r="867" spans="1:1" ht="18.75">
      <c r="A867" s="7"/>
    </row>
    <row r="868" spans="1:1" ht="18.75">
      <c r="A868" s="7"/>
    </row>
    <row r="869" spans="1:1" ht="18.75">
      <c r="A869" s="7"/>
    </row>
    <row r="870" spans="1:1" ht="18.75">
      <c r="A870" s="7"/>
    </row>
    <row r="871" spans="1:1" ht="18.75">
      <c r="A871" s="7"/>
    </row>
    <row r="872" spans="1:1" ht="18.75">
      <c r="A872" s="7"/>
    </row>
    <row r="873" spans="1:1" ht="18.75">
      <c r="A873" s="7"/>
    </row>
    <row r="874" spans="1:1" ht="18.75">
      <c r="A874" s="7"/>
    </row>
    <row r="875" spans="1:1" ht="18.75">
      <c r="A875" s="7"/>
    </row>
    <row r="876" spans="1:1" ht="18.75">
      <c r="A876" s="7"/>
    </row>
    <row r="877" spans="1:1" ht="18.75">
      <c r="A877" s="7"/>
    </row>
    <row r="878" spans="1:1" ht="18.75">
      <c r="A878" s="7"/>
    </row>
    <row r="879" spans="1:1" ht="18.75">
      <c r="A879" s="7"/>
    </row>
    <row r="880" spans="1:1" ht="18.75">
      <c r="A880" s="7"/>
    </row>
    <row r="881" spans="1:1" ht="18.75">
      <c r="A881" s="7"/>
    </row>
    <row r="882" spans="1:1" ht="18.75">
      <c r="A882" s="7"/>
    </row>
    <row r="883" spans="1:1" ht="18.75">
      <c r="A883" s="7"/>
    </row>
    <row r="884" spans="1:1" ht="18.75">
      <c r="A884" s="7"/>
    </row>
    <row r="885" spans="1:1" ht="18.75">
      <c r="A885" s="7"/>
    </row>
    <row r="886" spans="1:1" ht="18.75">
      <c r="A886" s="7"/>
    </row>
    <row r="887" spans="1:1" ht="18.75">
      <c r="A887" s="7"/>
    </row>
    <row r="888" spans="1:1" ht="18.75">
      <c r="A888" s="7"/>
    </row>
    <row r="889" spans="1:1" ht="18.75">
      <c r="A889" s="7"/>
    </row>
    <row r="890" spans="1:1" ht="18.75">
      <c r="A890" s="7"/>
    </row>
    <row r="891" spans="1:1" ht="18.75">
      <c r="A891" s="7"/>
    </row>
    <row r="892" spans="1:1" ht="18.75">
      <c r="A892" s="7"/>
    </row>
    <row r="893" spans="1:1" ht="18.75">
      <c r="A893" s="7"/>
    </row>
    <row r="894" spans="1:1" ht="18.75">
      <c r="A894" s="7"/>
    </row>
    <row r="895" spans="1:1" ht="18.75">
      <c r="A895" s="7"/>
    </row>
    <row r="896" spans="1:1" ht="18.75">
      <c r="A896" s="7"/>
    </row>
    <row r="897" spans="1:1" ht="18.75">
      <c r="A897" s="7"/>
    </row>
    <row r="898" spans="1:1" ht="18.75">
      <c r="A898" s="7"/>
    </row>
    <row r="899" spans="1:1" ht="18.75">
      <c r="A899" s="7"/>
    </row>
    <row r="900" spans="1:1" ht="18.75">
      <c r="A900" s="7"/>
    </row>
    <row r="901" spans="1:1" ht="18.75">
      <c r="A901" s="7"/>
    </row>
    <row r="902" spans="1:1" ht="18.75">
      <c r="A902" s="7"/>
    </row>
    <row r="903" spans="1:1" ht="18.75">
      <c r="A903" s="7"/>
    </row>
    <row r="904" spans="1:1" ht="18.75">
      <c r="A904" s="7"/>
    </row>
    <row r="905" spans="1:1" ht="18.75">
      <c r="A905" s="7"/>
    </row>
    <row r="906" spans="1:1" ht="18.75">
      <c r="A906" s="7"/>
    </row>
    <row r="907" spans="1:1" ht="18.75">
      <c r="A907" s="7"/>
    </row>
    <row r="908" spans="1:1" ht="18.75">
      <c r="A908" s="7"/>
    </row>
    <row r="909" spans="1:1" ht="18.75">
      <c r="A909" s="7"/>
    </row>
    <row r="910" spans="1:1" ht="18.75">
      <c r="A910" s="7"/>
    </row>
    <row r="911" spans="1:1" ht="18.75">
      <c r="A911" s="7"/>
    </row>
    <row r="912" spans="1:1" ht="18.75">
      <c r="A912" s="7"/>
    </row>
    <row r="913" spans="1:1" ht="18.75">
      <c r="A913" s="7"/>
    </row>
    <row r="914" spans="1:1" ht="18.75">
      <c r="A914" s="7"/>
    </row>
    <row r="915" spans="1:1" ht="18.75">
      <c r="A915" s="7"/>
    </row>
    <row r="916" spans="1:1" ht="18.75">
      <c r="A916" s="7"/>
    </row>
    <row r="917" spans="1:1" ht="18.75">
      <c r="A917" s="7"/>
    </row>
    <row r="918" spans="1:1" ht="18.75">
      <c r="A918" s="7"/>
    </row>
    <row r="919" spans="1:1" ht="18.75">
      <c r="A919" s="7"/>
    </row>
    <row r="920" spans="1:1" ht="18.75">
      <c r="A920" s="7"/>
    </row>
    <row r="921" spans="1:1" ht="18.75">
      <c r="A921" s="7"/>
    </row>
    <row r="922" spans="1:1" ht="18.75">
      <c r="A922" s="7"/>
    </row>
    <row r="923" spans="1:1" ht="18.75">
      <c r="A923" s="7"/>
    </row>
    <row r="924" spans="1:1" ht="18.75">
      <c r="A924" s="7"/>
    </row>
    <row r="925" spans="1:1" ht="18.75">
      <c r="A925" s="7"/>
    </row>
    <row r="926" spans="1:1" ht="18.75">
      <c r="A926" s="7"/>
    </row>
    <row r="927" spans="1:1" ht="18.75">
      <c r="A927" s="7"/>
    </row>
    <row r="928" spans="1:1" ht="18.75">
      <c r="A928" s="7"/>
    </row>
    <row r="929" spans="1:1" ht="18.75">
      <c r="A929" s="7"/>
    </row>
    <row r="930" spans="1:1" ht="18.75">
      <c r="A930" s="7"/>
    </row>
    <row r="931" spans="1:1" ht="18.75">
      <c r="A931" s="7"/>
    </row>
    <row r="932" spans="1:1" ht="18.75">
      <c r="A932" s="7"/>
    </row>
    <row r="933" spans="1:1" ht="18.75">
      <c r="A933" s="7"/>
    </row>
    <row r="934" spans="1:1" ht="18.75">
      <c r="A934" s="7"/>
    </row>
    <row r="935" spans="1:1" ht="18.75">
      <c r="A935" s="7"/>
    </row>
    <row r="936" spans="1:1" ht="18.75">
      <c r="A936" s="7"/>
    </row>
    <row r="937" spans="1:1" ht="18.75">
      <c r="A937" s="7"/>
    </row>
    <row r="938" spans="1:1" ht="18.75">
      <c r="A938" s="7"/>
    </row>
    <row r="939" spans="1:1" ht="18.75">
      <c r="A939" s="7"/>
    </row>
    <row r="940" spans="1:1" ht="18.75">
      <c r="A940" s="7"/>
    </row>
    <row r="941" spans="1:1" ht="18.75">
      <c r="A941" s="7"/>
    </row>
    <row r="942" spans="1:1" ht="18.75">
      <c r="A942" s="7"/>
    </row>
    <row r="943" spans="1:1" ht="18.75">
      <c r="A943" s="7"/>
    </row>
    <row r="944" spans="1:1" ht="18.75">
      <c r="A944" s="7"/>
    </row>
    <row r="945" spans="1:1" ht="18.75">
      <c r="A945" s="7"/>
    </row>
    <row r="946" spans="1:1" ht="18.75">
      <c r="A946" s="7"/>
    </row>
    <row r="947" spans="1:1" ht="18.75">
      <c r="A947" s="7"/>
    </row>
    <row r="948" spans="1:1" ht="18.75">
      <c r="A948" s="7"/>
    </row>
    <row r="949" spans="1:1" ht="18.75">
      <c r="A949" s="7"/>
    </row>
    <row r="950" spans="1:1" ht="18.75">
      <c r="A950" s="7"/>
    </row>
    <row r="951" spans="1:1" ht="18.75">
      <c r="A951" s="7"/>
    </row>
    <row r="952" spans="1:1" ht="18.75">
      <c r="A952" s="7"/>
    </row>
    <row r="953" spans="1:1" ht="18.75">
      <c r="A953" s="7"/>
    </row>
    <row r="954" spans="1:1" ht="18.75">
      <c r="A954" s="7"/>
    </row>
    <row r="955" spans="1:1" ht="18.75">
      <c r="A955" s="7"/>
    </row>
    <row r="956" spans="1:1" ht="18.75">
      <c r="A956" s="7"/>
    </row>
    <row r="957" spans="1:1" ht="18.75">
      <c r="A957" s="7"/>
    </row>
    <row r="958" spans="1:1" ht="18.75">
      <c r="A958" s="7"/>
    </row>
    <row r="959" spans="1:1" ht="18.75">
      <c r="A959" s="7"/>
    </row>
    <row r="960" spans="1:1" ht="18.75">
      <c r="A960" s="7"/>
    </row>
    <row r="961" spans="1:1" ht="18.75">
      <c r="A961" s="7"/>
    </row>
    <row r="962" spans="1:1" ht="18.75">
      <c r="A962" s="7"/>
    </row>
    <row r="963" spans="1:1" ht="18.75">
      <c r="A963" s="7"/>
    </row>
    <row r="964" spans="1:1" ht="18.75">
      <c r="A964" s="7"/>
    </row>
    <row r="965" spans="1:1" ht="18.75">
      <c r="A965" s="7"/>
    </row>
    <row r="966" spans="1:1" ht="18.75">
      <c r="A966" s="7"/>
    </row>
    <row r="967" spans="1:1" ht="18.75">
      <c r="A967" s="7"/>
    </row>
    <row r="968" spans="1:1" ht="18.75">
      <c r="A968" s="7"/>
    </row>
    <row r="969" spans="1:1" ht="18.75">
      <c r="A969" s="7"/>
    </row>
    <row r="970" spans="1:1" ht="18.75">
      <c r="A970" s="7"/>
    </row>
    <row r="971" spans="1:1" ht="18.75">
      <c r="A971" s="7"/>
    </row>
    <row r="972" spans="1:1" ht="18.75">
      <c r="A972" s="7"/>
    </row>
    <row r="973" spans="1:1" ht="18.75">
      <c r="A973" s="7"/>
    </row>
    <row r="974" spans="1:1" ht="18.75">
      <c r="A974" s="7"/>
    </row>
    <row r="975" spans="1:1" ht="18.75">
      <c r="A975" s="7"/>
    </row>
    <row r="976" spans="1:1" ht="18.75">
      <c r="A976" s="7"/>
    </row>
    <row r="977" spans="1:1" ht="18.75">
      <c r="A977" s="7"/>
    </row>
    <row r="978" spans="1:1" ht="18.75">
      <c r="A978" s="7"/>
    </row>
    <row r="979" spans="1:1" ht="18.75">
      <c r="A979" s="7"/>
    </row>
    <row r="980" spans="1:1" ht="18.75">
      <c r="A980" s="7"/>
    </row>
    <row r="981" spans="1:1" ht="18.75">
      <c r="A981" s="7"/>
    </row>
    <row r="982" spans="1:1" ht="18.75">
      <c r="A982" s="7"/>
    </row>
    <row r="983" spans="1:1" ht="18.75">
      <c r="A983" s="7"/>
    </row>
    <row r="984" spans="1:1" ht="18.75">
      <c r="A984" s="7"/>
    </row>
    <row r="985" spans="1:1" ht="18.75">
      <c r="A985" s="7"/>
    </row>
    <row r="986" spans="1:1" ht="18.75">
      <c r="A986" s="7"/>
    </row>
    <row r="987" spans="1:1" ht="18.75">
      <c r="A987" s="7"/>
    </row>
    <row r="988" spans="1:1" ht="18.75">
      <c r="A988" s="7"/>
    </row>
    <row r="989" spans="1:1" ht="18.75">
      <c r="A989" s="7"/>
    </row>
    <row r="990" spans="1:1" ht="18.75">
      <c r="A990" s="7"/>
    </row>
    <row r="991" spans="1:1" ht="18.75">
      <c r="A991" s="7"/>
    </row>
    <row r="992" spans="1:1" ht="18.75">
      <c r="A992" s="7"/>
    </row>
    <row r="993" spans="1:1" ht="18.75">
      <c r="A993" s="7"/>
    </row>
    <row r="994" spans="1:1" ht="18.75">
      <c r="A994" s="7"/>
    </row>
    <row r="995" spans="1:1" ht="18.75">
      <c r="A995" s="7"/>
    </row>
    <row r="996" spans="1:1" ht="18.75">
      <c r="A996" s="7"/>
    </row>
    <row r="997" spans="1:1" ht="18.75">
      <c r="A997" s="7"/>
    </row>
    <row r="998" spans="1:1" ht="18.75">
      <c r="A998" s="7"/>
    </row>
    <row r="999" spans="1:1" ht="18.75">
      <c r="A999" s="7"/>
    </row>
    <row r="1000" spans="1:1" ht="18.75">
      <c r="A1000" s="7"/>
    </row>
    <row r="1001" spans="1:1" ht="18.75">
      <c r="A1001" s="7"/>
    </row>
    <row r="1002" spans="1:1" ht="18.75">
      <c r="A1002" s="7"/>
    </row>
    <row r="1003" spans="1:1" ht="18.75">
      <c r="A1003" s="7"/>
    </row>
    <row r="1004" spans="1:1" ht="18.75">
      <c r="A1004" s="7"/>
    </row>
    <row r="1005" spans="1:1" ht="18.75">
      <c r="A1005" s="7"/>
    </row>
    <row r="1006" spans="1:1" ht="18.75">
      <c r="A1006" s="7"/>
    </row>
    <row r="1007" spans="1:1" ht="18.75">
      <c r="A100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pageSetUpPr fitToPage="1"/>
  </sheetPr>
  <dimension ref="A1:BE983"/>
  <sheetViews>
    <sheetView tabSelected="1" workbookViewId="0">
      <pane xSplit="2" ySplit="2" topLeftCell="O336" activePane="bottomRight" state="frozen"/>
      <selection pane="topRight" activeCell="C1" sqref="C1"/>
      <selection pane="bottomLeft" activeCell="A3" sqref="A3"/>
      <selection pane="bottomRight" activeCell="U345" sqref="U345"/>
    </sheetView>
  </sheetViews>
  <sheetFormatPr defaultColWidth="12.5703125" defaultRowHeight="15.75" customHeight="1"/>
  <cols>
    <col min="1" max="1" width="31.7109375" customWidth="1"/>
    <col min="4" max="4" width="21.28515625" customWidth="1"/>
    <col min="5" max="5" width="26.140625" customWidth="1"/>
    <col min="10" max="10" width="20.140625" customWidth="1"/>
    <col min="57" max="57" width="44.42578125" customWidth="1"/>
  </cols>
  <sheetData>
    <row r="1" spans="1:57" ht="47.25" customHeight="1">
      <c r="A1" s="9" t="s">
        <v>6</v>
      </c>
      <c r="B1" s="10" t="s">
        <v>7</v>
      </c>
      <c r="C1" s="10" t="s">
        <v>8</v>
      </c>
      <c r="D1" s="10" t="s">
        <v>9</v>
      </c>
      <c r="E1" s="9" t="s">
        <v>10</v>
      </c>
      <c r="F1" s="10" t="s">
        <v>11</v>
      </c>
      <c r="G1" s="10" t="s">
        <v>12</v>
      </c>
      <c r="H1" s="10" t="s">
        <v>13</v>
      </c>
      <c r="I1" s="10" t="s">
        <v>14</v>
      </c>
      <c r="J1" s="9" t="s">
        <v>15</v>
      </c>
      <c r="K1" s="11" t="s">
        <v>16</v>
      </c>
      <c r="L1" s="10" t="s">
        <v>17</v>
      </c>
      <c r="M1" s="10" t="s">
        <v>18</v>
      </c>
      <c r="N1" s="10" t="s">
        <v>19</v>
      </c>
      <c r="O1" s="9" t="s">
        <v>20</v>
      </c>
      <c r="P1" s="10" t="s">
        <v>21</v>
      </c>
      <c r="Q1" s="10" t="s">
        <v>22</v>
      </c>
      <c r="R1" s="9" t="s">
        <v>23</v>
      </c>
      <c r="S1" s="10" t="s">
        <v>24</v>
      </c>
      <c r="T1" s="9" t="s">
        <v>25</v>
      </c>
      <c r="U1" s="9" t="s">
        <v>33</v>
      </c>
      <c r="V1" s="10" t="s">
        <v>41</v>
      </c>
      <c r="W1" s="10" t="s">
        <v>26</v>
      </c>
      <c r="X1" s="11" t="s">
        <v>27</v>
      </c>
      <c r="Y1" s="11" t="s">
        <v>28</v>
      </c>
      <c r="Z1" s="10" t="s">
        <v>29</v>
      </c>
      <c r="AA1" s="10" t="s">
        <v>30</v>
      </c>
      <c r="AB1" s="10" t="s">
        <v>31</v>
      </c>
      <c r="AC1" s="9" t="s">
        <v>32</v>
      </c>
      <c r="AD1" s="11" t="s">
        <v>34</v>
      </c>
      <c r="AE1" s="10" t="s">
        <v>35</v>
      </c>
      <c r="AF1" s="9" t="s">
        <v>36</v>
      </c>
      <c r="AG1" s="10" t="s">
        <v>37</v>
      </c>
      <c r="AH1" s="10" t="s">
        <v>38</v>
      </c>
      <c r="AI1" s="11" t="s">
        <v>39</v>
      </c>
      <c r="AJ1" s="10" t="s">
        <v>40</v>
      </c>
      <c r="AK1" s="10" t="s">
        <v>42</v>
      </c>
      <c r="AL1" s="10" t="s">
        <v>43</v>
      </c>
      <c r="AM1" s="11" t="s">
        <v>44</v>
      </c>
      <c r="AN1" s="10" t="s">
        <v>45</v>
      </c>
      <c r="AO1" s="10" t="s">
        <v>46</v>
      </c>
      <c r="AP1" s="10" t="s">
        <v>47</v>
      </c>
      <c r="AQ1" s="10" t="s">
        <v>48</v>
      </c>
      <c r="AR1" s="10" t="s">
        <v>49</v>
      </c>
      <c r="AS1" s="10" t="s">
        <v>50</v>
      </c>
      <c r="AT1" s="10" t="s">
        <v>51</v>
      </c>
      <c r="AU1" s="10" t="s">
        <v>52</v>
      </c>
      <c r="AV1" s="10" t="s">
        <v>53</v>
      </c>
      <c r="AW1" s="10" t="s">
        <v>54</v>
      </c>
      <c r="AX1" s="10" t="s">
        <v>55</v>
      </c>
      <c r="AY1" s="10" t="s">
        <v>56</v>
      </c>
      <c r="AZ1" s="10" t="s">
        <v>57</v>
      </c>
      <c r="BA1" s="10" t="s">
        <v>58</v>
      </c>
      <c r="BB1" s="10" t="s">
        <v>59</v>
      </c>
      <c r="BC1" s="10" t="s">
        <v>60</v>
      </c>
      <c r="BD1" s="10" t="s">
        <v>61</v>
      </c>
      <c r="BE1" s="9" t="s">
        <v>62</v>
      </c>
    </row>
    <row r="2" spans="1:57" ht="15.75" customHeight="1">
      <c r="A2" s="12" t="s">
        <v>63</v>
      </c>
      <c r="B2" s="13"/>
      <c r="C2" s="14"/>
      <c r="E2" s="15"/>
      <c r="F2" s="16"/>
      <c r="G2" s="17"/>
      <c r="H2" s="15"/>
      <c r="I2" s="15"/>
      <c r="J2" s="15"/>
      <c r="K2" s="15">
        <f t="shared" ref="K2:BD2" si="0">SUM(K4:K375)</f>
        <v>2004</v>
      </c>
      <c r="L2" s="15">
        <f t="shared" si="0"/>
        <v>80</v>
      </c>
      <c r="M2" s="15">
        <f t="shared" si="0"/>
        <v>2932</v>
      </c>
      <c r="N2" s="15">
        <f t="shared" si="0"/>
        <v>8545</v>
      </c>
      <c r="O2" s="15">
        <f t="shared" si="0"/>
        <v>446</v>
      </c>
      <c r="P2" s="15">
        <f t="shared" si="0"/>
        <v>355</v>
      </c>
      <c r="Q2" s="15">
        <f t="shared" si="0"/>
        <v>1314</v>
      </c>
      <c r="R2" s="15">
        <f t="shared" si="0"/>
        <v>391</v>
      </c>
      <c r="S2" s="15">
        <f t="shared" si="0"/>
        <v>2</v>
      </c>
      <c r="T2" s="15">
        <f t="shared" si="0"/>
        <v>959</v>
      </c>
      <c r="U2" s="15">
        <f>SUM(U4:U375)</f>
        <v>2415</v>
      </c>
      <c r="V2" s="15">
        <f>SUM(V4:V375)</f>
        <v>31</v>
      </c>
      <c r="W2" s="15">
        <f t="shared" si="0"/>
        <v>415</v>
      </c>
      <c r="X2" s="15">
        <f t="shared" si="0"/>
        <v>288</v>
      </c>
      <c r="Y2" s="15">
        <f t="shared" si="0"/>
        <v>1732</v>
      </c>
      <c r="Z2" s="15">
        <f t="shared" si="0"/>
        <v>2908</v>
      </c>
      <c r="AA2" s="15">
        <f t="shared" si="0"/>
        <v>13162</v>
      </c>
      <c r="AB2" s="15">
        <f t="shared" si="0"/>
        <v>1879</v>
      </c>
      <c r="AC2" s="15">
        <f t="shared" si="0"/>
        <v>528</v>
      </c>
      <c r="AD2" s="15">
        <f t="shared" si="0"/>
        <v>378</v>
      </c>
      <c r="AE2" s="15">
        <f t="shared" si="0"/>
        <v>73</v>
      </c>
      <c r="AF2" s="15">
        <f t="shared" si="0"/>
        <v>1704</v>
      </c>
      <c r="AG2" s="15">
        <f t="shared" si="0"/>
        <v>10</v>
      </c>
      <c r="AH2" s="15">
        <f t="shared" si="0"/>
        <v>4265</v>
      </c>
      <c r="AI2" s="15">
        <f t="shared" si="0"/>
        <v>170</v>
      </c>
      <c r="AJ2" s="15">
        <f t="shared" si="0"/>
        <v>26</v>
      </c>
      <c r="AK2" s="15">
        <f t="shared" si="0"/>
        <v>674</v>
      </c>
      <c r="AL2" s="15">
        <f t="shared" si="0"/>
        <v>42</v>
      </c>
      <c r="AM2" s="15">
        <f t="shared" si="0"/>
        <v>8934</v>
      </c>
      <c r="AN2" s="15">
        <f t="shared" si="0"/>
        <v>1447</v>
      </c>
      <c r="AO2" s="15">
        <f t="shared" si="0"/>
        <v>0</v>
      </c>
      <c r="AP2" s="15">
        <f t="shared" si="0"/>
        <v>2808</v>
      </c>
      <c r="AQ2" s="15">
        <f t="shared" si="0"/>
        <v>373</v>
      </c>
      <c r="AR2" s="15">
        <f t="shared" si="0"/>
        <v>10</v>
      </c>
      <c r="AS2" s="15">
        <f t="shared" si="0"/>
        <v>4284</v>
      </c>
      <c r="AT2" s="15">
        <f t="shared" si="0"/>
        <v>2522</v>
      </c>
      <c r="AU2" s="15">
        <f t="shared" si="0"/>
        <v>0</v>
      </c>
      <c r="AV2" s="15">
        <f t="shared" si="0"/>
        <v>70</v>
      </c>
      <c r="AW2" s="15">
        <f t="shared" si="0"/>
        <v>1572</v>
      </c>
      <c r="AX2" s="15">
        <f t="shared" si="0"/>
        <v>15041</v>
      </c>
      <c r="AY2" s="15">
        <f t="shared" si="0"/>
        <v>285</v>
      </c>
      <c r="AZ2" s="15">
        <f t="shared" si="0"/>
        <v>6355</v>
      </c>
      <c r="BA2" s="15">
        <f t="shared" si="0"/>
        <v>6098</v>
      </c>
      <c r="BB2" s="15">
        <f t="shared" si="0"/>
        <v>432</v>
      </c>
      <c r="BC2" s="15">
        <f t="shared" si="0"/>
        <v>0</v>
      </c>
      <c r="BD2" s="15">
        <f t="shared" si="0"/>
        <v>2238</v>
      </c>
      <c r="BE2" s="18"/>
    </row>
    <row r="3" spans="1:57" ht="15.75" customHeight="1">
      <c r="A3" s="35"/>
      <c r="B3" s="35"/>
      <c r="C3" s="32"/>
      <c r="E3" s="114"/>
      <c r="F3" s="33"/>
      <c r="G3" s="17"/>
      <c r="H3" s="114"/>
      <c r="I3" s="114"/>
      <c r="J3" s="114"/>
      <c r="K3" s="114"/>
      <c r="L3" s="114"/>
      <c r="M3" s="114"/>
      <c r="N3" s="114"/>
      <c r="O3" s="114"/>
      <c r="P3" s="114"/>
      <c r="Q3" s="114"/>
      <c r="R3" s="114"/>
      <c r="S3" s="114"/>
      <c r="T3" s="114">
        <f>COUNT(T4:T356)</f>
        <v>10</v>
      </c>
      <c r="U3" s="114">
        <f>COUNT(U4:U356)</f>
        <v>44</v>
      </c>
      <c r="V3" s="114">
        <f>COUNT(V4:V356)</f>
        <v>2</v>
      </c>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7"/>
    </row>
    <row r="4" spans="1:57" ht="15.75" customHeight="1">
      <c r="A4" s="13" t="s">
        <v>64</v>
      </c>
      <c r="B4" s="13" t="s">
        <v>65</v>
      </c>
      <c r="C4" s="14">
        <v>44598</v>
      </c>
      <c r="D4" s="15" t="s">
        <v>66</v>
      </c>
      <c r="E4" s="15" t="s">
        <v>67</v>
      </c>
      <c r="F4" s="16">
        <v>0.41666666666666669</v>
      </c>
      <c r="G4" s="15" t="s">
        <v>68</v>
      </c>
      <c r="H4" s="15" t="s">
        <v>69</v>
      </c>
      <c r="I4" s="15" t="s">
        <v>70</v>
      </c>
      <c r="J4" s="15" t="s">
        <v>71</v>
      </c>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v>36</v>
      </c>
      <c r="AQ4" s="15"/>
      <c r="AR4" s="15"/>
      <c r="AS4" s="15">
        <v>57</v>
      </c>
      <c r="AT4" s="15"/>
      <c r="AU4" s="15"/>
      <c r="AV4" s="15"/>
      <c r="AW4" s="15">
        <v>6</v>
      </c>
      <c r="AX4" s="15"/>
      <c r="AY4" s="15"/>
      <c r="AZ4" s="15">
        <v>1</v>
      </c>
      <c r="BA4" s="15"/>
      <c r="BB4" s="15"/>
      <c r="BC4" s="15"/>
      <c r="BD4" s="15"/>
      <c r="BE4" s="18"/>
    </row>
    <row r="5" spans="1:57" ht="15.75" customHeight="1">
      <c r="A5" s="13" t="s">
        <v>72</v>
      </c>
      <c r="B5" s="13" t="s">
        <v>65</v>
      </c>
      <c r="C5" s="14">
        <v>44598</v>
      </c>
      <c r="D5" s="15" t="s">
        <v>73</v>
      </c>
      <c r="E5" s="15" t="s">
        <v>74</v>
      </c>
      <c r="F5" s="16">
        <v>0.36180555555555555</v>
      </c>
      <c r="G5" s="15" t="s">
        <v>68</v>
      </c>
      <c r="H5" s="15" t="s">
        <v>69</v>
      </c>
      <c r="I5" s="15" t="s">
        <v>70</v>
      </c>
      <c r="J5" s="15" t="s">
        <v>71</v>
      </c>
      <c r="K5" s="15"/>
      <c r="L5" s="15"/>
      <c r="M5" s="15">
        <v>1</v>
      </c>
      <c r="N5" s="15"/>
      <c r="O5" s="15"/>
      <c r="P5" s="15"/>
      <c r="Q5" s="15"/>
      <c r="R5" s="15"/>
      <c r="S5" s="15"/>
      <c r="T5" s="15"/>
      <c r="U5" s="15"/>
      <c r="V5" s="15"/>
      <c r="W5" s="15"/>
      <c r="X5" s="15"/>
      <c r="Y5" s="15"/>
      <c r="Z5" s="15"/>
      <c r="AA5" s="15">
        <v>6</v>
      </c>
      <c r="AB5" s="15"/>
      <c r="AC5" s="15"/>
      <c r="AD5" s="15">
        <v>3</v>
      </c>
      <c r="AE5" s="15"/>
      <c r="AF5" s="15"/>
      <c r="AG5" s="15"/>
      <c r="AH5" s="15">
        <v>2</v>
      </c>
      <c r="AI5" s="15"/>
      <c r="AJ5" s="15"/>
      <c r="AK5" s="15"/>
      <c r="AL5" s="15"/>
      <c r="AM5" s="15"/>
      <c r="AN5" s="15"/>
      <c r="AO5" s="15"/>
      <c r="AP5" s="15"/>
      <c r="AQ5" s="15"/>
      <c r="AR5" s="15"/>
      <c r="AS5" s="15"/>
      <c r="AT5" s="15"/>
      <c r="AU5" s="15"/>
      <c r="AV5" s="15"/>
      <c r="AW5" s="15"/>
      <c r="AX5" s="15"/>
      <c r="AY5" s="15"/>
      <c r="AZ5" s="15"/>
      <c r="BA5" s="15"/>
      <c r="BB5" s="15"/>
      <c r="BC5" s="15"/>
      <c r="BD5" s="15"/>
      <c r="BE5" s="18"/>
    </row>
    <row r="6" spans="1:57" ht="15.75" customHeight="1">
      <c r="A6" s="13" t="s">
        <v>75</v>
      </c>
      <c r="B6" s="13" t="s">
        <v>65</v>
      </c>
      <c r="C6" s="14">
        <v>44598</v>
      </c>
      <c r="D6" s="15" t="s">
        <v>76</v>
      </c>
      <c r="E6" s="15" t="s">
        <v>77</v>
      </c>
      <c r="F6" s="16">
        <v>0.4513888888888889</v>
      </c>
      <c r="G6" s="15" t="s">
        <v>78</v>
      </c>
      <c r="H6" s="15" t="s">
        <v>69</v>
      </c>
      <c r="I6" s="15" t="s">
        <v>70</v>
      </c>
      <c r="J6" s="15" t="s">
        <v>71</v>
      </c>
      <c r="K6" s="15"/>
      <c r="L6" s="15"/>
      <c r="M6" s="15">
        <v>6</v>
      </c>
      <c r="N6" s="15">
        <v>7</v>
      </c>
      <c r="O6" s="15"/>
      <c r="P6" s="15"/>
      <c r="Q6" s="15"/>
      <c r="R6" s="15"/>
      <c r="S6" s="15"/>
      <c r="T6" s="15"/>
      <c r="U6" s="15"/>
      <c r="V6" s="15"/>
      <c r="W6" s="15"/>
      <c r="X6" s="15"/>
      <c r="Y6" s="15"/>
      <c r="Z6" s="15">
        <v>3</v>
      </c>
      <c r="AA6" s="15">
        <v>64</v>
      </c>
      <c r="AB6" s="15"/>
      <c r="AC6" s="15">
        <v>1</v>
      </c>
      <c r="AD6" s="15"/>
      <c r="AE6" s="15"/>
      <c r="AF6" s="15">
        <v>1</v>
      </c>
      <c r="AG6" s="15"/>
      <c r="AH6" s="15">
        <v>54</v>
      </c>
      <c r="AI6" s="15"/>
      <c r="AJ6" s="15"/>
      <c r="AK6" s="15"/>
      <c r="AL6" s="15"/>
      <c r="AM6" s="15"/>
      <c r="AN6" s="15"/>
      <c r="AO6" s="15"/>
      <c r="AP6" s="15"/>
      <c r="AQ6" s="15"/>
      <c r="AR6" s="15"/>
      <c r="AS6" s="15"/>
      <c r="AT6" s="15">
        <v>1</v>
      </c>
      <c r="AU6" s="15"/>
      <c r="AV6" s="15"/>
      <c r="AW6" s="15">
        <v>8</v>
      </c>
      <c r="AX6" s="15"/>
      <c r="AY6" s="15"/>
      <c r="AZ6" s="15">
        <v>25</v>
      </c>
      <c r="BA6" s="15"/>
      <c r="BB6" s="15"/>
      <c r="BC6" s="15"/>
      <c r="BD6" s="15"/>
      <c r="BE6" s="18" t="s">
        <v>79</v>
      </c>
    </row>
    <row r="7" spans="1:57" ht="15.75" customHeight="1">
      <c r="A7" s="13" t="s">
        <v>80</v>
      </c>
      <c r="B7" s="13" t="s">
        <v>65</v>
      </c>
      <c r="C7" s="14">
        <v>44602</v>
      </c>
      <c r="D7" s="15" t="s">
        <v>81</v>
      </c>
      <c r="E7" s="15" t="s">
        <v>82</v>
      </c>
      <c r="F7" s="16">
        <v>0.69305555555555554</v>
      </c>
      <c r="G7" s="15" t="s">
        <v>83</v>
      </c>
      <c r="H7" s="15" t="s">
        <v>69</v>
      </c>
      <c r="I7" s="15" t="s">
        <v>70</v>
      </c>
      <c r="J7" s="15" t="s">
        <v>71</v>
      </c>
      <c r="K7" s="15"/>
      <c r="L7" s="15"/>
      <c r="M7" s="15"/>
      <c r="N7" s="15"/>
      <c r="O7" s="15"/>
      <c r="P7" s="15"/>
      <c r="Q7" s="15"/>
      <c r="R7" s="15"/>
      <c r="S7" s="15"/>
      <c r="T7" s="15"/>
      <c r="U7" s="15"/>
      <c r="V7" s="15"/>
      <c r="W7" s="15"/>
      <c r="X7" s="15"/>
      <c r="Y7" s="15"/>
      <c r="Z7" s="15"/>
      <c r="AA7" s="15">
        <v>44</v>
      </c>
      <c r="AB7" s="15"/>
      <c r="AC7" s="15"/>
      <c r="AD7" s="15">
        <v>6</v>
      </c>
      <c r="AE7" s="15"/>
      <c r="AF7" s="15"/>
      <c r="AG7" s="15"/>
      <c r="AH7" s="15">
        <v>2</v>
      </c>
      <c r="AI7" s="15"/>
      <c r="AJ7" s="15"/>
      <c r="AK7" s="15"/>
      <c r="AL7" s="15"/>
      <c r="AM7" s="15"/>
      <c r="AN7" s="15">
        <v>1</v>
      </c>
      <c r="AO7" s="15"/>
      <c r="AP7" s="15"/>
      <c r="AQ7" s="15"/>
      <c r="AR7" s="15"/>
      <c r="AS7" s="15"/>
      <c r="AT7" s="15"/>
      <c r="AU7" s="15"/>
      <c r="AV7" s="15"/>
      <c r="AW7" s="15"/>
      <c r="AX7" s="15"/>
      <c r="AY7" s="15"/>
      <c r="AZ7" s="15">
        <v>6</v>
      </c>
      <c r="BA7" s="15"/>
      <c r="BB7" s="15"/>
      <c r="BC7" s="15"/>
      <c r="BD7" s="15"/>
      <c r="BE7" s="18"/>
    </row>
    <row r="8" spans="1:57" ht="15.75" customHeight="1">
      <c r="A8" s="13" t="s">
        <v>84</v>
      </c>
      <c r="B8" s="13" t="s">
        <v>65</v>
      </c>
      <c r="C8" s="14">
        <v>44598</v>
      </c>
      <c r="D8" s="15" t="s">
        <v>73</v>
      </c>
      <c r="E8" s="15" t="s">
        <v>74</v>
      </c>
      <c r="F8" s="16">
        <v>0.37777777777777777</v>
      </c>
      <c r="G8" s="15" t="s">
        <v>68</v>
      </c>
      <c r="H8" s="15" t="s">
        <v>69</v>
      </c>
      <c r="I8" s="15" t="s">
        <v>70</v>
      </c>
      <c r="J8" s="15" t="s">
        <v>71</v>
      </c>
      <c r="K8" s="15"/>
      <c r="L8" s="15"/>
      <c r="M8" s="15">
        <v>19</v>
      </c>
      <c r="N8" s="15">
        <v>2</v>
      </c>
      <c r="O8" s="15"/>
      <c r="P8" s="15"/>
      <c r="Q8" s="15"/>
      <c r="R8" s="15"/>
      <c r="S8" s="15"/>
      <c r="T8" s="15"/>
      <c r="U8" s="15"/>
      <c r="V8" s="15"/>
      <c r="W8" s="15"/>
      <c r="X8" s="15"/>
      <c r="Y8" s="15"/>
      <c r="Z8" s="15">
        <v>3</v>
      </c>
      <c r="AA8" s="15">
        <v>142</v>
      </c>
      <c r="AB8" s="15"/>
      <c r="AC8" s="15"/>
      <c r="AD8" s="15">
        <v>12</v>
      </c>
      <c r="AE8" s="15"/>
      <c r="AF8" s="15"/>
      <c r="AG8" s="15"/>
      <c r="AH8" s="15">
        <v>23</v>
      </c>
      <c r="AI8" s="15"/>
      <c r="AJ8" s="15"/>
      <c r="AK8" s="15"/>
      <c r="AL8" s="15"/>
      <c r="AM8" s="15"/>
      <c r="AN8" s="15">
        <v>184</v>
      </c>
      <c r="AO8" s="15"/>
      <c r="AP8" s="15"/>
      <c r="AQ8" s="15"/>
      <c r="AR8" s="15"/>
      <c r="AS8" s="15"/>
      <c r="AT8" s="15">
        <v>20</v>
      </c>
      <c r="AU8" s="15"/>
      <c r="AV8" s="15"/>
      <c r="AW8" s="15">
        <v>4</v>
      </c>
      <c r="AX8" s="15">
        <v>17</v>
      </c>
      <c r="AY8" s="15"/>
      <c r="AZ8" s="15">
        <v>36</v>
      </c>
      <c r="BA8" s="15">
        <v>14</v>
      </c>
      <c r="BB8" s="15"/>
      <c r="BC8" s="15"/>
      <c r="BD8" s="15"/>
      <c r="BE8" s="18"/>
    </row>
    <row r="9" spans="1:57" ht="15.75" customHeight="1">
      <c r="A9" s="13" t="s">
        <v>85</v>
      </c>
      <c r="B9" s="13" t="s">
        <v>65</v>
      </c>
      <c r="C9" s="14">
        <v>44598</v>
      </c>
      <c r="D9" s="15" t="s">
        <v>76</v>
      </c>
      <c r="E9" s="15" t="s">
        <v>77</v>
      </c>
      <c r="F9" s="16">
        <v>0.375</v>
      </c>
      <c r="G9" s="15" t="s">
        <v>68</v>
      </c>
      <c r="H9" s="15" t="s">
        <v>69</v>
      </c>
      <c r="I9" s="15" t="s">
        <v>70</v>
      </c>
      <c r="J9" s="15" t="s">
        <v>71</v>
      </c>
      <c r="K9" s="15"/>
      <c r="L9" s="15"/>
      <c r="M9" s="15">
        <v>6</v>
      </c>
      <c r="N9" s="15"/>
      <c r="O9" s="15"/>
      <c r="P9" s="15"/>
      <c r="Q9" s="15"/>
      <c r="R9" s="15"/>
      <c r="S9" s="15"/>
      <c r="T9" s="15"/>
      <c r="U9" s="15"/>
      <c r="V9" s="15"/>
      <c r="W9" s="15"/>
      <c r="X9" s="15"/>
      <c r="Y9" s="15"/>
      <c r="Z9" s="15"/>
      <c r="AA9" s="15">
        <v>11</v>
      </c>
      <c r="AB9" s="15"/>
      <c r="AC9" s="15"/>
      <c r="AD9" s="15">
        <v>12</v>
      </c>
      <c r="AE9" s="15"/>
      <c r="AF9" s="15"/>
      <c r="AG9" s="15"/>
      <c r="AH9" s="15"/>
      <c r="AI9" s="15"/>
      <c r="AJ9" s="15"/>
      <c r="AK9" s="15"/>
      <c r="AL9" s="15"/>
      <c r="AM9" s="15"/>
      <c r="AN9" s="15">
        <v>9</v>
      </c>
      <c r="AO9" s="15"/>
      <c r="AP9" s="15">
        <v>8</v>
      </c>
      <c r="AQ9" s="15"/>
      <c r="AR9" s="15"/>
      <c r="AS9" s="15">
        <v>12</v>
      </c>
      <c r="AT9" s="15"/>
      <c r="AU9" s="15"/>
      <c r="AV9" s="15"/>
      <c r="AW9" s="15">
        <v>1</v>
      </c>
      <c r="AX9" s="15"/>
      <c r="AY9" s="15"/>
      <c r="AZ9" s="15">
        <v>8</v>
      </c>
      <c r="BA9" s="15">
        <v>4</v>
      </c>
      <c r="BB9" s="15"/>
      <c r="BC9" s="15"/>
      <c r="BD9" s="15"/>
      <c r="BE9" s="18"/>
    </row>
    <row r="10" spans="1:57" ht="15.75" customHeight="1">
      <c r="A10" s="13" t="s">
        <v>86</v>
      </c>
      <c r="B10" s="13" t="s">
        <v>65</v>
      </c>
      <c r="C10" s="14">
        <v>44598</v>
      </c>
      <c r="D10" s="15" t="s">
        <v>87</v>
      </c>
      <c r="E10" s="15" t="s">
        <v>88</v>
      </c>
      <c r="F10" s="16">
        <v>0.37430555555555556</v>
      </c>
      <c r="G10" s="15" t="s">
        <v>68</v>
      </c>
      <c r="H10" s="15" t="s">
        <v>69</v>
      </c>
      <c r="I10" s="15" t="s">
        <v>70</v>
      </c>
      <c r="J10" s="15" t="s">
        <v>71</v>
      </c>
      <c r="K10" s="15"/>
      <c r="L10" s="15"/>
      <c r="M10" s="15">
        <v>23</v>
      </c>
      <c r="N10" s="15">
        <v>30</v>
      </c>
      <c r="O10" s="15"/>
      <c r="P10" s="15"/>
      <c r="Q10" s="15">
        <v>2</v>
      </c>
      <c r="R10" s="15"/>
      <c r="S10" s="15"/>
      <c r="T10" s="15"/>
      <c r="U10" s="15"/>
      <c r="V10" s="15"/>
      <c r="W10" s="15"/>
      <c r="X10" s="15"/>
      <c r="Y10" s="15"/>
      <c r="Z10" s="15">
        <v>10</v>
      </c>
      <c r="AA10" s="15">
        <v>116</v>
      </c>
      <c r="AB10" s="15"/>
      <c r="AC10" s="15"/>
      <c r="AD10" s="15">
        <v>16</v>
      </c>
      <c r="AE10" s="15"/>
      <c r="AF10" s="15"/>
      <c r="AG10" s="15"/>
      <c r="AH10" s="15">
        <v>47</v>
      </c>
      <c r="AI10" s="15"/>
      <c r="AJ10" s="15"/>
      <c r="AK10" s="15"/>
      <c r="AL10" s="15"/>
      <c r="AM10" s="15"/>
      <c r="AN10" s="15">
        <v>63</v>
      </c>
      <c r="AO10" s="15"/>
      <c r="AP10" s="15">
        <v>12</v>
      </c>
      <c r="AQ10" s="15"/>
      <c r="AR10" s="15"/>
      <c r="AS10" s="15"/>
      <c r="AT10" s="15">
        <v>9</v>
      </c>
      <c r="AU10" s="15"/>
      <c r="AV10" s="15"/>
      <c r="AW10" s="15">
        <v>22</v>
      </c>
      <c r="AX10" s="15"/>
      <c r="AY10" s="15"/>
      <c r="AZ10" s="15">
        <v>59</v>
      </c>
      <c r="BA10" s="15">
        <v>1</v>
      </c>
      <c r="BB10" s="15"/>
      <c r="BC10" s="15"/>
      <c r="BD10" s="15"/>
      <c r="BE10" s="19"/>
    </row>
    <row r="11" spans="1:57" ht="15.75" customHeight="1">
      <c r="A11" s="13" t="s">
        <v>89</v>
      </c>
      <c r="B11" s="13" t="s">
        <v>65</v>
      </c>
      <c r="C11" s="14">
        <v>44597</v>
      </c>
      <c r="D11" s="15" t="s">
        <v>90</v>
      </c>
      <c r="E11" s="15" t="s">
        <v>91</v>
      </c>
      <c r="F11" s="16">
        <v>0.31597222222222221</v>
      </c>
      <c r="G11" s="15" t="s">
        <v>92</v>
      </c>
      <c r="H11" s="15" t="s">
        <v>69</v>
      </c>
      <c r="I11" s="15" t="s">
        <v>70</v>
      </c>
      <c r="J11" s="15" t="s">
        <v>71</v>
      </c>
      <c r="K11" s="15"/>
      <c r="L11" s="15"/>
      <c r="M11" s="15"/>
      <c r="N11" s="15"/>
      <c r="O11" s="15"/>
      <c r="P11" s="15"/>
      <c r="Q11" s="15"/>
      <c r="R11" s="15"/>
      <c r="S11" s="15"/>
      <c r="T11" s="15"/>
      <c r="U11" s="15"/>
      <c r="V11" s="15"/>
      <c r="W11" s="15"/>
      <c r="X11" s="15"/>
      <c r="Y11" s="15"/>
      <c r="Z11" s="15">
        <v>2</v>
      </c>
      <c r="AA11" s="15">
        <v>49</v>
      </c>
      <c r="AB11" s="15"/>
      <c r="AC11" s="15"/>
      <c r="AD11" s="15"/>
      <c r="AE11" s="15"/>
      <c r="AF11" s="15"/>
      <c r="AG11" s="15"/>
      <c r="AH11" s="15"/>
      <c r="AI11" s="15"/>
      <c r="AJ11" s="15"/>
      <c r="AK11" s="15"/>
      <c r="AL11" s="15"/>
      <c r="AM11" s="15"/>
      <c r="AN11" s="15">
        <v>11</v>
      </c>
      <c r="AO11" s="15"/>
      <c r="AP11" s="15"/>
      <c r="AQ11" s="15"/>
      <c r="AR11" s="15"/>
      <c r="AS11" s="15">
        <v>6</v>
      </c>
      <c r="AT11" s="15"/>
      <c r="AU11" s="15"/>
      <c r="AV11" s="15"/>
      <c r="AW11" s="15">
        <v>12</v>
      </c>
      <c r="AX11" s="15">
        <v>18</v>
      </c>
      <c r="AY11" s="15"/>
      <c r="AZ11" s="15">
        <v>5</v>
      </c>
      <c r="BA11" s="15"/>
      <c r="BB11" s="15"/>
      <c r="BC11" s="15"/>
      <c r="BD11" s="15"/>
      <c r="BE11" s="19"/>
    </row>
    <row r="12" spans="1:57" ht="15.75" customHeight="1">
      <c r="A12" s="20" t="s">
        <v>93</v>
      </c>
      <c r="B12" s="13" t="s">
        <v>65</v>
      </c>
      <c r="C12" s="14">
        <v>44598</v>
      </c>
      <c r="D12" s="15" t="s">
        <v>66</v>
      </c>
      <c r="E12" s="15" t="s">
        <v>67</v>
      </c>
      <c r="F12" s="21">
        <v>0.39444444444444443</v>
      </c>
      <c r="G12" s="15" t="s">
        <v>68</v>
      </c>
      <c r="H12" s="15" t="s">
        <v>69</v>
      </c>
      <c r="I12" s="15" t="s">
        <v>70</v>
      </c>
      <c r="J12" s="15" t="s">
        <v>71</v>
      </c>
      <c r="K12" s="15"/>
      <c r="L12" s="15"/>
      <c r="M12" s="15">
        <v>12</v>
      </c>
      <c r="N12" s="15">
        <v>55</v>
      </c>
      <c r="O12" s="15"/>
      <c r="P12" s="15"/>
      <c r="Q12" s="15"/>
      <c r="R12" s="15"/>
      <c r="S12" s="15"/>
      <c r="T12" s="15"/>
      <c r="U12" s="15"/>
      <c r="V12" s="15"/>
      <c r="W12" s="15"/>
      <c r="X12" s="15"/>
      <c r="Y12" s="15"/>
      <c r="Z12" s="15">
        <v>2</v>
      </c>
      <c r="AA12" s="15">
        <v>54</v>
      </c>
      <c r="AB12" s="15"/>
      <c r="AC12" s="15"/>
      <c r="AD12" s="15"/>
      <c r="AE12" s="15"/>
      <c r="AF12" s="15"/>
      <c r="AG12" s="15"/>
      <c r="AH12" s="15">
        <v>1</v>
      </c>
      <c r="AI12" s="15"/>
      <c r="AJ12" s="15"/>
      <c r="AK12" s="15"/>
      <c r="AL12" s="15"/>
      <c r="AM12" s="15"/>
      <c r="AN12" s="15">
        <v>9</v>
      </c>
      <c r="AO12" s="15"/>
      <c r="AP12" s="15"/>
      <c r="AQ12" s="15"/>
      <c r="AR12" s="15"/>
      <c r="AS12" s="15"/>
      <c r="AT12" s="15"/>
      <c r="AU12" s="15"/>
      <c r="AV12" s="15"/>
      <c r="AW12" s="15"/>
      <c r="AX12" s="15"/>
      <c r="AY12" s="15"/>
      <c r="AZ12" s="15">
        <v>1</v>
      </c>
      <c r="BA12" s="15"/>
      <c r="BB12" s="15"/>
      <c r="BC12" s="15"/>
      <c r="BD12" s="15"/>
      <c r="BE12" s="19"/>
    </row>
    <row r="13" spans="1:57" ht="15.75" customHeight="1">
      <c r="A13" s="13" t="s">
        <v>94</v>
      </c>
      <c r="B13" s="13" t="s">
        <v>65</v>
      </c>
      <c r="C13" s="14">
        <v>44598</v>
      </c>
      <c r="D13" s="15" t="s">
        <v>95</v>
      </c>
      <c r="E13" s="15" t="s">
        <v>96</v>
      </c>
      <c r="F13" s="16">
        <v>0.44305555555555554</v>
      </c>
      <c r="G13" s="15" t="s">
        <v>68</v>
      </c>
      <c r="H13" s="15" t="s">
        <v>69</v>
      </c>
      <c r="I13" s="15" t="s">
        <v>70</v>
      </c>
      <c r="J13" s="15" t="s">
        <v>71</v>
      </c>
      <c r="K13" s="15"/>
      <c r="L13" s="15"/>
      <c r="M13" s="15">
        <v>6</v>
      </c>
      <c r="N13" s="15"/>
      <c r="O13" s="15"/>
      <c r="P13" s="15"/>
      <c r="Q13" s="15"/>
      <c r="R13" s="15"/>
      <c r="S13" s="15"/>
      <c r="T13" s="15"/>
      <c r="U13" s="15"/>
      <c r="V13" s="15"/>
      <c r="W13" s="15"/>
      <c r="X13" s="15"/>
      <c r="Y13" s="15"/>
      <c r="Z13" s="15">
        <v>11</v>
      </c>
      <c r="AA13" s="15">
        <v>36</v>
      </c>
      <c r="AB13" s="15"/>
      <c r="AC13" s="15"/>
      <c r="AD13" s="15">
        <v>16</v>
      </c>
      <c r="AE13" s="15"/>
      <c r="AF13" s="15"/>
      <c r="AG13" s="15"/>
      <c r="AH13" s="15">
        <v>3</v>
      </c>
      <c r="AI13" s="15"/>
      <c r="AJ13" s="15"/>
      <c r="AK13" s="15"/>
      <c r="AL13" s="15"/>
      <c r="AM13" s="15"/>
      <c r="AN13" s="15">
        <v>81</v>
      </c>
      <c r="AO13" s="15"/>
      <c r="AP13" s="15">
        <v>34</v>
      </c>
      <c r="AQ13" s="15"/>
      <c r="AR13" s="15"/>
      <c r="AS13" s="15">
        <v>4</v>
      </c>
      <c r="AT13" s="15">
        <v>9</v>
      </c>
      <c r="AU13" s="15"/>
      <c r="AV13" s="15"/>
      <c r="AW13" s="15">
        <v>3</v>
      </c>
      <c r="AX13" s="15">
        <v>86</v>
      </c>
      <c r="AY13" s="15"/>
      <c r="AZ13" s="15">
        <v>16</v>
      </c>
      <c r="BA13" s="15">
        <v>16</v>
      </c>
      <c r="BB13" s="15"/>
      <c r="BC13" s="15"/>
      <c r="BD13" s="15"/>
      <c r="BE13" s="19"/>
    </row>
    <row r="14" spans="1:57" ht="15.75" customHeight="1">
      <c r="A14" s="13" t="s">
        <v>97</v>
      </c>
      <c r="B14" s="13" t="s">
        <v>65</v>
      </c>
      <c r="C14" s="14">
        <v>44598</v>
      </c>
      <c r="D14" s="15" t="s">
        <v>98</v>
      </c>
      <c r="E14" s="15" t="s">
        <v>99</v>
      </c>
      <c r="F14" s="16">
        <v>0.38333333333333336</v>
      </c>
      <c r="G14" s="15" t="s">
        <v>68</v>
      </c>
      <c r="H14" s="15" t="s">
        <v>69</v>
      </c>
      <c r="I14" s="15" t="s">
        <v>70</v>
      </c>
      <c r="J14" s="15" t="s">
        <v>71</v>
      </c>
      <c r="K14" s="15"/>
      <c r="L14" s="15"/>
      <c r="M14" s="15">
        <v>3</v>
      </c>
      <c r="N14" s="15"/>
      <c r="O14" s="15"/>
      <c r="P14" s="15"/>
      <c r="Q14" s="15"/>
      <c r="R14" s="15"/>
      <c r="S14" s="15"/>
      <c r="T14" s="15"/>
      <c r="U14" s="15"/>
      <c r="V14" s="15"/>
      <c r="W14" s="15"/>
      <c r="X14" s="15"/>
      <c r="Y14" s="15"/>
      <c r="Z14" s="15">
        <v>2</v>
      </c>
      <c r="AA14" s="15">
        <v>14</v>
      </c>
      <c r="AB14" s="15"/>
      <c r="AC14" s="15"/>
      <c r="AD14" s="15"/>
      <c r="AE14" s="15"/>
      <c r="AF14" s="15"/>
      <c r="AG14" s="15"/>
      <c r="AH14" s="15">
        <v>1</v>
      </c>
      <c r="AI14" s="15"/>
      <c r="AJ14" s="15"/>
      <c r="AK14" s="15"/>
      <c r="AL14" s="15"/>
      <c r="AM14" s="15"/>
      <c r="AN14" s="15">
        <v>8</v>
      </c>
      <c r="AO14" s="15"/>
      <c r="AP14" s="15">
        <v>1</v>
      </c>
      <c r="AQ14" s="15"/>
      <c r="AR14" s="15"/>
      <c r="AS14" s="15">
        <v>8</v>
      </c>
      <c r="AT14" s="15"/>
      <c r="AU14" s="15"/>
      <c r="AV14" s="15"/>
      <c r="AW14" s="15"/>
      <c r="AX14" s="15">
        <v>20</v>
      </c>
      <c r="AY14" s="15"/>
      <c r="AZ14" s="15">
        <v>1</v>
      </c>
      <c r="BA14" s="15">
        <v>6</v>
      </c>
      <c r="BB14" s="15"/>
      <c r="BC14" s="15"/>
      <c r="BD14" s="15"/>
      <c r="BE14" s="18" t="s">
        <v>100</v>
      </c>
    </row>
    <row r="15" spans="1:57" ht="15.75" customHeight="1">
      <c r="A15" s="13" t="s">
        <v>101</v>
      </c>
      <c r="B15" s="13" t="s">
        <v>65</v>
      </c>
      <c r="C15" s="14">
        <v>44598</v>
      </c>
      <c r="D15" s="15" t="s">
        <v>95</v>
      </c>
      <c r="E15" s="15" t="s">
        <v>96</v>
      </c>
      <c r="F15" s="16">
        <v>0.51944444444444449</v>
      </c>
      <c r="G15" s="15" t="s">
        <v>68</v>
      </c>
      <c r="H15" s="15" t="s">
        <v>69</v>
      </c>
      <c r="I15" s="15" t="s">
        <v>70</v>
      </c>
      <c r="J15" s="15" t="s">
        <v>71</v>
      </c>
      <c r="K15" s="15"/>
      <c r="L15" s="15"/>
      <c r="M15" s="15">
        <v>18</v>
      </c>
      <c r="N15" s="15">
        <v>42</v>
      </c>
      <c r="O15" s="15"/>
      <c r="P15" s="15"/>
      <c r="Q15" s="15"/>
      <c r="R15" s="15"/>
      <c r="S15" s="15"/>
      <c r="T15" s="15"/>
      <c r="U15" s="15"/>
      <c r="V15" s="15"/>
      <c r="W15" s="15"/>
      <c r="X15" s="15"/>
      <c r="Y15" s="15"/>
      <c r="Z15" s="15">
        <v>6</v>
      </c>
      <c r="AA15" s="15">
        <v>57</v>
      </c>
      <c r="AB15" s="15"/>
      <c r="AC15" s="15"/>
      <c r="AD15" s="15">
        <v>15</v>
      </c>
      <c r="AE15" s="15"/>
      <c r="AF15" s="15"/>
      <c r="AG15" s="15"/>
      <c r="AH15" s="15">
        <v>13</v>
      </c>
      <c r="AI15" s="15"/>
      <c r="AJ15" s="15"/>
      <c r="AK15" s="15"/>
      <c r="AL15" s="15"/>
      <c r="AM15" s="15"/>
      <c r="AN15" s="15"/>
      <c r="AO15" s="15"/>
      <c r="AP15" s="15"/>
      <c r="AQ15" s="15"/>
      <c r="AR15" s="15"/>
      <c r="AS15" s="15"/>
      <c r="AT15" s="15">
        <v>4</v>
      </c>
      <c r="AU15" s="15"/>
      <c r="AV15" s="15"/>
      <c r="AW15" s="15">
        <v>15</v>
      </c>
      <c r="AX15" s="15"/>
      <c r="AY15" s="15"/>
      <c r="AZ15" s="15">
        <v>44</v>
      </c>
      <c r="BA15" s="15">
        <v>2</v>
      </c>
      <c r="BB15" s="15"/>
      <c r="BC15" s="15"/>
      <c r="BD15" s="15"/>
      <c r="BE15" s="18"/>
    </row>
    <row r="16" spans="1:57" ht="15.75" customHeight="1">
      <c r="A16" s="13" t="s">
        <v>102</v>
      </c>
      <c r="B16" s="13" t="s">
        <v>65</v>
      </c>
      <c r="C16" s="14">
        <v>44598</v>
      </c>
      <c r="D16" s="15" t="s">
        <v>66</v>
      </c>
      <c r="E16" s="15" t="s">
        <v>67</v>
      </c>
      <c r="F16" s="16">
        <v>0.43402777777777779</v>
      </c>
      <c r="G16" s="15" t="s">
        <v>68</v>
      </c>
      <c r="H16" s="15" t="s">
        <v>69</v>
      </c>
      <c r="I16" s="15" t="s">
        <v>70</v>
      </c>
      <c r="J16" s="15" t="s">
        <v>71</v>
      </c>
      <c r="K16" s="15"/>
      <c r="L16" s="15"/>
      <c r="M16" s="15">
        <v>27</v>
      </c>
      <c r="N16" s="15">
        <v>346</v>
      </c>
      <c r="O16" s="15">
        <v>90</v>
      </c>
      <c r="P16" s="15"/>
      <c r="Q16" s="15">
        <v>14</v>
      </c>
      <c r="R16" s="15"/>
      <c r="S16" s="15"/>
      <c r="T16" s="15"/>
      <c r="U16" s="15">
        <v>9</v>
      </c>
      <c r="V16" s="15"/>
      <c r="W16" s="15"/>
      <c r="X16" s="15"/>
      <c r="Y16" s="15"/>
      <c r="Z16" s="15"/>
      <c r="AA16" s="15">
        <v>1</v>
      </c>
      <c r="AB16" s="15">
        <v>1</v>
      </c>
      <c r="AC16" s="15"/>
      <c r="AD16" s="15"/>
      <c r="AE16" s="15"/>
      <c r="AF16" s="15"/>
      <c r="AG16" s="15"/>
      <c r="AH16" s="15">
        <v>5</v>
      </c>
      <c r="AI16" s="15"/>
      <c r="AJ16" s="15"/>
      <c r="AK16" s="15"/>
      <c r="AL16" s="15"/>
      <c r="AM16" s="15"/>
      <c r="AN16" s="15"/>
      <c r="AO16" s="15"/>
      <c r="AP16" s="15">
        <v>3</v>
      </c>
      <c r="AQ16" s="15"/>
      <c r="AR16" s="15"/>
      <c r="AS16" s="15">
        <v>1</v>
      </c>
      <c r="AT16" s="15">
        <v>20</v>
      </c>
      <c r="AU16" s="15"/>
      <c r="AV16" s="15"/>
      <c r="AW16" s="15"/>
      <c r="AX16" s="15">
        <v>492</v>
      </c>
      <c r="AY16" s="15"/>
      <c r="AZ16" s="15">
        <v>40</v>
      </c>
      <c r="BA16" s="15">
        <v>6</v>
      </c>
      <c r="BB16" s="15"/>
      <c r="BC16" s="15"/>
      <c r="BD16" s="15"/>
      <c r="BE16" s="18"/>
    </row>
    <row r="17" spans="1:57" ht="15.75" customHeight="1">
      <c r="A17" s="13" t="s">
        <v>103</v>
      </c>
      <c r="B17" s="13" t="s">
        <v>65</v>
      </c>
      <c r="C17" s="14">
        <v>44598</v>
      </c>
      <c r="D17" s="15" t="s">
        <v>104</v>
      </c>
      <c r="F17" s="16"/>
      <c r="G17" s="17"/>
      <c r="H17" s="17"/>
      <c r="I17" s="17"/>
      <c r="J17" s="15" t="s">
        <v>71</v>
      </c>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9"/>
    </row>
    <row r="18" spans="1:57" ht="15.75" customHeight="1">
      <c r="A18" s="13" t="s">
        <v>105</v>
      </c>
      <c r="B18" s="13" t="s">
        <v>106</v>
      </c>
      <c r="C18" s="22">
        <v>44602</v>
      </c>
      <c r="D18" s="15" t="s">
        <v>107</v>
      </c>
      <c r="E18" s="15" t="s">
        <v>108</v>
      </c>
      <c r="F18" s="16">
        <v>0.38194444444444442</v>
      </c>
      <c r="G18" s="15" t="s">
        <v>83</v>
      </c>
      <c r="H18" s="15" t="s">
        <v>109</v>
      </c>
      <c r="I18" s="15" t="s">
        <v>70</v>
      </c>
      <c r="J18" s="15" t="s">
        <v>71</v>
      </c>
      <c r="K18" s="15"/>
      <c r="L18" s="15"/>
      <c r="M18" s="15">
        <v>2</v>
      </c>
      <c r="N18" s="15"/>
      <c r="O18" s="15"/>
      <c r="P18" s="15"/>
      <c r="Q18" s="15"/>
      <c r="R18" s="15"/>
      <c r="S18" s="15"/>
      <c r="T18" s="15"/>
      <c r="U18" s="15"/>
      <c r="V18" s="15"/>
      <c r="W18" s="15"/>
      <c r="X18" s="15"/>
      <c r="Y18" s="15"/>
      <c r="Z18" s="15">
        <v>5</v>
      </c>
      <c r="AA18" s="15">
        <v>15</v>
      </c>
      <c r="AB18" s="15"/>
      <c r="AC18" s="15"/>
      <c r="AD18" s="15"/>
      <c r="AE18" s="15"/>
      <c r="AF18" s="15"/>
      <c r="AG18" s="15"/>
      <c r="AH18" s="15">
        <v>5</v>
      </c>
      <c r="AI18" s="15"/>
      <c r="AJ18" s="15"/>
      <c r="AK18" s="15"/>
      <c r="AL18" s="15"/>
      <c r="AM18" s="15"/>
      <c r="AN18" s="15"/>
      <c r="AO18" s="15"/>
      <c r="AP18" s="15"/>
      <c r="AQ18" s="15"/>
      <c r="AR18" s="15"/>
      <c r="AS18" s="15"/>
      <c r="AT18" s="15">
        <v>5</v>
      </c>
      <c r="AU18" s="15"/>
      <c r="AV18" s="15"/>
      <c r="AW18" s="15">
        <v>7</v>
      </c>
      <c r="AX18" s="15"/>
      <c r="AY18" s="15"/>
      <c r="AZ18" s="15">
        <v>9</v>
      </c>
      <c r="BA18" s="15">
        <v>55</v>
      </c>
      <c r="BB18" s="15"/>
      <c r="BC18" s="15"/>
      <c r="BD18" s="15"/>
      <c r="BE18" s="18"/>
    </row>
    <row r="19" spans="1:57" ht="15.75" customHeight="1">
      <c r="A19" s="13" t="s">
        <v>110</v>
      </c>
      <c r="B19" s="13" t="s">
        <v>106</v>
      </c>
      <c r="C19" s="14">
        <v>44602</v>
      </c>
      <c r="D19" s="15" t="s">
        <v>111</v>
      </c>
      <c r="E19" s="15" t="s">
        <v>112</v>
      </c>
      <c r="F19" s="23" t="s">
        <v>113</v>
      </c>
      <c r="G19" s="15" t="s">
        <v>83</v>
      </c>
      <c r="H19" s="15" t="s">
        <v>109</v>
      </c>
      <c r="I19" s="15" t="s">
        <v>70</v>
      </c>
      <c r="J19" s="15" t="s">
        <v>71</v>
      </c>
      <c r="K19" s="15"/>
      <c r="L19" s="15"/>
      <c r="M19" s="15"/>
      <c r="N19" s="15"/>
      <c r="O19" s="15"/>
      <c r="P19" s="15"/>
      <c r="Q19" s="15"/>
      <c r="R19" s="15"/>
      <c r="S19" s="15"/>
      <c r="T19" s="15"/>
      <c r="U19" s="15"/>
      <c r="V19" s="15"/>
      <c r="W19" s="15"/>
      <c r="X19" s="15"/>
      <c r="Y19" s="15"/>
      <c r="Z19" s="15">
        <v>8</v>
      </c>
      <c r="AA19" s="15">
        <v>50</v>
      </c>
      <c r="AB19" s="15"/>
      <c r="AC19" s="15"/>
      <c r="AD19" s="15"/>
      <c r="AE19" s="15"/>
      <c r="AF19" s="15"/>
      <c r="AG19" s="15"/>
      <c r="AH19" s="15">
        <v>13</v>
      </c>
      <c r="AI19" s="15"/>
      <c r="AJ19" s="15"/>
      <c r="AK19" s="15"/>
      <c r="AL19" s="15"/>
      <c r="AM19" s="15"/>
      <c r="AN19" s="15"/>
      <c r="AO19" s="15"/>
      <c r="AP19" s="15"/>
      <c r="AQ19" s="15"/>
      <c r="AR19" s="15"/>
      <c r="AS19" s="15"/>
      <c r="AT19" s="15"/>
      <c r="AU19" s="15"/>
      <c r="AV19" s="15">
        <v>1</v>
      </c>
      <c r="AW19" s="15">
        <v>2</v>
      </c>
      <c r="AX19" s="15"/>
      <c r="AY19" s="15"/>
      <c r="AZ19" s="15">
        <v>21</v>
      </c>
      <c r="BA19" s="15">
        <v>31</v>
      </c>
      <c r="BB19" s="15">
        <v>1</v>
      </c>
      <c r="BC19" s="15"/>
      <c r="BD19" s="15"/>
      <c r="BE19" s="18" t="s">
        <v>114</v>
      </c>
    </row>
    <row r="20" spans="1:57" ht="15.75" customHeight="1">
      <c r="A20" s="24" t="s">
        <v>115</v>
      </c>
      <c r="B20" s="24" t="s">
        <v>106</v>
      </c>
      <c r="C20" s="14">
        <v>44601</v>
      </c>
      <c r="D20" s="15" t="s">
        <v>116</v>
      </c>
      <c r="E20" s="25" t="s">
        <v>117</v>
      </c>
      <c r="F20" s="21">
        <v>0.33958333333333335</v>
      </c>
      <c r="G20" s="15" t="s">
        <v>78</v>
      </c>
      <c r="H20" s="15" t="s">
        <v>69</v>
      </c>
      <c r="I20" s="15" t="s">
        <v>118</v>
      </c>
      <c r="J20" s="15" t="s">
        <v>71</v>
      </c>
      <c r="K20" s="17"/>
      <c r="L20" s="17"/>
      <c r="M20" s="15">
        <v>1</v>
      </c>
      <c r="N20" s="17"/>
      <c r="O20" s="17"/>
      <c r="P20" s="17"/>
      <c r="Q20" s="17"/>
      <c r="R20" s="17"/>
      <c r="S20" s="17"/>
      <c r="T20" s="17"/>
      <c r="U20" s="17"/>
      <c r="V20" s="17"/>
      <c r="W20" s="17"/>
      <c r="X20" s="17"/>
      <c r="Y20" s="17"/>
      <c r="Z20" s="15">
        <v>3</v>
      </c>
      <c r="AA20" s="15">
        <v>50</v>
      </c>
      <c r="AB20" s="17"/>
      <c r="AC20" s="17"/>
      <c r="AD20" s="17"/>
      <c r="AE20" s="17"/>
      <c r="AF20" s="17"/>
      <c r="AG20" s="17"/>
      <c r="AH20" s="15">
        <v>10</v>
      </c>
      <c r="AI20" s="17"/>
      <c r="AJ20" s="17"/>
      <c r="AK20" s="17"/>
      <c r="AL20" s="17"/>
      <c r="AM20" s="17"/>
      <c r="AN20" s="17"/>
      <c r="AO20" s="17"/>
      <c r="AP20" s="15">
        <v>7</v>
      </c>
      <c r="AQ20" s="17"/>
      <c r="AR20" s="17"/>
      <c r="AS20" s="17"/>
      <c r="AT20" s="15">
        <v>5</v>
      </c>
      <c r="AU20" s="17"/>
      <c r="AV20" s="15">
        <v>1</v>
      </c>
      <c r="AW20" s="15">
        <v>5</v>
      </c>
      <c r="AX20" s="15">
        <v>1</v>
      </c>
      <c r="AY20" s="17"/>
      <c r="AZ20" s="15">
        <v>15</v>
      </c>
      <c r="BA20" s="15">
        <v>50</v>
      </c>
      <c r="BB20" s="17"/>
      <c r="BC20" s="17"/>
      <c r="BD20" s="17"/>
      <c r="BE20" s="18" t="s">
        <v>119</v>
      </c>
    </row>
    <row r="21" spans="1:57" ht="15.75" customHeight="1">
      <c r="A21" s="24" t="s">
        <v>120</v>
      </c>
      <c r="B21" s="24" t="s">
        <v>106</v>
      </c>
      <c r="C21" s="14">
        <v>44600</v>
      </c>
      <c r="D21" s="15" t="s">
        <v>121</v>
      </c>
      <c r="E21" s="15" t="s">
        <v>122</v>
      </c>
      <c r="F21" s="23">
        <v>745</v>
      </c>
      <c r="G21" s="15" t="s">
        <v>83</v>
      </c>
      <c r="H21" s="15" t="s">
        <v>123</v>
      </c>
      <c r="I21" s="15" t="s">
        <v>70</v>
      </c>
      <c r="J21" s="15" t="s">
        <v>71</v>
      </c>
      <c r="K21" s="17"/>
      <c r="L21" s="17"/>
      <c r="M21" s="17"/>
      <c r="N21" s="17"/>
      <c r="O21" s="17"/>
      <c r="P21" s="17"/>
      <c r="Q21" s="17"/>
      <c r="R21" s="17"/>
      <c r="S21" s="17"/>
      <c r="T21" s="17"/>
      <c r="U21" s="17"/>
      <c r="V21" s="17"/>
      <c r="W21" s="17"/>
      <c r="X21" s="17"/>
      <c r="Y21" s="17"/>
      <c r="Z21" s="15">
        <v>15</v>
      </c>
      <c r="AA21" s="15">
        <v>38</v>
      </c>
      <c r="AB21" s="17"/>
      <c r="AC21" s="17"/>
      <c r="AD21" s="17"/>
      <c r="AE21" s="17"/>
      <c r="AF21" s="17"/>
      <c r="AG21" s="17"/>
      <c r="AH21" s="15">
        <v>6</v>
      </c>
      <c r="AI21" s="17"/>
      <c r="AJ21" s="17"/>
      <c r="AK21" s="17"/>
      <c r="AL21" s="17"/>
      <c r="AM21" s="17"/>
      <c r="AN21" s="17"/>
      <c r="AO21" s="17"/>
      <c r="AP21" s="15">
        <v>2</v>
      </c>
      <c r="AQ21" s="17"/>
      <c r="AR21" s="17"/>
      <c r="AS21" s="17"/>
      <c r="AT21" s="17"/>
      <c r="AU21" s="17"/>
      <c r="AV21" s="17"/>
      <c r="AW21" s="17"/>
      <c r="AX21" s="17"/>
      <c r="AY21" s="17"/>
      <c r="AZ21" s="17"/>
      <c r="BA21" s="17"/>
      <c r="BB21" s="17"/>
      <c r="BC21" s="17"/>
      <c r="BD21" s="17"/>
      <c r="BE21" s="19"/>
    </row>
    <row r="22" spans="1:57" ht="15.75" customHeight="1">
      <c r="A22" s="13" t="s">
        <v>124</v>
      </c>
      <c r="B22" s="13" t="s">
        <v>106</v>
      </c>
      <c r="C22" s="14">
        <v>44596</v>
      </c>
      <c r="D22" s="15" t="s">
        <v>125</v>
      </c>
      <c r="E22" s="15" t="s">
        <v>126</v>
      </c>
      <c r="F22" s="23">
        <v>1100</v>
      </c>
      <c r="G22" s="15" t="s">
        <v>83</v>
      </c>
      <c r="H22" s="15" t="s">
        <v>127</v>
      </c>
      <c r="I22" s="15" t="s">
        <v>70</v>
      </c>
      <c r="J22" s="15" t="s">
        <v>128</v>
      </c>
      <c r="K22" s="15">
        <v>2</v>
      </c>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9"/>
    </row>
    <row r="23" spans="1:57" ht="15.75" customHeight="1">
      <c r="A23" s="24" t="s">
        <v>129</v>
      </c>
      <c r="B23" s="24" t="s">
        <v>106</v>
      </c>
      <c r="C23" s="14">
        <v>44599</v>
      </c>
      <c r="D23" s="15" t="s">
        <v>130</v>
      </c>
      <c r="E23" s="15" t="s">
        <v>131</v>
      </c>
      <c r="F23" s="16">
        <v>0.33333333333333331</v>
      </c>
      <c r="G23" s="15" t="s">
        <v>83</v>
      </c>
      <c r="H23" s="15" t="s">
        <v>69</v>
      </c>
      <c r="I23" s="15" t="s">
        <v>70</v>
      </c>
      <c r="J23" s="15" t="s">
        <v>71</v>
      </c>
      <c r="K23" s="15"/>
      <c r="L23" s="15"/>
      <c r="M23" s="15"/>
      <c r="N23" s="15"/>
      <c r="O23" s="15"/>
      <c r="P23" s="15"/>
      <c r="Q23" s="15"/>
      <c r="R23" s="15"/>
      <c r="S23" s="15"/>
      <c r="T23" s="15"/>
      <c r="U23" s="15"/>
      <c r="V23" s="15"/>
      <c r="W23" s="15"/>
      <c r="X23" s="15"/>
      <c r="Y23" s="15">
        <v>81</v>
      </c>
      <c r="Z23" s="15">
        <v>51</v>
      </c>
      <c r="AA23" s="15">
        <v>82</v>
      </c>
      <c r="AB23" s="15"/>
      <c r="AC23" s="15"/>
      <c r="AD23" s="15"/>
      <c r="AE23" s="15"/>
      <c r="AF23" s="15"/>
      <c r="AG23" s="15"/>
      <c r="AH23" s="15">
        <v>33</v>
      </c>
      <c r="AI23" s="15"/>
      <c r="AJ23" s="15"/>
      <c r="AK23" s="15"/>
      <c r="AL23" s="15"/>
      <c r="AM23" s="15">
        <v>222</v>
      </c>
      <c r="AN23" s="15">
        <v>2</v>
      </c>
      <c r="AO23" s="15"/>
      <c r="AP23" s="15"/>
      <c r="AQ23" s="15"/>
      <c r="AR23" s="15"/>
      <c r="AS23" s="15"/>
      <c r="AT23" s="15"/>
      <c r="AU23" s="15"/>
      <c r="AV23" s="15"/>
      <c r="AW23" s="15">
        <v>18</v>
      </c>
      <c r="AX23" s="15">
        <v>1001</v>
      </c>
      <c r="AY23" s="15"/>
      <c r="AZ23" s="15">
        <v>67</v>
      </c>
      <c r="BA23" s="15">
        <v>193</v>
      </c>
      <c r="BB23" s="15">
        <v>51</v>
      </c>
      <c r="BC23" s="15"/>
      <c r="BD23" s="15"/>
      <c r="BE23" s="18"/>
    </row>
    <row r="24" spans="1:57" ht="15.75" customHeight="1">
      <c r="A24" s="13" t="s">
        <v>132</v>
      </c>
      <c r="B24" s="13" t="s">
        <v>106</v>
      </c>
      <c r="C24" s="14">
        <v>44601</v>
      </c>
      <c r="D24" s="15" t="s">
        <v>133</v>
      </c>
      <c r="E24" s="15" t="s">
        <v>134</v>
      </c>
      <c r="F24" s="26">
        <v>0.31180555555555556</v>
      </c>
      <c r="G24" s="15" t="s">
        <v>78</v>
      </c>
      <c r="H24" s="15" t="s">
        <v>69</v>
      </c>
      <c r="I24" s="15" t="s">
        <v>118</v>
      </c>
      <c r="J24" s="15" t="s">
        <v>71</v>
      </c>
      <c r="K24" s="15"/>
      <c r="L24" s="15"/>
      <c r="M24" s="15">
        <v>13</v>
      </c>
      <c r="N24" s="15"/>
      <c r="O24" s="15"/>
      <c r="P24" s="15"/>
      <c r="Q24" s="15"/>
      <c r="R24" s="15"/>
      <c r="S24" s="15"/>
      <c r="T24" s="15"/>
      <c r="U24" s="15"/>
      <c r="V24" s="15"/>
      <c r="W24" s="15"/>
      <c r="X24" s="15"/>
      <c r="Y24" s="15">
        <v>9</v>
      </c>
      <c r="Z24" s="15">
        <v>6</v>
      </c>
      <c r="AA24" s="15">
        <v>133</v>
      </c>
      <c r="AB24" s="15">
        <v>12</v>
      </c>
      <c r="AC24" s="15"/>
      <c r="AD24" s="15"/>
      <c r="AE24" s="15"/>
      <c r="AF24" s="15"/>
      <c r="AG24" s="15"/>
      <c r="AH24" s="15">
        <v>29</v>
      </c>
      <c r="AI24" s="15"/>
      <c r="AJ24" s="15"/>
      <c r="AK24" s="15"/>
      <c r="AL24" s="15"/>
      <c r="AM24" s="15">
        <v>510</v>
      </c>
      <c r="AN24" s="15">
        <v>23</v>
      </c>
      <c r="AO24" s="15"/>
      <c r="AP24" s="15">
        <v>59</v>
      </c>
      <c r="AQ24" s="15"/>
      <c r="AR24" s="15"/>
      <c r="AS24" s="15">
        <v>3</v>
      </c>
      <c r="AT24" s="15">
        <v>33</v>
      </c>
      <c r="AU24" s="15"/>
      <c r="AV24" s="15"/>
      <c r="AW24" s="15">
        <v>192</v>
      </c>
      <c r="AX24" s="15">
        <v>56</v>
      </c>
      <c r="AY24" s="15">
        <v>4</v>
      </c>
      <c r="AZ24" s="15">
        <v>114</v>
      </c>
      <c r="BA24" s="15">
        <v>317</v>
      </c>
      <c r="BB24" s="15">
        <v>15</v>
      </c>
      <c r="BC24" s="15"/>
      <c r="BD24" s="15"/>
      <c r="BE24" s="18" t="s">
        <v>135</v>
      </c>
    </row>
    <row r="25" spans="1:57" ht="15.75" customHeight="1">
      <c r="A25" s="13" t="s">
        <v>136</v>
      </c>
      <c r="B25" s="13" t="s">
        <v>106</v>
      </c>
      <c r="C25" s="14">
        <v>44599</v>
      </c>
      <c r="D25" s="15" t="s">
        <v>137</v>
      </c>
      <c r="E25" s="15" t="s">
        <v>138</v>
      </c>
      <c r="F25" s="16">
        <v>0.33333333333333331</v>
      </c>
      <c r="G25" s="15" t="s">
        <v>78</v>
      </c>
      <c r="H25" s="15" t="s">
        <v>69</v>
      </c>
      <c r="I25" s="15" t="s">
        <v>70</v>
      </c>
      <c r="J25" s="15" t="s">
        <v>71</v>
      </c>
      <c r="K25" s="15"/>
      <c r="L25" s="17"/>
      <c r="M25" s="15"/>
      <c r="N25" s="15"/>
      <c r="O25" s="15"/>
      <c r="P25" s="15"/>
      <c r="Q25" s="15"/>
      <c r="R25" s="15"/>
      <c r="S25" s="15"/>
      <c r="T25" s="15"/>
      <c r="U25" s="15"/>
      <c r="V25" s="15"/>
      <c r="W25" s="15"/>
      <c r="X25" s="15"/>
      <c r="Y25" s="15"/>
      <c r="Z25" s="15">
        <v>17</v>
      </c>
      <c r="AA25" s="15">
        <v>20</v>
      </c>
      <c r="AB25" s="15"/>
      <c r="AC25" s="15"/>
      <c r="AD25" s="15"/>
      <c r="AE25" s="15"/>
      <c r="AF25" s="15"/>
      <c r="AG25" s="15"/>
      <c r="AH25" s="15">
        <v>10</v>
      </c>
      <c r="AI25" s="15"/>
      <c r="AJ25" s="15"/>
      <c r="AK25" s="15"/>
      <c r="AL25" s="15"/>
      <c r="AM25" s="15"/>
      <c r="AN25" s="15"/>
      <c r="AO25" s="15"/>
      <c r="AP25" s="15">
        <v>2</v>
      </c>
      <c r="AQ25" s="15"/>
      <c r="AR25" s="15"/>
      <c r="AS25" s="15"/>
      <c r="AT25" s="15">
        <v>2</v>
      </c>
      <c r="AU25" s="15"/>
      <c r="AV25" s="15"/>
      <c r="AW25" s="15">
        <v>13</v>
      </c>
      <c r="AX25" s="15">
        <v>36</v>
      </c>
      <c r="AY25" s="15"/>
      <c r="AZ25" s="15">
        <v>48</v>
      </c>
      <c r="BA25" s="15">
        <v>25</v>
      </c>
      <c r="BB25" s="15"/>
      <c r="BC25" s="15"/>
      <c r="BD25" s="15"/>
      <c r="BE25" s="18" t="s">
        <v>139</v>
      </c>
    </row>
    <row r="26" spans="1:57" ht="15.75" customHeight="1">
      <c r="A26" s="13" t="s">
        <v>140</v>
      </c>
      <c r="B26" s="13" t="s">
        <v>106</v>
      </c>
      <c r="C26" s="14"/>
      <c r="F26" s="16"/>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8"/>
    </row>
    <row r="27" spans="1:57" ht="15.75" customHeight="1">
      <c r="A27" s="13" t="s">
        <v>141</v>
      </c>
      <c r="B27" s="13" t="s">
        <v>106</v>
      </c>
      <c r="C27" s="14">
        <v>44602</v>
      </c>
      <c r="D27" s="15" t="s">
        <v>142</v>
      </c>
      <c r="E27" s="15" t="s">
        <v>143</v>
      </c>
      <c r="F27" s="16">
        <v>0.375</v>
      </c>
      <c r="G27" s="17"/>
      <c r="H27" s="17"/>
      <c r="I27" s="17"/>
      <c r="J27" s="15" t="s">
        <v>71</v>
      </c>
      <c r="K27" s="17"/>
      <c r="L27" s="17"/>
      <c r="M27" s="17"/>
      <c r="N27" s="17"/>
      <c r="O27" s="17"/>
      <c r="P27" s="17"/>
      <c r="Q27" s="17"/>
      <c r="R27" s="17"/>
      <c r="S27" s="17"/>
      <c r="T27" s="17"/>
      <c r="U27" s="17"/>
      <c r="V27" s="17"/>
      <c r="W27" s="17"/>
      <c r="X27" s="17"/>
      <c r="Y27" s="17"/>
      <c r="Z27" s="15">
        <v>26</v>
      </c>
      <c r="AA27" s="15">
        <v>24</v>
      </c>
      <c r="AB27" s="17"/>
      <c r="AC27" s="17"/>
      <c r="AD27" s="17"/>
      <c r="AE27" s="17"/>
      <c r="AF27" s="17"/>
      <c r="AG27" s="17"/>
      <c r="AH27" s="15">
        <v>3</v>
      </c>
      <c r="AI27" s="17"/>
      <c r="AJ27" s="17"/>
      <c r="AK27" s="17"/>
      <c r="AL27" s="17"/>
      <c r="AM27" s="15">
        <v>139</v>
      </c>
      <c r="AN27" s="15">
        <v>18</v>
      </c>
      <c r="AO27" s="17"/>
      <c r="AP27" s="15">
        <v>84</v>
      </c>
      <c r="AQ27" s="17"/>
      <c r="AR27" s="17"/>
      <c r="AS27" s="17"/>
      <c r="AT27" s="15">
        <v>14</v>
      </c>
      <c r="AU27" s="17"/>
      <c r="AV27" s="17"/>
      <c r="AW27" s="15">
        <v>2</v>
      </c>
      <c r="AX27" s="15">
        <v>19</v>
      </c>
      <c r="AY27" s="15">
        <v>8</v>
      </c>
      <c r="AZ27" s="15">
        <v>9</v>
      </c>
      <c r="BA27" s="15">
        <v>155</v>
      </c>
      <c r="BB27" s="15">
        <v>4</v>
      </c>
      <c r="BC27" s="17"/>
      <c r="BD27" s="17"/>
      <c r="BE27" s="19"/>
    </row>
    <row r="28" spans="1:57" ht="15.75" customHeight="1">
      <c r="A28" s="20" t="s">
        <v>144</v>
      </c>
      <c r="B28" s="24" t="s">
        <v>145</v>
      </c>
      <c r="C28" s="14">
        <v>44596</v>
      </c>
      <c r="D28" s="27" t="s">
        <v>146</v>
      </c>
      <c r="E28" s="27" t="s">
        <v>147</v>
      </c>
      <c r="F28" s="16">
        <v>0.66666666666666663</v>
      </c>
      <c r="G28" s="15" t="s">
        <v>148</v>
      </c>
      <c r="H28" s="15" t="s">
        <v>69</v>
      </c>
      <c r="I28" s="15" t="s">
        <v>70</v>
      </c>
      <c r="J28" s="15" t="s">
        <v>71</v>
      </c>
      <c r="K28" s="15"/>
      <c r="L28" s="15"/>
      <c r="M28" s="15"/>
      <c r="N28" s="15"/>
      <c r="O28" s="15"/>
      <c r="P28" s="15"/>
      <c r="Q28" s="15"/>
      <c r="R28" s="15"/>
      <c r="S28" s="15"/>
      <c r="T28" s="15"/>
      <c r="U28" s="15"/>
      <c r="V28" s="15"/>
      <c r="W28" s="15"/>
      <c r="X28" s="15"/>
      <c r="Y28" s="15"/>
      <c r="Z28" s="15"/>
      <c r="AA28" s="15">
        <v>34</v>
      </c>
      <c r="AB28" s="15"/>
      <c r="AC28" s="15"/>
      <c r="AD28" s="15"/>
      <c r="AE28" s="15"/>
      <c r="AF28" s="15"/>
      <c r="AG28" s="15"/>
      <c r="AH28" s="15"/>
      <c r="AI28" s="15"/>
      <c r="AJ28" s="15"/>
      <c r="AK28" s="15"/>
      <c r="AL28" s="15"/>
      <c r="AM28" s="15"/>
      <c r="AN28" s="15"/>
      <c r="AO28" s="15"/>
      <c r="AP28" s="15">
        <v>20</v>
      </c>
      <c r="AQ28" s="15"/>
      <c r="AR28" s="15"/>
      <c r="AS28" s="15"/>
      <c r="AT28" s="15"/>
      <c r="AU28" s="15"/>
      <c r="AV28" s="15">
        <v>11</v>
      </c>
      <c r="AW28" s="15">
        <v>15</v>
      </c>
      <c r="AX28" s="15">
        <v>282</v>
      </c>
      <c r="AY28" s="15"/>
      <c r="AZ28" s="15">
        <v>93</v>
      </c>
      <c r="BA28" s="15">
        <v>204</v>
      </c>
      <c r="BB28" s="15"/>
      <c r="BC28" s="15"/>
      <c r="BD28" s="15"/>
      <c r="BE28" s="18" t="s">
        <v>149</v>
      </c>
    </row>
    <row r="29" spans="1:57" ht="15.75" customHeight="1">
      <c r="A29" s="20" t="s">
        <v>150</v>
      </c>
      <c r="B29" s="24" t="s">
        <v>145</v>
      </c>
      <c r="C29" s="14">
        <v>44602</v>
      </c>
      <c r="D29" s="15" t="s">
        <v>151</v>
      </c>
      <c r="E29" s="15" t="s">
        <v>152</v>
      </c>
      <c r="F29" s="21">
        <v>0.4375</v>
      </c>
      <c r="G29" s="17"/>
      <c r="H29" s="15" t="s">
        <v>69</v>
      </c>
      <c r="I29" s="15" t="s">
        <v>70</v>
      </c>
      <c r="J29" s="15" t="s">
        <v>71</v>
      </c>
      <c r="K29" s="15"/>
      <c r="L29" s="15"/>
      <c r="M29" s="15"/>
      <c r="N29" s="15"/>
      <c r="O29" s="15"/>
      <c r="P29" s="15"/>
      <c r="Q29" s="15"/>
      <c r="R29" s="15"/>
      <c r="S29" s="15"/>
      <c r="T29" s="15"/>
      <c r="U29" s="15"/>
      <c r="V29" s="15"/>
      <c r="W29" s="15"/>
      <c r="X29" s="15"/>
      <c r="Y29" s="15"/>
      <c r="Z29" s="15">
        <v>4</v>
      </c>
      <c r="AA29" s="15">
        <v>39</v>
      </c>
      <c r="AB29" s="15"/>
      <c r="AC29" s="15"/>
      <c r="AD29" s="15"/>
      <c r="AE29" s="15"/>
      <c r="AF29" s="15"/>
      <c r="AG29" s="15"/>
      <c r="AH29" s="15"/>
      <c r="AI29" s="15"/>
      <c r="AJ29" s="15"/>
      <c r="AK29" s="15"/>
      <c r="AL29" s="15"/>
      <c r="AM29" s="15"/>
      <c r="AN29" s="15"/>
      <c r="AO29" s="15"/>
      <c r="AP29" s="15">
        <v>2</v>
      </c>
      <c r="AQ29" s="15"/>
      <c r="AR29" s="15"/>
      <c r="AS29" s="15">
        <v>1</v>
      </c>
      <c r="AT29" s="15"/>
      <c r="AU29" s="15"/>
      <c r="AV29" s="15"/>
      <c r="AW29" s="15">
        <v>9</v>
      </c>
      <c r="AX29" s="15">
        <v>37</v>
      </c>
      <c r="AY29" s="15"/>
      <c r="AZ29" s="15">
        <v>32</v>
      </c>
      <c r="BA29" s="15">
        <v>25</v>
      </c>
      <c r="BB29" s="15"/>
      <c r="BC29" s="15"/>
      <c r="BD29" s="15"/>
      <c r="BE29" s="18"/>
    </row>
    <row r="30" spans="1:57" ht="15.75" customHeight="1">
      <c r="A30" s="20" t="s">
        <v>153</v>
      </c>
      <c r="B30" s="24" t="s">
        <v>145</v>
      </c>
      <c r="C30" s="14">
        <v>44618</v>
      </c>
      <c r="D30" s="15" t="s">
        <v>154</v>
      </c>
      <c r="E30" s="15" t="s">
        <v>155</v>
      </c>
      <c r="F30" s="16">
        <v>0.29166666666666669</v>
      </c>
      <c r="G30" s="15" t="s">
        <v>156</v>
      </c>
      <c r="H30" s="15" t="s">
        <v>127</v>
      </c>
      <c r="I30" s="15" t="s">
        <v>70</v>
      </c>
      <c r="J30" s="15" t="s">
        <v>71</v>
      </c>
      <c r="K30" s="15"/>
      <c r="L30" s="15"/>
      <c r="M30" s="15">
        <v>2</v>
      </c>
      <c r="N30" s="15"/>
      <c r="O30" s="15"/>
      <c r="P30" s="15"/>
      <c r="Q30" s="15"/>
      <c r="R30" s="15"/>
      <c r="S30" s="15"/>
      <c r="T30" s="15"/>
      <c r="U30" s="15"/>
      <c r="V30" s="15"/>
      <c r="W30" s="15"/>
      <c r="X30" s="15">
        <v>3</v>
      </c>
      <c r="Y30" s="15"/>
      <c r="Z30" s="15">
        <v>7</v>
      </c>
      <c r="AA30" s="15">
        <v>11</v>
      </c>
      <c r="AB30" s="15">
        <v>7</v>
      </c>
      <c r="AC30" s="15"/>
      <c r="AD30" s="15"/>
      <c r="AE30" s="15"/>
      <c r="AF30" s="15"/>
      <c r="AG30" s="15"/>
      <c r="AH30" s="15">
        <v>1</v>
      </c>
      <c r="AI30" s="15"/>
      <c r="AJ30" s="15"/>
      <c r="AK30" s="15"/>
      <c r="AL30" s="15"/>
      <c r="AM30" s="15"/>
      <c r="AN30" s="15"/>
      <c r="AO30" s="15"/>
      <c r="AP30" s="15"/>
      <c r="AQ30" s="15"/>
      <c r="AR30" s="15"/>
      <c r="AS30" s="15"/>
      <c r="AT30" s="15"/>
      <c r="AU30" s="15"/>
      <c r="AV30" s="15"/>
      <c r="AW30" s="15"/>
      <c r="AX30" s="15"/>
      <c r="AY30" s="15">
        <v>2</v>
      </c>
      <c r="AZ30" s="15">
        <v>3</v>
      </c>
      <c r="BA30" s="15">
        <v>1</v>
      </c>
      <c r="BB30" s="15"/>
      <c r="BC30" s="15"/>
      <c r="BD30" s="15"/>
      <c r="BE30" s="18" t="s">
        <v>157</v>
      </c>
    </row>
    <row r="31" spans="1:57" ht="15.75" customHeight="1">
      <c r="A31" s="20" t="s">
        <v>158</v>
      </c>
      <c r="B31" s="24" t="s">
        <v>145</v>
      </c>
      <c r="C31" s="14"/>
      <c r="F31" s="16"/>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9"/>
    </row>
    <row r="32" spans="1:57" ht="15.75" customHeight="1">
      <c r="A32" s="20" t="s">
        <v>159</v>
      </c>
      <c r="B32" s="24" t="s">
        <v>145</v>
      </c>
      <c r="C32" s="14">
        <v>44601</v>
      </c>
      <c r="D32" s="15" t="s">
        <v>160</v>
      </c>
      <c r="E32" s="15" t="s">
        <v>161</v>
      </c>
      <c r="F32" s="26">
        <v>0.30625000000000002</v>
      </c>
      <c r="G32" s="17"/>
      <c r="H32" s="17"/>
      <c r="I32" s="17"/>
      <c r="J32" s="15" t="s">
        <v>71</v>
      </c>
      <c r="K32" s="15"/>
      <c r="L32" s="15"/>
      <c r="M32" s="15"/>
      <c r="N32" s="15"/>
      <c r="O32" s="15"/>
      <c r="P32" s="15"/>
      <c r="Q32" s="15"/>
      <c r="R32" s="15"/>
      <c r="S32" s="15"/>
      <c r="T32" s="15"/>
      <c r="U32" s="15"/>
      <c r="V32" s="15"/>
      <c r="W32" s="15"/>
      <c r="X32" s="15"/>
      <c r="Y32" s="15"/>
      <c r="Z32" s="15"/>
      <c r="AA32" s="15">
        <v>164</v>
      </c>
      <c r="AB32" s="15"/>
      <c r="AC32" s="15"/>
      <c r="AD32" s="15"/>
      <c r="AE32" s="15"/>
      <c r="AF32" s="15"/>
      <c r="AG32" s="15"/>
      <c r="AH32" s="15">
        <v>6</v>
      </c>
      <c r="AI32" s="15"/>
      <c r="AJ32" s="15"/>
      <c r="AK32" s="15"/>
      <c r="AL32" s="15"/>
      <c r="AM32" s="15">
        <v>192</v>
      </c>
      <c r="AN32" s="15"/>
      <c r="AO32" s="15"/>
      <c r="AP32" s="15">
        <v>5</v>
      </c>
      <c r="AQ32" s="15"/>
      <c r="AR32" s="15"/>
      <c r="AS32" s="15"/>
      <c r="AT32" s="15"/>
      <c r="AU32" s="17"/>
      <c r="AV32" s="15">
        <v>5</v>
      </c>
      <c r="AW32" s="15">
        <v>23</v>
      </c>
      <c r="AX32" s="15">
        <v>26</v>
      </c>
      <c r="AY32" s="15"/>
      <c r="AZ32" s="15">
        <v>88</v>
      </c>
      <c r="BA32" s="15">
        <v>40</v>
      </c>
      <c r="BB32" s="15"/>
      <c r="BC32" s="15"/>
      <c r="BD32" s="15"/>
      <c r="BE32" s="19"/>
    </row>
    <row r="33" spans="1:57" ht="15.75" customHeight="1">
      <c r="A33" s="20" t="s">
        <v>162</v>
      </c>
      <c r="B33" s="24" t="s">
        <v>145</v>
      </c>
      <c r="C33" s="14">
        <v>44601</v>
      </c>
      <c r="D33" s="15" t="s">
        <v>160</v>
      </c>
      <c r="E33" s="15" t="s">
        <v>161</v>
      </c>
      <c r="F33" s="16"/>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8" t="s">
        <v>163</v>
      </c>
    </row>
    <row r="34" spans="1:57" ht="15.75" customHeight="1">
      <c r="A34" s="13" t="s">
        <v>164</v>
      </c>
      <c r="B34" s="13" t="s">
        <v>165</v>
      </c>
      <c r="C34" s="14">
        <v>44596</v>
      </c>
      <c r="D34" s="15" t="s">
        <v>166</v>
      </c>
      <c r="E34" s="15" t="s">
        <v>167</v>
      </c>
      <c r="F34" s="16">
        <v>0.35833333333333334</v>
      </c>
      <c r="G34" s="15" t="s">
        <v>83</v>
      </c>
      <c r="H34" s="15" t="s">
        <v>69</v>
      </c>
      <c r="I34" s="15" t="s">
        <v>70</v>
      </c>
      <c r="J34" s="15" t="s">
        <v>71</v>
      </c>
      <c r="K34" s="15">
        <v>2</v>
      </c>
      <c r="L34" s="15"/>
      <c r="M34" s="15">
        <v>3</v>
      </c>
      <c r="N34" s="15"/>
      <c r="O34" s="15"/>
      <c r="P34" s="15"/>
      <c r="Q34" s="15"/>
      <c r="R34" s="15"/>
      <c r="S34" s="15"/>
      <c r="T34" s="15"/>
      <c r="U34" s="15"/>
      <c r="V34" s="15"/>
      <c r="W34" s="15"/>
      <c r="X34" s="15"/>
      <c r="Y34" s="15"/>
      <c r="Z34" s="15">
        <v>4</v>
      </c>
      <c r="AA34" s="15">
        <v>12</v>
      </c>
      <c r="AB34" s="15"/>
      <c r="AC34" s="15"/>
      <c r="AD34" s="15"/>
      <c r="AE34" s="15"/>
      <c r="AF34" s="15"/>
      <c r="AG34" s="15"/>
      <c r="AH34" s="15"/>
      <c r="AI34" s="15"/>
      <c r="AJ34" s="15"/>
      <c r="AK34" s="15"/>
      <c r="AL34" s="15"/>
      <c r="AM34" s="15"/>
      <c r="AN34" s="15"/>
      <c r="AO34" s="15"/>
      <c r="AP34" s="15">
        <v>2</v>
      </c>
      <c r="AQ34" s="15"/>
      <c r="AR34" s="15"/>
      <c r="AS34" s="15">
        <v>16</v>
      </c>
      <c r="AT34" s="15"/>
      <c r="AU34" s="15"/>
      <c r="AV34" s="15"/>
      <c r="AW34" s="15"/>
      <c r="AX34" s="15">
        <v>3</v>
      </c>
      <c r="AY34" s="15">
        <v>1</v>
      </c>
      <c r="AZ34" s="15">
        <v>1</v>
      </c>
      <c r="BA34" s="15">
        <v>3</v>
      </c>
      <c r="BB34" s="15"/>
      <c r="BC34" s="15"/>
      <c r="BD34" s="15">
        <v>166</v>
      </c>
      <c r="BE34" s="18"/>
    </row>
    <row r="35" spans="1:57" ht="15.75" customHeight="1">
      <c r="A35" s="13" t="s">
        <v>168</v>
      </c>
      <c r="B35" s="13" t="s">
        <v>165</v>
      </c>
      <c r="C35" s="14">
        <v>44602</v>
      </c>
      <c r="D35" s="15" t="s">
        <v>169</v>
      </c>
      <c r="E35" s="15" t="s">
        <v>170</v>
      </c>
      <c r="F35" s="16">
        <v>0.4201388888888889</v>
      </c>
      <c r="G35" s="15" t="s">
        <v>78</v>
      </c>
      <c r="H35" s="15" t="s">
        <v>69</v>
      </c>
      <c r="I35" s="15" t="s">
        <v>70</v>
      </c>
      <c r="J35" s="15" t="s">
        <v>71</v>
      </c>
      <c r="K35" s="15"/>
      <c r="L35" s="15"/>
      <c r="M35" s="15">
        <v>1</v>
      </c>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8"/>
    </row>
    <row r="36" spans="1:57" ht="15.75" customHeight="1">
      <c r="A36" s="13" t="s">
        <v>171</v>
      </c>
      <c r="B36" s="13" t="s">
        <v>165</v>
      </c>
      <c r="C36" s="14"/>
      <c r="F36" s="16"/>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8"/>
    </row>
    <row r="37" spans="1:57" ht="15.75" customHeight="1">
      <c r="A37" s="13" t="s">
        <v>172</v>
      </c>
      <c r="B37" s="13" t="s">
        <v>165</v>
      </c>
      <c r="C37" s="14">
        <v>44597</v>
      </c>
      <c r="D37" s="15" t="s">
        <v>173</v>
      </c>
      <c r="E37" s="28" t="s">
        <v>174</v>
      </c>
      <c r="F37" s="16">
        <v>0.35347222222222224</v>
      </c>
      <c r="G37" s="15" t="s">
        <v>83</v>
      </c>
      <c r="H37" s="15" t="s">
        <v>69</v>
      </c>
      <c r="I37" s="15" t="s">
        <v>70</v>
      </c>
      <c r="J37" s="15" t="s">
        <v>71</v>
      </c>
      <c r="K37" s="15"/>
      <c r="L37" s="15"/>
      <c r="M37" s="15">
        <v>4</v>
      </c>
      <c r="N37" s="15">
        <v>1</v>
      </c>
      <c r="O37" s="15"/>
      <c r="P37" s="15"/>
      <c r="Q37" s="15"/>
      <c r="R37" s="15"/>
      <c r="S37" s="15"/>
      <c r="T37" s="15"/>
      <c r="U37" s="15"/>
      <c r="V37" s="15"/>
      <c r="W37" s="15"/>
      <c r="X37" s="15"/>
      <c r="Y37" s="15"/>
      <c r="Z37" s="15">
        <v>22</v>
      </c>
      <c r="AA37" s="15">
        <v>91</v>
      </c>
      <c r="AB37" s="15">
        <v>1</v>
      </c>
      <c r="AC37" s="15"/>
      <c r="AD37" s="15"/>
      <c r="AE37" s="15"/>
      <c r="AF37" s="15"/>
      <c r="AG37" s="15"/>
      <c r="AH37" s="15">
        <v>8</v>
      </c>
      <c r="AI37" s="15"/>
      <c r="AJ37" s="15"/>
      <c r="AK37" s="15"/>
      <c r="AL37" s="15"/>
      <c r="AM37" s="15"/>
      <c r="AN37" s="15"/>
      <c r="AO37" s="15"/>
      <c r="AP37" s="15">
        <v>1</v>
      </c>
      <c r="AQ37" s="15"/>
      <c r="AR37" s="15"/>
      <c r="AS37" s="15">
        <v>1</v>
      </c>
      <c r="AT37" s="15">
        <v>2</v>
      </c>
      <c r="AU37" s="15"/>
      <c r="AV37" s="15"/>
      <c r="AW37" s="15">
        <v>1</v>
      </c>
      <c r="AX37" s="15">
        <v>13</v>
      </c>
      <c r="AY37" s="15"/>
      <c r="AZ37" s="15">
        <v>1</v>
      </c>
      <c r="BA37" s="15">
        <v>26</v>
      </c>
      <c r="BB37" s="15"/>
      <c r="BC37" s="15"/>
      <c r="BD37" s="15"/>
      <c r="BE37" s="18" t="s">
        <v>175</v>
      </c>
    </row>
    <row r="38" spans="1:57" ht="15.75" customHeight="1">
      <c r="A38" s="13" t="s">
        <v>176</v>
      </c>
      <c r="B38" s="13" t="s">
        <v>165</v>
      </c>
      <c r="C38" s="14">
        <v>44602</v>
      </c>
      <c r="D38" s="15" t="s">
        <v>169</v>
      </c>
      <c r="E38" s="15" t="s">
        <v>170</v>
      </c>
      <c r="F38" s="16">
        <v>0.41041666666666665</v>
      </c>
      <c r="G38" s="15" t="s">
        <v>78</v>
      </c>
      <c r="H38" s="15" t="s">
        <v>69</v>
      </c>
      <c r="I38" s="15" t="s">
        <v>70</v>
      </c>
      <c r="J38" s="15" t="s">
        <v>71</v>
      </c>
      <c r="K38" s="15"/>
      <c r="L38" s="15"/>
      <c r="M38" s="15"/>
      <c r="N38" s="15"/>
      <c r="O38" s="15"/>
      <c r="P38" s="15"/>
      <c r="Q38" s="15"/>
      <c r="R38" s="15"/>
      <c r="S38" s="15"/>
      <c r="T38" s="15"/>
      <c r="U38" s="15"/>
      <c r="V38" s="15"/>
      <c r="W38" s="15"/>
      <c r="X38" s="15"/>
      <c r="Y38" s="15"/>
      <c r="Z38" s="15">
        <v>3</v>
      </c>
      <c r="AA38" s="15">
        <v>3</v>
      </c>
      <c r="AB38" s="15"/>
      <c r="AC38" s="15"/>
      <c r="AD38" s="15"/>
      <c r="AE38" s="15"/>
      <c r="AF38" s="15"/>
      <c r="AG38" s="15"/>
      <c r="AH38" s="15">
        <v>1</v>
      </c>
      <c r="AI38" s="15"/>
      <c r="AJ38" s="15"/>
      <c r="AK38" s="15"/>
      <c r="AL38" s="15"/>
      <c r="AM38" s="15"/>
      <c r="AN38" s="15"/>
      <c r="AO38" s="15"/>
      <c r="AP38" s="15"/>
      <c r="AQ38" s="15"/>
      <c r="AR38" s="15"/>
      <c r="AS38" s="15"/>
      <c r="AT38" s="15"/>
      <c r="AU38" s="15"/>
      <c r="AV38" s="15"/>
      <c r="AW38" s="15"/>
      <c r="AX38" s="15"/>
      <c r="AY38" s="15"/>
      <c r="AZ38" s="15"/>
      <c r="BA38" s="15"/>
      <c r="BB38" s="15"/>
      <c r="BC38" s="15"/>
      <c r="BD38" s="15"/>
      <c r="BE38" s="18"/>
    </row>
    <row r="39" spans="1:57" ht="15.75" customHeight="1">
      <c r="A39" s="13" t="s">
        <v>177</v>
      </c>
      <c r="B39" s="13" t="s">
        <v>165</v>
      </c>
      <c r="C39" s="14">
        <v>44602</v>
      </c>
      <c r="D39" s="15" t="s">
        <v>169</v>
      </c>
      <c r="E39" s="15" t="s">
        <v>170</v>
      </c>
      <c r="F39" s="16">
        <v>0.35972222222222222</v>
      </c>
      <c r="G39" s="15" t="s">
        <v>68</v>
      </c>
      <c r="H39" s="15" t="s">
        <v>69</v>
      </c>
      <c r="I39" s="15" t="s">
        <v>70</v>
      </c>
      <c r="J39" s="15" t="s">
        <v>71</v>
      </c>
      <c r="K39" s="15"/>
      <c r="L39" s="15"/>
      <c r="M39" s="15">
        <v>50</v>
      </c>
      <c r="N39" s="15">
        <v>66</v>
      </c>
      <c r="O39" s="15"/>
      <c r="P39" s="15"/>
      <c r="Q39" s="15"/>
      <c r="R39" s="15"/>
      <c r="S39" s="15"/>
      <c r="T39" s="15"/>
      <c r="U39" s="15"/>
      <c r="V39" s="15"/>
      <c r="W39" s="15"/>
      <c r="X39" s="15"/>
      <c r="Y39" s="15"/>
      <c r="Z39" s="15">
        <v>21</v>
      </c>
      <c r="AA39" s="15">
        <v>180</v>
      </c>
      <c r="AB39" s="15"/>
      <c r="AC39" s="15"/>
      <c r="AD39" s="15"/>
      <c r="AE39" s="15">
        <v>1</v>
      </c>
      <c r="AF39" s="15"/>
      <c r="AG39" s="15"/>
      <c r="AH39" s="15">
        <v>1</v>
      </c>
      <c r="AI39" s="15"/>
      <c r="AJ39" s="15"/>
      <c r="AK39" s="15"/>
      <c r="AL39" s="15"/>
      <c r="AM39" s="15"/>
      <c r="AN39" s="15"/>
      <c r="AO39" s="15"/>
      <c r="AP39" s="15">
        <v>3</v>
      </c>
      <c r="AQ39" s="15"/>
      <c r="AR39" s="15"/>
      <c r="AS39" s="15"/>
      <c r="AT39" s="15"/>
      <c r="AU39" s="15"/>
      <c r="AV39" s="15"/>
      <c r="AW39" s="15"/>
      <c r="AX39" s="15"/>
      <c r="AY39" s="15">
        <v>1</v>
      </c>
      <c r="AZ39" s="15">
        <v>1</v>
      </c>
      <c r="BA39" s="15"/>
      <c r="BB39" s="15"/>
      <c r="BC39" s="15"/>
      <c r="BD39" s="15"/>
      <c r="BE39" s="18"/>
    </row>
    <row r="40" spans="1:57" ht="15.75" customHeight="1">
      <c r="A40" s="13" t="s">
        <v>178</v>
      </c>
      <c r="B40" s="13" t="s">
        <v>165</v>
      </c>
      <c r="C40" s="14">
        <v>44602</v>
      </c>
      <c r="D40" s="15" t="s">
        <v>169</v>
      </c>
      <c r="E40" s="15" t="s">
        <v>170</v>
      </c>
      <c r="F40" s="16">
        <v>0.44305555555555554</v>
      </c>
      <c r="G40" s="15" t="s">
        <v>78</v>
      </c>
      <c r="H40" s="15" t="s">
        <v>69</v>
      </c>
      <c r="I40" s="15" t="s">
        <v>70</v>
      </c>
      <c r="J40" s="15" t="s">
        <v>71</v>
      </c>
      <c r="K40" s="15"/>
      <c r="L40" s="15"/>
      <c r="M40" s="15">
        <v>26</v>
      </c>
      <c r="N40" s="15"/>
      <c r="O40" s="15"/>
      <c r="P40" s="15"/>
      <c r="Q40" s="15"/>
      <c r="R40" s="15"/>
      <c r="S40" s="15"/>
      <c r="T40" s="15"/>
      <c r="U40" s="15"/>
      <c r="V40" s="15"/>
      <c r="W40" s="15"/>
      <c r="X40" s="15"/>
      <c r="Y40" s="15">
        <v>16</v>
      </c>
      <c r="Z40" s="15">
        <v>6</v>
      </c>
      <c r="AA40" s="15">
        <v>19</v>
      </c>
      <c r="AB40" s="15">
        <v>5</v>
      </c>
      <c r="AC40" s="15"/>
      <c r="AD40" s="15"/>
      <c r="AE40" s="15"/>
      <c r="AF40" s="15"/>
      <c r="AG40" s="15"/>
      <c r="AH40" s="15"/>
      <c r="AI40" s="15"/>
      <c r="AJ40" s="15"/>
      <c r="AK40" s="15"/>
      <c r="AL40" s="15"/>
      <c r="AM40" s="15"/>
      <c r="AN40" s="15"/>
      <c r="AO40" s="15"/>
      <c r="AP40" s="15">
        <v>7</v>
      </c>
      <c r="AQ40" s="15"/>
      <c r="AR40" s="15"/>
      <c r="AS40" s="15"/>
      <c r="AT40" s="15"/>
      <c r="AU40" s="15"/>
      <c r="AV40" s="15"/>
      <c r="AW40" s="15"/>
      <c r="AX40" s="15"/>
      <c r="AY40" s="15"/>
      <c r="AZ40" s="15"/>
      <c r="BA40" s="15"/>
      <c r="BB40" s="15"/>
      <c r="BC40" s="15"/>
      <c r="BD40" s="15"/>
      <c r="BE40" s="18" t="s">
        <v>179</v>
      </c>
    </row>
    <row r="41" spans="1:57" ht="15.75" customHeight="1">
      <c r="A41" s="29" t="s">
        <v>180</v>
      </c>
      <c r="B41" s="24" t="s">
        <v>165</v>
      </c>
      <c r="C41" s="30">
        <v>44601</v>
      </c>
      <c r="D41" s="15" t="s">
        <v>169</v>
      </c>
      <c r="E41" s="15" t="s">
        <v>170</v>
      </c>
      <c r="F41" s="16">
        <v>0.38055555555555554</v>
      </c>
      <c r="G41" s="15" t="s">
        <v>78</v>
      </c>
      <c r="H41" s="15" t="s">
        <v>69</v>
      </c>
      <c r="I41" s="15" t="s">
        <v>70</v>
      </c>
      <c r="J41" s="15" t="s">
        <v>71</v>
      </c>
      <c r="K41" s="15"/>
      <c r="L41" s="15"/>
      <c r="M41" s="15">
        <v>2</v>
      </c>
      <c r="N41" s="15"/>
      <c r="O41" s="15"/>
      <c r="P41" s="15"/>
      <c r="Q41" s="15"/>
      <c r="R41" s="15"/>
      <c r="S41" s="15"/>
      <c r="T41" s="15"/>
      <c r="U41" s="15"/>
      <c r="V41" s="15"/>
      <c r="W41" s="15"/>
      <c r="X41" s="15"/>
      <c r="Y41" s="15"/>
      <c r="Z41" s="15">
        <v>7</v>
      </c>
      <c r="AA41" s="15">
        <v>26</v>
      </c>
      <c r="AB41" s="15"/>
      <c r="AC41" s="15"/>
      <c r="AD41" s="15"/>
      <c r="AE41" s="15"/>
      <c r="AF41" s="15"/>
      <c r="AG41" s="15"/>
      <c r="AH41" s="15">
        <v>2</v>
      </c>
      <c r="AI41" s="15"/>
      <c r="AJ41" s="15"/>
      <c r="AK41" s="15"/>
      <c r="AL41" s="15"/>
      <c r="AM41" s="15"/>
      <c r="AN41" s="15">
        <v>4</v>
      </c>
      <c r="AO41" s="15"/>
      <c r="AP41" s="15">
        <v>2</v>
      </c>
      <c r="AQ41" s="15"/>
      <c r="AR41" s="15"/>
      <c r="AS41" s="15"/>
      <c r="AT41" s="15">
        <v>1</v>
      </c>
      <c r="AU41" s="15"/>
      <c r="AV41" s="15"/>
      <c r="AW41" s="15"/>
      <c r="AX41" s="15">
        <v>11</v>
      </c>
      <c r="AY41" s="15"/>
      <c r="AZ41" s="15">
        <v>2</v>
      </c>
      <c r="BA41" s="15">
        <v>5</v>
      </c>
      <c r="BB41" s="15"/>
      <c r="BC41" s="15"/>
      <c r="BD41" s="15"/>
      <c r="BE41" s="18" t="s">
        <v>181</v>
      </c>
    </row>
    <row r="42" spans="1:57" ht="15.75" customHeight="1">
      <c r="A42" s="24" t="s">
        <v>182</v>
      </c>
      <c r="B42" s="31" t="s">
        <v>165</v>
      </c>
      <c r="C42" s="32">
        <v>44601</v>
      </c>
      <c r="D42" s="15" t="s">
        <v>169</v>
      </c>
      <c r="E42" s="15" t="s">
        <v>170</v>
      </c>
      <c r="F42" s="16">
        <v>0.43055555555555558</v>
      </c>
      <c r="G42" s="15" t="s">
        <v>78</v>
      </c>
      <c r="H42" s="15" t="s">
        <v>69</v>
      </c>
      <c r="I42" s="15" t="s">
        <v>70</v>
      </c>
      <c r="J42" s="15" t="s">
        <v>71</v>
      </c>
      <c r="K42" s="15"/>
      <c r="L42" s="15"/>
      <c r="M42" s="15">
        <v>36</v>
      </c>
      <c r="N42" s="15"/>
      <c r="O42" s="15"/>
      <c r="P42" s="15"/>
      <c r="Q42" s="15"/>
      <c r="R42" s="15"/>
      <c r="S42" s="15"/>
      <c r="T42" s="15"/>
      <c r="U42" s="15"/>
      <c r="V42" s="15"/>
      <c r="W42" s="15"/>
      <c r="X42" s="15"/>
      <c r="Y42" s="15">
        <v>2</v>
      </c>
      <c r="Z42" s="15">
        <v>25</v>
      </c>
      <c r="AA42" s="15">
        <v>16</v>
      </c>
      <c r="AB42" s="15"/>
      <c r="AC42" s="15"/>
      <c r="AD42" s="15"/>
      <c r="AE42" s="15"/>
      <c r="AF42" s="15"/>
      <c r="AG42" s="15"/>
      <c r="AH42" s="15"/>
      <c r="AI42" s="15"/>
      <c r="AJ42" s="15"/>
      <c r="AK42" s="15"/>
      <c r="AL42" s="15"/>
      <c r="AM42" s="15"/>
      <c r="AN42" s="15"/>
      <c r="AO42" s="15"/>
      <c r="AP42" s="15">
        <v>7</v>
      </c>
      <c r="AQ42" s="15"/>
      <c r="AR42" s="15"/>
      <c r="AS42" s="15"/>
      <c r="AT42" s="15"/>
      <c r="AU42" s="15"/>
      <c r="AV42" s="15"/>
      <c r="AW42" s="15"/>
      <c r="AX42" s="15">
        <v>2</v>
      </c>
      <c r="AY42" s="15"/>
      <c r="AZ42" s="15">
        <v>2</v>
      </c>
      <c r="BA42" s="15"/>
      <c r="BB42" s="15"/>
      <c r="BC42" s="15"/>
      <c r="BD42" s="15"/>
      <c r="BE42" s="18" t="s">
        <v>183</v>
      </c>
    </row>
    <row r="43" spans="1:57" ht="15.75" customHeight="1">
      <c r="A43" s="29" t="s">
        <v>184</v>
      </c>
      <c r="B43" s="13" t="s">
        <v>185</v>
      </c>
      <c r="C43" s="14"/>
      <c r="F43" s="33"/>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9"/>
    </row>
    <row r="44" spans="1:57" ht="15.75" customHeight="1">
      <c r="A44" s="29" t="s">
        <v>186</v>
      </c>
      <c r="B44" s="13" t="s">
        <v>187</v>
      </c>
      <c r="C44" s="14"/>
      <c r="F44" s="16"/>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8"/>
    </row>
    <row r="45" spans="1:57" ht="15.75" customHeight="1">
      <c r="A45" s="13" t="s">
        <v>188</v>
      </c>
      <c r="B45" s="13" t="s">
        <v>189</v>
      </c>
      <c r="C45" s="14">
        <v>44598</v>
      </c>
      <c r="D45" s="15" t="s">
        <v>190</v>
      </c>
      <c r="E45" s="15" t="s">
        <v>191</v>
      </c>
      <c r="F45" s="16">
        <v>0.36458333333333331</v>
      </c>
      <c r="G45" s="15" t="s">
        <v>156</v>
      </c>
      <c r="H45" s="15" t="s">
        <v>69</v>
      </c>
      <c r="I45" s="15" t="s">
        <v>70</v>
      </c>
      <c r="J45" s="15" t="s">
        <v>71</v>
      </c>
      <c r="K45" s="17"/>
      <c r="L45" s="17"/>
      <c r="M45" s="15">
        <v>2</v>
      </c>
      <c r="N45" s="17"/>
      <c r="O45" s="17"/>
      <c r="P45" s="17"/>
      <c r="Q45" s="17"/>
      <c r="R45" s="17"/>
      <c r="S45" s="17"/>
      <c r="T45" s="17"/>
      <c r="U45" s="17"/>
      <c r="V45" s="17"/>
      <c r="W45" s="17"/>
      <c r="X45" s="17"/>
      <c r="Y45" s="17"/>
      <c r="Z45" s="15">
        <v>51</v>
      </c>
      <c r="AA45" s="15">
        <v>96</v>
      </c>
      <c r="AB45" s="17"/>
      <c r="AC45" s="17"/>
      <c r="AD45" s="17"/>
      <c r="AE45" s="17"/>
      <c r="AF45" s="17"/>
      <c r="AG45" s="17"/>
      <c r="AH45" s="15">
        <v>1</v>
      </c>
      <c r="AI45" s="17"/>
      <c r="AJ45" s="17"/>
      <c r="AK45" s="17"/>
      <c r="AL45" s="17"/>
      <c r="AM45" s="17"/>
      <c r="AN45" s="17"/>
      <c r="AO45" s="17"/>
      <c r="AP45" s="15">
        <v>7</v>
      </c>
      <c r="AQ45" s="17"/>
      <c r="AR45" s="17"/>
      <c r="AS45" s="17"/>
      <c r="AT45" s="17"/>
      <c r="AU45" s="17"/>
      <c r="AV45" s="17"/>
      <c r="AW45" s="15">
        <v>1</v>
      </c>
      <c r="AX45" s="15">
        <v>50</v>
      </c>
      <c r="AY45" s="15">
        <v>1</v>
      </c>
      <c r="AZ45" s="15">
        <v>17</v>
      </c>
      <c r="BA45" s="15">
        <v>16</v>
      </c>
      <c r="BB45" s="17"/>
      <c r="BC45" s="17"/>
      <c r="BD45" s="17"/>
      <c r="BE45" s="18" t="s">
        <v>192</v>
      </c>
    </row>
    <row r="46" spans="1:57" ht="15.75" customHeight="1">
      <c r="A46" s="13" t="s">
        <v>193</v>
      </c>
      <c r="B46" s="13" t="s">
        <v>189</v>
      </c>
      <c r="C46" s="14">
        <v>44597</v>
      </c>
      <c r="D46" s="15" t="s">
        <v>194</v>
      </c>
      <c r="E46" s="15" t="s">
        <v>195</v>
      </c>
      <c r="F46" s="16">
        <v>0.33333333333333331</v>
      </c>
      <c r="G46" s="15" t="s">
        <v>156</v>
      </c>
      <c r="H46" s="15" t="s">
        <v>127</v>
      </c>
      <c r="I46" s="15" t="s">
        <v>70</v>
      </c>
      <c r="J46" s="15" t="s">
        <v>71</v>
      </c>
      <c r="K46" s="17"/>
      <c r="L46" s="17"/>
      <c r="M46" s="15">
        <v>19</v>
      </c>
      <c r="N46" s="15">
        <v>5</v>
      </c>
      <c r="O46" s="17"/>
      <c r="P46" s="17"/>
      <c r="Q46" s="15">
        <v>6</v>
      </c>
      <c r="R46" s="15">
        <v>1</v>
      </c>
      <c r="S46" s="17"/>
      <c r="T46" s="17"/>
      <c r="U46" s="15">
        <v>100</v>
      </c>
      <c r="V46" s="17"/>
      <c r="W46" s="17"/>
      <c r="X46" s="15">
        <v>6</v>
      </c>
      <c r="Y46" s="17"/>
      <c r="Z46" s="15">
        <v>36</v>
      </c>
      <c r="AA46" s="15">
        <v>23</v>
      </c>
      <c r="AB46" s="15">
        <v>10</v>
      </c>
      <c r="AC46" s="17"/>
      <c r="AD46" s="17"/>
      <c r="AE46" s="17"/>
      <c r="AF46" s="15">
        <v>4</v>
      </c>
      <c r="AG46" s="17"/>
      <c r="AH46" s="15">
        <v>8</v>
      </c>
      <c r="AI46" s="15">
        <v>12</v>
      </c>
      <c r="AJ46" s="17"/>
      <c r="AK46" s="17"/>
      <c r="AL46" s="17"/>
      <c r="AM46" s="17"/>
      <c r="AN46" s="17"/>
      <c r="AO46" s="17"/>
      <c r="AP46" s="15">
        <v>17</v>
      </c>
      <c r="AQ46" s="15">
        <v>1</v>
      </c>
      <c r="AR46" s="17"/>
      <c r="AS46" s="15">
        <v>9</v>
      </c>
      <c r="AT46" s="17"/>
      <c r="AU46" s="17"/>
      <c r="AV46" s="17"/>
      <c r="AW46" s="17"/>
      <c r="AX46" s="17"/>
      <c r="AY46" s="17"/>
      <c r="AZ46" s="15">
        <v>2</v>
      </c>
      <c r="BA46" s="17"/>
      <c r="BB46" s="17"/>
      <c r="BC46" s="17"/>
      <c r="BD46" s="15">
        <v>7</v>
      </c>
      <c r="BE46" s="19"/>
    </row>
    <row r="47" spans="1:57" ht="15.75" customHeight="1">
      <c r="A47" s="13" t="s">
        <v>196</v>
      </c>
      <c r="B47" s="13" t="s">
        <v>189</v>
      </c>
      <c r="C47" s="14">
        <v>44600</v>
      </c>
      <c r="D47" s="15" t="s">
        <v>197</v>
      </c>
      <c r="E47" s="15" t="s">
        <v>198</v>
      </c>
      <c r="F47" s="16">
        <v>0.3263888888888889</v>
      </c>
      <c r="G47" s="15" t="s">
        <v>83</v>
      </c>
      <c r="H47" s="15" t="s">
        <v>109</v>
      </c>
      <c r="I47" s="15" t="s">
        <v>70</v>
      </c>
      <c r="J47" s="15" t="s">
        <v>71</v>
      </c>
      <c r="K47" s="17"/>
      <c r="L47" s="17"/>
      <c r="M47" s="15">
        <v>6</v>
      </c>
      <c r="N47" s="17"/>
      <c r="O47" s="17"/>
      <c r="P47" s="17"/>
      <c r="Q47" s="17"/>
      <c r="R47" s="17"/>
      <c r="S47" s="17"/>
      <c r="T47" s="17"/>
      <c r="U47" s="17"/>
      <c r="V47" s="17"/>
      <c r="W47" s="17"/>
      <c r="X47" s="17"/>
      <c r="Y47" s="17"/>
      <c r="Z47" s="15">
        <v>4</v>
      </c>
      <c r="AA47" s="15">
        <v>22</v>
      </c>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8" t="s">
        <v>199</v>
      </c>
    </row>
    <row r="48" spans="1:57" ht="15.75" customHeight="1">
      <c r="A48" s="13" t="s">
        <v>200</v>
      </c>
      <c r="B48" s="13" t="s">
        <v>189</v>
      </c>
      <c r="C48" s="14">
        <v>44596</v>
      </c>
      <c r="D48" s="15" t="s">
        <v>194</v>
      </c>
      <c r="E48" s="15" t="s">
        <v>195</v>
      </c>
      <c r="F48" s="16">
        <v>0.3125</v>
      </c>
      <c r="G48" s="15" t="s">
        <v>156</v>
      </c>
      <c r="H48" s="15" t="s">
        <v>69</v>
      </c>
      <c r="I48" s="15" t="s">
        <v>70</v>
      </c>
      <c r="J48" s="15" t="s">
        <v>71</v>
      </c>
      <c r="K48" s="17"/>
      <c r="L48" s="17"/>
      <c r="M48" s="15">
        <v>12</v>
      </c>
      <c r="N48" s="17"/>
      <c r="O48" s="17"/>
      <c r="P48" s="17"/>
      <c r="Q48" s="17"/>
      <c r="R48" s="17"/>
      <c r="S48" s="17"/>
      <c r="T48" s="17"/>
      <c r="U48" s="17"/>
      <c r="V48" s="17"/>
      <c r="W48" s="17"/>
      <c r="X48" s="17"/>
      <c r="Y48" s="15">
        <v>11</v>
      </c>
      <c r="Z48" s="15">
        <v>15</v>
      </c>
      <c r="AA48" s="15">
        <v>92</v>
      </c>
      <c r="AB48" s="17"/>
      <c r="AC48" s="17"/>
      <c r="AD48" s="17"/>
      <c r="AE48" s="17"/>
      <c r="AF48" s="17"/>
      <c r="AG48" s="17"/>
      <c r="AH48" s="15">
        <v>11</v>
      </c>
      <c r="AI48" s="17"/>
      <c r="AJ48" s="17"/>
      <c r="AK48" s="17"/>
      <c r="AL48" s="17"/>
      <c r="AM48" s="15">
        <v>932</v>
      </c>
      <c r="AN48" s="17"/>
      <c r="AO48" s="17"/>
      <c r="AP48" s="15">
        <v>6</v>
      </c>
      <c r="AQ48" s="17"/>
      <c r="AR48" s="17"/>
      <c r="AS48" s="17"/>
      <c r="AT48" s="17"/>
      <c r="AU48" s="17"/>
      <c r="AV48" s="17"/>
      <c r="AW48" s="17"/>
      <c r="AX48" s="15">
        <v>8</v>
      </c>
      <c r="AY48" s="15">
        <v>3</v>
      </c>
      <c r="AZ48" s="15">
        <v>5</v>
      </c>
      <c r="BA48" s="15">
        <v>157</v>
      </c>
      <c r="BB48" s="17"/>
      <c r="BC48" s="17"/>
      <c r="BD48" s="17"/>
      <c r="BE48" s="19"/>
    </row>
    <row r="49" spans="1:57" ht="15.75" customHeight="1">
      <c r="A49" s="13" t="s">
        <v>201</v>
      </c>
      <c r="B49" s="13" t="s">
        <v>189</v>
      </c>
      <c r="C49" s="14">
        <v>44599</v>
      </c>
      <c r="D49" s="15" t="s">
        <v>202</v>
      </c>
      <c r="E49" s="15" t="s">
        <v>203</v>
      </c>
      <c r="F49" s="16">
        <v>0.4548611111111111</v>
      </c>
      <c r="G49" s="15" t="s">
        <v>83</v>
      </c>
      <c r="H49" s="15" t="s">
        <v>127</v>
      </c>
      <c r="I49" s="15" t="s">
        <v>70</v>
      </c>
      <c r="J49" s="15" t="s">
        <v>71</v>
      </c>
      <c r="K49" s="15"/>
      <c r="L49" s="15"/>
      <c r="M49" s="15"/>
      <c r="N49" s="15"/>
      <c r="O49" s="15"/>
      <c r="P49" s="15"/>
      <c r="Q49" s="15"/>
      <c r="R49" s="15"/>
      <c r="S49" s="15"/>
      <c r="T49" s="15"/>
      <c r="U49" s="15"/>
      <c r="V49" s="15"/>
      <c r="W49" s="15"/>
      <c r="X49" s="15"/>
      <c r="Y49" s="15"/>
      <c r="Z49" s="15"/>
      <c r="AA49" s="15">
        <v>30</v>
      </c>
      <c r="AB49" s="15"/>
      <c r="AC49" s="15"/>
      <c r="AD49" s="15"/>
      <c r="AE49" s="15"/>
      <c r="AF49" s="15"/>
      <c r="AG49" s="15"/>
      <c r="AH49" s="15"/>
      <c r="AI49" s="15"/>
      <c r="AJ49" s="15"/>
      <c r="AK49" s="15"/>
      <c r="AL49" s="15"/>
      <c r="AM49" s="15"/>
      <c r="AN49" s="15"/>
      <c r="AO49" s="15"/>
      <c r="AP49" s="15"/>
      <c r="AQ49" s="15"/>
      <c r="AR49" s="15"/>
      <c r="AS49" s="15"/>
      <c r="AT49" s="15"/>
      <c r="AU49" s="15"/>
      <c r="AV49" s="15"/>
      <c r="AW49" s="15"/>
      <c r="AX49" s="15">
        <v>9</v>
      </c>
      <c r="AY49" s="15"/>
      <c r="AZ49" s="15">
        <v>5</v>
      </c>
      <c r="BA49" s="15"/>
      <c r="BB49" s="15"/>
      <c r="BC49" s="15"/>
      <c r="BD49" s="15"/>
      <c r="BE49" s="18" t="s">
        <v>204</v>
      </c>
    </row>
    <row r="50" spans="1:57">
      <c r="A50" s="13" t="s">
        <v>205</v>
      </c>
      <c r="B50" s="13" t="s">
        <v>189</v>
      </c>
      <c r="C50" s="14">
        <v>44596</v>
      </c>
      <c r="D50" s="15" t="s">
        <v>197</v>
      </c>
      <c r="E50" s="15" t="s">
        <v>198</v>
      </c>
      <c r="F50" s="16">
        <v>0.35625000000000001</v>
      </c>
      <c r="G50" s="15" t="s">
        <v>156</v>
      </c>
      <c r="H50" s="15" t="s">
        <v>69</v>
      </c>
      <c r="I50" s="15" t="s">
        <v>70</v>
      </c>
      <c r="J50" s="15" t="s">
        <v>71</v>
      </c>
      <c r="K50" s="15">
        <v>1</v>
      </c>
      <c r="L50" s="17"/>
      <c r="M50" s="15">
        <v>7</v>
      </c>
      <c r="N50" s="17"/>
      <c r="O50" s="17"/>
      <c r="P50" s="17"/>
      <c r="Q50" s="17"/>
      <c r="R50" s="17"/>
      <c r="S50" s="17"/>
      <c r="T50" s="17"/>
      <c r="U50" s="17"/>
      <c r="V50" s="17"/>
      <c r="W50" s="17"/>
      <c r="X50" s="17"/>
      <c r="Y50" s="17"/>
      <c r="Z50" s="15">
        <v>37</v>
      </c>
      <c r="AA50" s="15">
        <v>95</v>
      </c>
      <c r="AB50" s="17"/>
      <c r="AC50" s="17"/>
      <c r="AD50" s="17"/>
      <c r="AE50" s="17"/>
      <c r="AF50" s="17"/>
      <c r="AG50" s="17"/>
      <c r="AH50" s="17"/>
      <c r="AI50" s="17"/>
      <c r="AJ50" s="17"/>
      <c r="AK50" s="17"/>
      <c r="AL50" s="17"/>
      <c r="AM50" s="15">
        <v>1</v>
      </c>
      <c r="AN50" s="17"/>
      <c r="AO50" s="17"/>
      <c r="AP50" s="15">
        <v>23</v>
      </c>
      <c r="AQ50" s="17"/>
      <c r="AR50" s="17"/>
      <c r="AS50" s="15">
        <v>66</v>
      </c>
      <c r="AT50" s="17"/>
      <c r="AU50" s="17"/>
      <c r="AV50" s="17"/>
      <c r="AW50" s="15">
        <v>1</v>
      </c>
      <c r="AX50" s="15">
        <v>7</v>
      </c>
      <c r="AY50" s="17"/>
      <c r="AZ50" s="15">
        <v>2</v>
      </c>
      <c r="BA50" s="15">
        <v>144</v>
      </c>
      <c r="BB50" s="17"/>
      <c r="BC50" s="17"/>
      <c r="BD50" s="17"/>
      <c r="BE50" s="18" t="s">
        <v>206</v>
      </c>
    </row>
    <row r="51" spans="1:57">
      <c r="A51" s="13" t="s">
        <v>207</v>
      </c>
      <c r="B51" s="13" t="s">
        <v>189</v>
      </c>
      <c r="C51" s="14">
        <v>44600</v>
      </c>
      <c r="D51" s="15" t="s">
        <v>197</v>
      </c>
      <c r="E51" s="15" t="s">
        <v>198</v>
      </c>
      <c r="F51" s="16">
        <v>0.35208333333333336</v>
      </c>
      <c r="G51" s="15" t="s">
        <v>83</v>
      </c>
      <c r="H51" s="15" t="s">
        <v>109</v>
      </c>
      <c r="I51" s="15" t="s">
        <v>70</v>
      </c>
      <c r="J51" s="15" t="s">
        <v>71</v>
      </c>
      <c r="K51" s="15">
        <v>6</v>
      </c>
      <c r="L51" s="17"/>
      <c r="M51" s="15">
        <v>104</v>
      </c>
      <c r="N51" s="15">
        <v>547</v>
      </c>
      <c r="O51" s="17"/>
      <c r="P51" s="17"/>
      <c r="Q51" s="17"/>
      <c r="R51" s="17"/>
      <c r="S51" s="17"/>
      <c r="T51" s="17"/>
      <c r="U51" s="15">
        <v>228</v>
      </c>
      <c r="V51" s="17"/>
      <c r="W51" s="15">
        <v>8</v>
      </c>
      <c r="X51" s="15">
        <v>1</v>
      </c>
      <c r="Y51" s="15">
        <v>8</v>
      </c>
      <c r="Z51" s="17"/>
      <c r="AA51" s="15">
        <v>111</v>
      </c>
      <c r="AB51" s="15">
        <v>10</v>
      </c>
      <c r="AC51" s="17"/>
      <c r="AD51" s="15">
        <v>1</v>
      </c>
      <c r="AE51" s="17"/>
      <c r="AF51" s="15">
        <v>414</v>
      </c>
      <c r="AG51" s="17"/>
      <c r="AH51" s="15">
        <v>181</v>
      </c>
      <c r="AI51" s="15">
        <v>5</v>
      </c>
      <c r="AJ51" s="17"/>
      <c r="AK51" s="17"/>
      <c r="AL51" s="17"/>
      <c r="AM51" s="17"/>
      <c r="AN51" s="17"/>
      <c r="AO51" s="17"/>
      <c r="AP51" s="15">
        <v>40</v>
      </c>
      <c r="AQ51" s="17"/>
      <c r="AR51" s="17"/>
      <c r="AS51" s="17"/>
      <c r="AT51" s="17"/>
      <c r="AU51" s="17"/>
      <c r="AV51" s="17"/>
      <c r="AW51" s="17"/>
      <c r="AX51" s="17"/>
      <c r="AY51" s="17"/>
      <c r="AZ51" s="15">
        <v>2</v>
      </c>
      <c r="BA51" s="15">
        <v>87</v>
      </c>
      <c r="BB51" s="17"/>
      <c r="BC51" s="17"/>
      <c r="BD51" s="17"/>
      <c r="BE51" s="19"/>
    </row>
    <row r="52" spans="1:57">
      <c r="A52" s="13" t="s">
        <v>208</v>
      </c>
      <c r="B52" s="13" t="s">
        <v>189</v>
      </c>
      <c r="C52" s="14">
        <v>44596</v>
      </c>
      <c r="D52" s="15" t="s">
        <v>209</v>
      </c>
      <c r="E52" s="34" t="s">
        <v>210</v>
      </c>
      <c r="F52" s="16">
        <v>0.3125</v>
      </c>
      <c r="G52" s="15" t="s">
        <v>156</v>
      </c>
      <c r="H52" s="15" t="s">
        <v>69</v>
      </c>
      <c r="I52" s="15" t="s">
        <v>70</v>
      </c>
      <c r="J52" s="15" t="s">
        <v>71</v>
      </c>
      <c r="K52" s="17"/>
      <c r="L52" s="17"/>
      <c r="M52" s="17"/>
      <c r="N52" s="17"/>
      <c r="O52" s="17"/>
      <c r="P52" s="17"/>
      <c r="Q52" s="17"/>
      <c r="R52" s="17"/>
      <c r="S52" s="17"/>
      <c r="T52" s="17"/>
      <c r="U52" s="17"/>
      <c r="V52" s="17"/>
      <c r="W52" s="17"/>
      <c r="X52" s="17"/>
      <c r="Y52" s="17"/>
      <c r="Z52" s="17"/>
      <c r="AA52" s="15">
        <v>16</v>
      </c>
      <c r="AB52" s="17"/>
      <c r="AC52" s="17"/>
      <c r="AD52" s="17"/>
      <c r="AE52" s="17"/>
      <c r="AF52" s="17"/>
      <c r="AG52" s="17"/>
      <c r="AH52" s="15">
        <v>8</v>
      </c>
      <c r="AI52" s="17"/>
      <c r="AJ52" s="17"/>
      <c r="AK52" s="17"/>
      <c r="AL52" s="17"/>
      <c r="AM52" s="15">
        <v>760</v>
      </c>
      <c r="AN52" s="17"/>
      <c r="AO52" s="17"/>
      <c r="AP52" s="17"/>
      <c r="AQ52" s="17"/>
      <c r="AR52" s="17"/>
      <c r="AS52" s="17"/>
      <c r="AT52" s="17"/>
      <c r="AU52" s="17"/>
      <c r="AV52" s="17"/>
      <c r="AW52" s="15">
        <v>8</v>
      </c>
      <c r="AX52" s="15">
        <v>101</v>
      </c>
      <c r="AY52" s="17"/>
      <c r="AZ52" s="15">
        <v>33</v>
      </c>
      <c r="BA52" s="15">
        <v>82</v>
      </c>
      <c r="BB52" s="17"/>
      <c r="BC52" s="17"/>
      <c r="BD52" s="17"/>
      <c r="BE52" s="19"/>
    </row>
    <row r="53" spans="1:57">
      <c r="A53" s="13" t="s">
        <v>211</v>
      </c>
      <c r="B53" s="13" t="s">
        <v>189</v>
      </c>
      <c r="C53" s="14">
        <v>44600</v>
      </c>
      <c r="D53" s="15" t="s">
        <v>197</v>
      </c>
      <c r="E53" s="15" t="s">
        <v>198</v>
      </c>
      <c r="F53" s="16">
        <v>0.43680555555555556</v>
      </c>
      <c r="G53" s="15" t="s">
        <v>156</v>
      </c>
      <c r="H53" s="15" t="s">
        <v>109</v>
      </c>
      <c r="I53" s="15" t="s">
        <v>70</v>
      </c>
      <c r="J53" s="15" t="s">
        <v>71</v>
      </c>
      <c r="K53" s="17"/>
      <c r="L53" s="17"/>
      <c r="M53" s="15">
        <v>18</v>
      </c>
      <c r="N53" s="15">
        <v>640</v>
      </c>
      <c r="O53" s="17"/>
      <c r="P53" s="17"/>
      <c r="Q53" s="15">
        <v>41</v>
      </c>
      <c r="R53" s="17"/>
      <c r="S53" s="17"/>
      <c r="T53" s="17"/>
      <c r="U53" s="15">
        <v>245</v>
      </c>
      <c r="V53" s="17"/>
      <c r="W53" s="17"/>
      <c r="X53" s="15">
        <v>16</v>
      </c>
      <c r="Y53" s="15">
        <v>49</v>
      </c>
      <c r="Z53" s="15">
        <v>4</v>
      </c>
      <c r="AA53" s="15">
        <v>45</v>
      </c>
      <c r="AB53" s="15">
        <v>31</v>
      </c>
      <c r="AC53" s="17"/>
      <c r="AD53" s="17"/>
      <c r="AE53" s="15">
        <v>2</v>
      </c>
      <c r="AF53" s="15">
        <v>453</v>
      </c>
      <c r="AG53" s="17"/>
      <c r="AH53" s="15">
        <v>8</v>
      </c>
      <c r="AI53" s="15">
        <v>11</v>
      </c>
      <c r="AJ53" s="17"/>
      <c r="AK53" s="17"/>
      <c r="AL53" s="17"/>
      <c r="AM53" s="17"/>
      <c r="AN53" s="17"/>
      <c r="AO53" s="17"/>
      <c r="AP53" s="15">
        <v>1</v>
      </c>
      <c r="AQ53" s="17"/>
      <c r="AR53" s="17"/>
      <c r="AS53" s="17"/>
      <c r="AT53" s="17"/>
      <c r="AU53" s="17"/>
      <c r="AV53" s="17"/>
      <c r="AW53" s="17"/>
      <c r="AX53" s="17"/>
      <c r="AY53" s="17"/>
      <c r="AZ53" s="17"/>
      <c r="BA53" s="17"/>
      <c r="BB53" s="17"/>
      <c r="BC53" s="17"/>
      <c r="BD53" s="15">
        <v>5</v>
      </c>
      <c r="BE53" s="19"/>
    </row>
    <row r="54" spans="1:57">
      <c r="A54" s="13" t="s">
        <v>212</v>
      </c>
      <c r="B54" s="13" t="s">
        <v>189</v>
      </c>
      <c r="C54" s="14"/>
      <c r="F54" s="16"/>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9"/>
    </row>
    <row r="55" spans="1:57">
      <c r="A55" s="13" t="s">
        <v>213</v>
      </c>
      <c r="B55" s="13" t="s">
        <v>189</v>
      </c>
      <c r="C55" s="14">
        <v>44600</v>
      </c>
      <c r="D55" s="15" t="s">
        <v>197</v>
      </c>
      <c r="E55" s="15" t="s">
        <v>198</v>
      </c>
      <c r="F55" s="16">
        <v>0.46736111111111112</v>
      </c>
      <c r="G55" s="15" t="s">
        <v>156</v>
      </c>
      <c r="H55" s="15" t="s">
        <v>109</v>
      </c>
      <c r="I55" s="15" t="s">
        <v>70</v>
      </c>
      <c r="J55" s="15" t="s">
        <v>71</v>
      </c>
      <c r="K55" s="17"/>
      <c r="L55" s="17"/>
      <c r="M55" s="15">
        <v>16</v>
      </c>
      <c r="N55" s="17"/>
      <c r="O55" s="17"/>
      <c r="P55" s="17"/>
      <c r="Q55" s="17"/>
      <c r="R55" s="17"/>
      <c r="S55" s="17"/>
      <c r="T55" s="17"/>
      <c r="U55" s="17"/>
      <c r="V55" s="17"/>
      <c r="W55" s="17"/>
      <c r="X55" s="17"/>
      <c r="Y55" s="17"/>
      <c r="Z55" s="15">
        <v>44</v>
      </c>
      <c r="AA55" s="15">
        <v>29</v>
      </c>
      <c r="AB55" s="17"/>
      <c r="AC55" s="17"/>
      <c r="AD55" s="17"/>
      <c r="AE55" s="17"/>
      <c r="AF55" s="17"/>
      <c r="AG55" s="17"/>
      <c r="AH55" s="17"/>
      <c r="AI55" s="17"/>
      <c r="AJ55" s="17"/>
      <c r="AK55" s="17"/>
      <c r="AL55" s="17"/>
      <c r="AM55" s="17"/>
      <c r="AN55" s="17"/>
      <c r="AO55" s="17"/>
      <c r="AP55" s="15">
        <v>6</v>
      </c>
      <c r="AQ55" s="17"/>
      <c r="AR55" s="17"/>
      <c r="AS55" s="15">
        <v>9</v>
      </c>
      <c r="AT55" s="17"/>
      <c r="AU55" s="17"/>
      <c r="AV55" s="17"/>
      <c r="AW55" s="17"/>
      <c r="AX55" s="17"/>
      <c r="AY55" s="17"/>
      <c r="AZ55" s="17"/>
      <c r="BA55" s="17"/>
      <c r="BB55" s="17"/>
      <c r="BC55" s="17"/>
      <c r="BD55" s="17"/>
      <c r="BE55" s="18"/>
    </row>
    <row r="56" spans="1:57">
      <c r="A56" s="13" t="s">
        <v>214</v>
      </c>
      <c r="B56" s="13" t="s">
        <v>189</v>
      </c>
      <c r="C56" s="14"/>
      <c r="F56" s="16"/>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8"/>
    </row>
    <row r="57" spans="1:57" ht="31.5">
      <c r="A57" s="24" t="s">
        <v>215</v>
      </c>
      <c r="B57" s="31" t="s">
        <v>216</v>
      </c>
      <c r="C57" s="14"/>
      <c r="F57" s="16"/>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8"/>
    </row>
    <row r="58" spans="1:57">
      <c r="A58" s="13" t="s">
        <v>217</v>
      </c>
      <c r="B58" s="13" t="s">
        <v>216</v>
      </c>
      <c r="C58" s="14"/>
      <c r="F58" s="16"/>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8"/>
    </row>
    <row r="59" spans="1:57" ht="39">
      <c r="A59" s="13" t="s">
        <v>218</v>
      </c>
      <c r="B59" s="35" t="s">
        <v>219</v>
      </c>
      <c r="C59" s="32">
        <v>44599</v>
      </c>
      <c r="D59" s="36" t="s">
        <v>220</v>
      </c>
      <c r="E59" s="15" t="s">
        <v>221</v>
      </c>
      <c r="F59" s="16">
        <v>0.44236111111111109</v>
      </c>
      <c r="G59" s="15" t="s">
        <v>78</v>
      </c>
      <c r="H59" s="15" t="s">
        <v>69</v>
      </c>
      <c r="I59" s="15" t="s">
        <v>70</v>
      </c>
      <c r="J59" s="15" t="s">
        <v>71</v>
      </c>
      <c r="K59" s="15"/>
      <c r="L59" s="15"/>
      <c r="M59" s="15"/>
      <c r="N59" s="15"/>
      <c r="O59" s="15"/>
      <c r="P59" s="15"/>
      <c r="Q59" s="15"/>
      <c r="R59" s="15"/>
      <c r="S59" s="15"/>
      <c r="T59" s="15"/>
      <c r="U59" s="15"/>
      <c r="V59" s="15"/>
      <c r="W59" s="15"/>
      <c r="X59" s="15"/>
      <c r="Y59" s="15"/>
      <c r="Z59" s="15">
        <v>3</v>
      </c>
      <c r="AA59" s="15">
        <v>36</v>
      </c>
      <c r="AB59" s="15"/>
      <c r="AC59" s="15"/>
      <c r="AD59" s="15"/>
      <c r="AE59" s="15">
        <v>2</v>
      </c>
      <c r="AF59" s="15"/>
      <c r="AG59" s="15"/>
      <c r="AH59" s="15">
        <v>11</v>
      </c>
      <c r="AI59" s="15"/>
      <c r="AJ59" s="15"/>
      <c r="AK59" s="15"/>
      <c r="AL59" s="15"/>
      <c r="AM59" s="15"/>
      <c r="AN59" s="15"/>
      <c r="AO59" s="15"/>
      <c r="AP59" s="15">
        <v>8</v>
      </c>
      <c r="AQ59" s="15"/>
      <c r="AR59" s="15"/>
      <c r="AS59" s="15">
        <v>10</v>
      </c>
      <c r="AT59" s="15">
        <v>12</v>
      </c>
      <c r="AU59" s="15"/>
      <c r="AV59" s="15"/>
      <c r="AW59" s="15">
        <v>1</v>
      </c>
      <c r="AX59" s="15"/>
      <c r="AY59" s="15"/>
      <c r="AZ59" s="15"/>
      <c r="BA59" s="15"/>
      <c r="BB59" s="15"/>
      <c r="BC59" s="15"/>
      <c r="BD59" s="15">
        <v>6</v>
      </c>
      <c r="BE59" s="18" t="s">
        <v>222</v>
      </c>
    </row>
    <row r="60" spans="1:57" ht="51.75">
      <c r="A60" s="35" t="s">
        <v>223</v>
      </c>
      <c r="B60" s="35" t="s">
        <v>219</v>
      </c>
      <c r="C60" s="32">
        <v>44599</v>
      </c>
      <c r="D60" s="15" t="s">
        <v>220</v>
      </c>
      <c r="E60" s="15" t="s">
        <v>221</v>
      </c>
      <c r="F60" s="16">
        <v>0.36458333333333331</v>
      </c>
      <c r="G60" s="15" t="s">
        <v>68</v>
      </c>
      <c r="H60" s="15" t="s">
        <v>69</v>
      </c>
      <c r="I60" s="15" t="s">
        <v>70</v>
      </c>
      <c r="J60" s="15" t="s">
        <v>71</v>
      </c>
      <c r="K60" s="15"/>
      <c r="L60" s="15"/>
      <c r="M60" s="15">
        <v>11</v>
      </c>
      <c r="N60" s="15">
        <v>39</v>
      </c>
      <c r="O60" s="15"/>
      <c r="P60" s="15"/>
      <c r="Q60" s="15"/>
      <c r="R60" s="15"/>
      <c r="S60" s="15"/>
      <c r="T60" s="15"/>
      <c r="U60" s="15">
        <v>3</v>
      </c>
      <c r="V60" s="15"/>
      <c r="W60" s="15"/>
      <c r="X60" s="15">
        <v>1</v>
      </c>
      <c r="Y60" s="15"/>
      <c r="Z60" s="15">
        <v>8</v>
      </c>
      <c r="AA60" s="15">
        <v>8</v>
      </c>
      <c r="AB60" s="15">
        <v>11</v>
      </c>
      <c r="AC60" s="15"/>
      <c r="AD60" s="15"/>
      <c r="AE60" s="15">
        <v>1</v>
      </c>
      <c r="AF60" s="15"/>
      <c r="AG60" s="15"/>
      <c r="AH60" s="15">
        <v>4</v>
      </c>
      <c r="AI60" s="15"/>
      <c r="AJ60" s="15"/>
      <c r="AK60" s="15"/>
      <c r="AL60" s="15"/>
      <c r="AM60" s="15"/>
      <c r="AN60" s="15">
        <v>1</v>
      </c>
      <c r="AO60" s="15"/>
      <c r="AP60" s="15">
        <v>1</v>
      </c>
      <c r="AQ60" s="15"/>
      <c r="AR60" s="15"/>
      <c r="AS60" s="15">
        <v>14</v>
      </c>
      <c r="AT60" s="15">
        <v>6</v>
      </c>
      <c r="AU60" s="15"/>
      <c r="AV60" s="15"/>
      <c r="AW60" s="15"/>
      <c r="AX60" s="15"/>
      <c r="AY60" s="15"/>
      <c r="AZ60" s="15"/>
      <c r="BA60" s="15"/>
      <c r="BB60" s="15"/>
      <c r="BC60" s="15"/>
      <c r="BD60" s="15">
        <v>5</v>
      </c>
      <c r="BE60" s="18" t="s">
        <v>224</v>
      </c>
    </row>
    <row r="61" spans="1:57" ht="31.5">
      <c r="A61" s="35" t="s">
        <v>225</v>
      </c>
      <c r="B61" s="35" t="s">
        <v>219</v>
      </c>
      <c r="C61" s="32">
        <v>44599</v>
      </c>
      <c r="D61" s="15" t="s">
        <v>220</v>
      </c>
      <c r="E61" s="15" t="s">
        <v>221</v>
      </c>
      <c r="F61" s="16">
        <v>0.48749999999999999</v>
      </c>
      <c r="G61" s="15" t="s">
        <v>78</v>
      </c>
      <c r="H61" s="15" t="s">
        <v>69</v>
      </c>
      <c r="I61" s="15" t="s">
        <v>70</v>
      </c>
      <c r="J61" s="15" t="s">
        <v>71</v>
      </c>
      <c r="K61" s="15"/>
      <c r="L61" s="15">
        <v>23</v>
      </c>
      <c r="M61" s="15">
        <v>1</v>
      </c>
      <c r="N61" s="15">
        <v>83</v>
      </c>
      <c r="O61" s="15">
        <v>8</v>
      </c>
      <c r="P61" s="15"/>
      <c r="Q61" s="15">
        <v>2</v>
      </c>
      <c r="R61" s="15">
        <v>13</v>
      </c>
      <c r="S61" s="15"/>
      <c r="T61" s="15">
        <v>4</v>
      </c>
      <c r="U61" s="15">
        <v>34</v>
      </c>
      <c r="V61" s="15"/>
      <c r="W61" s="15"/>
      <c r="X61" s="15">
        <v>1</v>
      </c>
      <c r="Y61" s="15"/>
      <c r="Z61" s="15"/>
      <c r="AA61" s="15">
        <v>4</v>
      </c>
      <c r="AB61" s="15">
        <v>30</v>
      </c>
      <c r="AC61" s="15"/>
      <c r="AD61" s="15"/>
      <c r="AE61" s="15">
        <v>1</v>
      </c>
      <c r="AF61" s="15"/>
      <c r="AG61" s="15"/>
      <c r="AH61" s="15">
        <v>1</v>
      </c>
      <c r="AI61" s="15"/>
      <c r="AJ61" s="15"/>
      <c r="AK61" s="15"/>
      <c r="AL61" s="15"/>
      <c r="AM61" s="15"/>
      <c r="AN61" s="15"/>
      <c r="AO61" s="15"/>
      <c r="AP61" s="15"/>
      <c r="AQ61" s="15"/>
      <c r="AR61" s="15"/>
      <c r="AS61" s="15"/>
      <c r="AT61" s="15"/>
      <c r="AU61" s="15"/>
      <c r="AV61" s="15"/>
      <c r="AW61" s="15"/>
      <c r="AX61" s="15">
        <v>1</v>
      </c>
      <c r="AY61" s="15"/>
      <c r="AZ61" s="15">
        <v>1</v>
      </c>
      <c r="BA61" s="15"/>
      <c r="BB61" s="15"/>
      <c r="BC61" s="15"/>
      <c r="BD61" s="15"/>
      <c r="BE61" s="36" t="s">
        <v>226</v>
      </c>
    </row>
    <row r="62" spans="1:57" ht="47.25">
      <c r="A62" s="13" t="s">
        <v>227</v>
      </c>
      <c r="B62" s="35" t="s">
        <v>219</v>
      </c>
      <c r="C62" s="37">
        <v>44601</v>
      </c>
      <c r="D62" s="36" t="s">
        <v>228</v>
      </c>
      <c r="E62" s="15" t="s">
        <v>229</v>
      </c>
      <c r="F62" s="16">
        <v>0.5625</v>
      </c>
      <c r="G62" s="15" t="s">
        <v>78</v>
      </c>
      <c r="H62" s="15" t="s">
        <v>69</v>
      </c>
      <c r="I62" s="15" t="s">
        <v>70</v>
      </c>
      <c r="J62" s="15" t="s">
        <v>71</v>
      </c>
      <c r="O62" s="15">
        <v>9</v>
      </c>
      <c r="R62" s="15">
        <v>52</v>
      </c>
      <c r="AH62" s="15">
        <v>7</v>
      </c>
      <c r="BD62" s="15">
        <v>49</v>
      </c>
    </row>
    <row r="63" spans="1:57" ht="47.25">
      <c r="A63" s="13" t="s">
        <v>230</v>
      </c>
      <c r="B63" s="35" t="s">
        <v>219</v>
      </c>
      <c r="C63" s="37">
        <v>44601</v>
      </c>
      <c r="D63" s="36" t="s">
        <v>228</v>
      </c>
      <c r="E63" s="15" t="s">
        <v>229</v>
      </c>
      <c r="F63" s="16">
        <v>0.53819444444444442</v>
      </c>
      <c r="G63" s="15" t="s">
        <v>78</v>
      </c>
      <c r="H63" s="15" t="s">
        <v>69</v>
      </c>
      <c r="I63" s="15" t="s">
        <v>70</v>
      </c>
      <c r="J63" s="15" t="s">
        <v>71</v>
      </c>
      <c r="AP63" s="15">
        <v>5</v>
      </c>
      <c r="AS63" s="15">
        <v>1</v>
      </c>
      <c r="AW63" s="15">
        <v>1</v>
      </c>
      <c r="AZ63" s="15">
        <v>2</v>
      </c>
      <c r="BE63" s="18"/>
    </row>
    <row r="64" spans="1:57" ht="47.25">
      <c r="A64" s="13" t="s">
        <v>231</v>
      </c>
      <c r="B64" s="35" t="s">
        <v>219</v>
      </c>
      <c r="C64" s="37">
        <v>44601</v>
      </c>
      <c r="D64" s="36" t="s">
        <v>228</v>
      </c>
      <c r="E64" s="15" t="s">
        <v>229</v>
      </c>
      <c r="F64" s="16">
        <v>0.43055555555555558</v>
      </c>
      <c r="G64" s="15" t="s">
        <v>68</v>
      </c>
      <c r="H64" s="15" t="s">
        <v>69</v>
      </c>
      <c r="I64" s="15" t="s">
        <v>70</v>
      </c>
      <c r="J64" s="15" t="s">
        <v>71</v>
      </c>
      <c r="AE64" s="15">
        <v>1</v>
      </c>
      <c r="AJ64" s="15">
        <v>2</v>
      </c>
      <c r="AP64" s="15">
        <v>2</v>
      </c>
      <c r="AS64" s="15">
        <v>110</v>
      </c>
      <c r="AX64" s="15">
        <v>1</v>
      </c>
      <c r="AZ64" s="15">
        <v>1</v>
      </c>
      <c r="BA64" s="15">
        <v>2</v>
      </c>
      <c r="BE64" s="18"/>
    </row>
    <row r="65" spans="1:57" ht="51.75">
      <c r="A65" s="13" t="s">
        <v>232</v>
      </c>
      <c r="B65" s="13" t="s">
        <v>219</v>
      </c>
      <c r="C65" s="14">
        <v>44602</v>
      </c>
      <c r="D65" s="36" t="s">
        <v>233</v>
      </c>
      <c r="E65" s="15" t="s">
        <v>221</v>
      </c>
      <c r="F65" s="26">
        <v>0.41805555555555557</v>
      </c>
      <c r="G65" s="15" t="s">
        <v>78</v>
      </c>
      <c r="H65" s="15" t="s">
        <v>69</v>
      </c>
      <c r="I65" s="15" t="s">
        <v>70</v>
      </c>
      <c r="J65" s="15" t="s">
        <v>71</v>
      </c>
      <c r="K65" s="15"/>
      <c r="L65" s="15"/>
      <c r="M65" s="15">
        <v>16</v>
      </c>
      <c r="N65" s="15">
        <v>13</v>
      </c>
      <c r="O65" s="15"/>
      <c r="P65" s="15"/>
      <c r="Q65" s="15"/>
      <c r="R65" s="15"/>
      <c r="S65" s="15"/>
      <c r="T65" s="15">
        <v>13</v>
      </c>
      <c r="U65" s="15">
        <v>41</v>
      </c>
      <c r="V65" s="15"/>
      <c r="W65" s="15"/>
      <c r="X65" s="15"/>
      <c r="Y65" s="15"/>
      <c r="Z65" s="15">
        <v>5</v>
      </c>
      <c r="AA65" s="15">
        <v>6</v>
      </c>
      <c r="AB65" s="15">
        <v>2</v>
      </c>
      <c r="AC65" s="15"/>
      <c r="AD65" s="15"/>
      <c r="AE65" s="15"/>
      <c r="AF65" s="15"/>
      <c r="AG65" s="15"/>
      <c r="AH65" s="15">
        <v>3</v>
      </c>
      <c r="AI65" s="15">
        <v>4</v>
      </c>
      <c r="AJ65" s="15"/>
      <c r="AK65" s="15"/>
      <c r="AL65" s="15"/>
      <c r="AM65" s="15"/>
      <c r="AN65" s="15"/>
      <c r="AO65" s="15"/>
      <c r="AP65" s="15">
        <v>1</v>
      </c>
      <c r="AQ65" s="15"/>
      <c r="AR65" s="15"/>
      <c r="AS65" s="15">
        <v>1</v>
      </c>
      <c r="AT65" s="15">
        <v>1</v>
      </c>
      <c r="AU65" s="15"/>
      <c r="AV65" s="15"/>
      <c r="AW65" s="15"/>
      <c r="AX65" s="15"/>
      <c r="AY65" s="15"/>
      <c r="AZ65" s="15">
        <v>1</v>
      </c>
      <c r="BA65" s="15">
        <v>1</v>
      </c>
      <c r="BB65" s="15"/>
      <c r="BC65" s="15"/>
      <c r="BD65" s="15"/>
      <c r="BE65" s="18" t="s">
        <v>234</v>
      </c>
    </row>
    <row r="66" spans="1:57" ht="64.5">
      <c r="A66" s="13" t="s">
        <v>235</v>
      </c>
      <c r="B66" s="13" t="s">
        <v>219</v>
      </c>
      <c r="C66" s="14">
        <v>44594</v>
      </c>
      <c r="D66" s="36" t="s">
        <v>236</v>
      </c>
      <c r="E66" s="15" t="s">
        <v>237</v>
      </c>
      <c r="F66" s="23">
        <v>951</v>
      </c>
      <c r="G66" s="15" t="s">
        <v>156</v>
      </c>
      <c r="H66" s="15" t="s">
        <v>123</v>
      </c>
      <c r="I66" s="15" t="s">
        <v>70</v>
      </c>
      <c r="J66" s="15" t="s">
        <v>71</v>
      </c>
      <c r="K66" s="17"/>
      <c r="L66" s="17"/>
      <c r="M66" s="15">
        <v>48</v>
      </c>
      <c r="N66" s="15">
        <v>194</v>
      </c>
      <c r="O66" s="17"/>
      <c r="P66" s="17"/>
      <c r="Q66" s="15">
        <v>16</v>
      </c>
      <c r="R66" s="17"/>
      <c r="S66" s="17"/>
      <c r="T66" s="17"/>
      <c r="U66" s="15">
        <v>71</v>
      </c>
      <c r="V66" s="17"/>
      <c r="W66" s="17"/>
      <c r="X66" s="15">
        <v>1</v>
      </c>
      <c r="Y66" s="17"/>
      <c r="Z66" s="15">
        <v>174</v>
      </c>
      <c r="AA66" s="15">
        <v>193</v>
      </c>
      <c r="AB66" s="15">
        <v>468</v>
      </c>
      <c r="AC66" s="17"/>
      <c r="AD66" s="17"/>
      <c r="AE66" s="17"/>
      <c r="AF66" s="15">
        <v>29</v>
      </c>
      <c r="AG66" s="17"/>
      <c r="AH66" s="15">
        <v>3</v>
      </c>
      <c r="AI66" s="15">
        <v>29</v>
      </c>
      <c r="AJ66" s="17"/>
      <c r="AK66" s="17"/>
      <c r="AL66" s="17"/>
      <c r="AM66" s="15">
        <v>670</v>
      </c>
      <c r="AN66" s="15">
        <v>1</v>
      </c>
      <c r="AO66" s="17"/>
      <c r="AP66" s="15">
        <v>24</v>
      </c>
      <c r="AQ66" s="17"/>
      <c r="AR66" s="17"/>
      <c r="AS66" s="17"/>
      <c r="AT66" s="15">
        <v>210</v>
      </c>
      <c r="AU66" s="17"/>
      <c r="AV66" s="17"/>
      <c r="AW66" s="15">
        <v>50</v>
      </c>
      <c r="AX66" s="17"/>
      <c r="AY66" s="17"/>
      <c r="AZ66" s="15">
        <v>24</v>
      </c>
      <c r="BA66" s="17"/>
      <c r="BB66" s="17"/>
      <c r="BC66" s="17"/>
      <c r="BD66" s="17"/>
      <c r="BE66" s="18" t="s">
        <v>238</v>
      </c>
    </row>
    <row r="67" spans="1:57" ht="47.25">
      <c r="A67" s="13" t="s">
        <v>239</v>
      </c>
      <c r="B67" s="35" t="s">
        <v>219</v>
      </c>
      <c r="C67" s="32">
        <v>44601</v>
      </c>
      <c r="D67" s="36" t="s">
        <v>228</v>
      </c>
      <c r="E67" s="15" t="s">
        <v>229</v>
      </c>
      <c r="F67" s="16">
        <v>0.3298611111111111</v>
      </c>
      <c r="G67" s="15" t="s">
        <v>68</v>
      </c>
      <c r="H67" s="15" t="s">
        <v>69</v>
      </c>
      <c r="I67" s="15" t="s">
        <v>70</v>
      </c>
      <c r="J67" s="15" t="s">
        <v>71</v>
      </c>
      <c r="P67" s="15">
        <v>5</v>
      </c>
      <c r="AH67" s="15">
        <v>1</v>
      </c>
      <c r="AJ67" s="15">
        <v>7</v>
      </c>
      <c r="AP67" s="15">
        <v>1</v>
      </c>
      <c r="AS67" s="15">
        <v>2</v>
      </c>
      <c r="AZ67" s="15">
        <v>2</v>
      </c>
      <c r="BE67" s="36"/>
    </row>
    <row r="68" spans="1:57" ht="64.5">
      <c r="A68" s="13" t="s">
        <v>240</v>
      </c>
      <c r="B68" s="13" t="s">
        <v>219</v>
      </c>
      <c r="C68" s="14">
        <v>44601</v>
      </c>
      <c r="D68" s="36" t="s">
        <v>241</v>
      </c>
      <c r="E68" s="15" t="s">
        <v>221</v>
      </c>
      <c r="F68" s="16">
        <v>0.3888888888888889</v>
      </c>
      <c r="G68" s="15" t="s">
        <v>68</v>
      </c>
      <c r="H68" s="15" t="s">
        <v>69</v>
      </c>
      <c r="I68" s="15" t="s">
        <v>70</v>
      </c>
      <c r="J68" s="15" t="s">
        <v>71</v>
      </c>
      <c r="K68" s="15">
        <v>2</v>
      </c>
      <c r="L68" s="15"/>
      <c r="M68" s="15">
        <v>12</v>
      </c>
      <c r="N68" s="15">
        <v>25</v>
      </c>
      <c r="O68" s="15"/>
      <c r="P68" s="15"/>
      <c r="Q68" s="15"/>
      <c r="R68" s="15"/>
      <c r="S68" s="15"/>
      <c r="T68" s="15">
        <v>3</v>
      </c>
      <c r="U68" s="15">
        <v>18</v>
      </c>
      <c r="V68" s="15"/>
      <c r="W68" s="15"/>
      <c r="X68" s="15">
        <v>13</v>
      </c>
      <c r="Y68" s="15">
        <v>80</v>
      </c>
      <c r="Z68" s="15">
        <v>10</v>
      </c>
      <c r="AA68" s="15">
        <v>52</v>
      </c>
      <c r="AB68" s="15">
        <v>27</v>
      </c>
      <c r="AC68" s="15"/>
      <c r="AD68" s="15"/>
      <c r="AE68" s="15"/>
      <c r="AF68" s="15"/>
      <c r="AG68" s="15"/>
      <c r="AH68" s="15">
        <v>6</v>
      </c>
      <c r="AI68" s="15"/>
      <c r="AJ68" s="15"/>
      <c r="AK68" s="15"/>
      <c r="AL68" s="15"/>
      <c r="AM68" s="15">
        <v>1</v>
      </c>
      <c r="AN68" s="15">
        <v>4</v>
      </c>
      <c r="AO68" s="15"/>
      <c r="AP68" s="15">
        <v>4</v>
      </c>
      <c r="AQ68" s="15"/>
      <c r="AR68" s="15"/>
      <c r="AS68" s="15">
        <v>9</v>
      </c>
      <c r="AT68" s="15">
        <v>221</v>
      </c>
      <c r="AU68" s="15"/>
      <c r="AV68" s="15"/>
      <c r="AW68" s="15">
        <v>2</v>
      </c>
      <c r="AX68" s="15">
        <v>1</v>
      </c>
      <c r="AY68" s="15"/>
      <c r="AZ68" s="15">
        <v>13</v>
      </c>
      <c r="BA68" s="15">
        <v>27</v>
      </c>
      <c r="BB68" s="15"/>
      <c r="BC68" s="15"/>
      <c r="BD68" s="15"/>
      <c r="BE68" s="18" t="s">
        <v>242</v>
      </c>
    </row>
    <row r="69" spans="1:57" ht="31.5">
      <c r="A69" s="13" t="s">
        <v>243</v>
      </c>
      <c r="B69" s="13" t="s">
        <v>219</v>
      </c>
      <c r="C69" s="14">
        <v>44602</v>
      </c>
      <c r="D69" s="15" t="s">
        <v>244</v>
      </c>
      <c r="E69" s="15" t="s">
        <v>245</v>
      </c>
      <c r="F69" s="16">
        <v>0.30833333333333335</v>
      </c>
      <c r="G69" s="17"/>
      <c r="H69" s="15" t="s">
        <v>69</v>
      </c>
      <c r="I69" s="15" t="s">
        <v>70</v>
      </c>
      <c r="J69" s="15" t="s">
        <v>71</v>
      </c>
      <c r="K69" s="15"/>
      <c r="L69" s="15"/>
      <c r="M69" s="15"/>
      <c r="N69" s="15"/>
      <c r="O69" s="15"/>
      <c r="P69" s="15"/>
      <c r="Q69" s="15"/>
      <c r="R69" s="15"/>
      <c r="S69" s="15"/>
      <c r="T69" s="15"/>
      <c r="U69" s="15"/>
      <c r="V69" s="15"/>
      <c r="W69" s="15"/>
      <c r="X69" s="15"/>
      <c r="Y69" s="15"/>
      <c r="Z69" s="15">
        <v>4</v>
      </c>
      <c r="AA69" s="15">
        <v>98</v>
      </c>
      <c r="AB69" s="15"/>
      <c r="AC69" s="15"/>
      <c r="AD69" s="15"/>
      <c r="AE69" s="15"/>
      <c r="AF69" s="15"/>
      <c r="AG69" s="15"/>
      <c r="AH69" s="15">
        <v>22</v>
      </c>
      <c r="AI69" s="15"/>
      <c r="AJ69" s="15"/>
      <c r="AK69" s="15"/>
      <c r="AL69" s="15"/>
      <c r="AM69" s="15">
        <v>375</v>
      </c>
      <c r="AN69" s="15"/>
      <c r="AO69" s="15"/>
      <c r="AP69" s="15">
        <v>81</v>
      </c>
      <c r="AQ69" s="15"/>
      <c r="AR69" s="15"/>
      <c r="AS69" s="15">
        <v>15</v>
      </c>
      <c r="AT69" s="15">
        <v>231</v>
      </c>
      <c r="AU69" s="15"/>
      <c r="AV69" s="15">
        <v>1</v>
      </c>
      <c r="AW69" s="15"/>
      <c r="AX69" s="15">
        <v>400</v>
      </c>
      <c r="AY69" s="15"/>
      <c r="AZ69" s="15">
        <v>197</v>
      </c>
      <c r="BA69" s="15">
        <v>78</v>
      </c>
      <c r="BB69" s="15"/>
      <c r="BC69" s="15"/>
      <c r="BD69" s="15"/>
      <c r="BE69" s="18" t="s">
        <v>246</v>
      </c>
    </row>
    <row r="70" spans="1:57" ht="31.5">
      <c r="A70" s="13" t="s">
        <v>247</v>
      </c>
      <c r="B70" s="13" t="s">
        <v>219</v>
      </c>
      <c r="C70" s="14">
        <v>44601</v>
      </c>
      <c r="D70" s="15" t="s">
        <v>228</v>
      </c>
      <c r="E70" s="15" t="s">
        <v>229</v>
      </c>
      <c r="F70" s="16">
        <v>0.32291666666666669</v>
      </c>
      <c r="G70" s="15" t="s">
        <v>68</v>
      </c>
      <c r="H70" s="15" t="s">
        <v>69</v>
      </c>
      <c r="I70" s="15" t="s">
        <v>70</v>
      </c>
      <c r="J70" s="15" t="s">
        <v>71</v>
      </c>
      <c r="K70" s="17"/>
      <c r="L70" s="17"/>
      <c r="M70" s="17"/>
      <c r="N70" s="17"/>
      <c r="O70" s="17"/>
      <c r="P70" s="15">
        <v>7</v>
      </c>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5">
        <v>1</v>
      </c>
      <c r="AT70" s="17"/>
      <c r="AU70" s="17"/>
      <c r="AV70" s="17"/>
      <c r="AW70" s="17"/>
      <c r="AX70" s="17"/>
      <c r="AY70" s="17"/>
      <c r="AZ70" s="17"/>
      <c r="BA70" s="15">
        <v>1</v>
      </c>
      <c r="BB70" s="17"/>
      <c r="BC70" s="17"/>
      <c r="BD70" s="17"/>
      <c r="BE70" s="18"/>
    </row>
    <row r="71" spans="1:57" ht="31.5">
      <c r="A71" s="13" t="s">
        <v>248</v>
      </c>
      <c r="B71" s="13" t="s">
        <v>219</v>
      </c>
      <c r="C71" s="14">
        <v>44601</v>
      </c>
      <c r="D71" s="15" t="s">
        <v>228</v>
      </c>
      <c r="E71" s="15" t="s">
        <v>229</v>
      </c>
      <c r="F71" s="16">
        <v>0.46527777777777779</v>
      </c>
      <c r="G71" s="15" t="s">
        <v>78</v>
      </c>
      <c r="H71" s="15" t="s">
        <v>69</v>
      </c>
      <c r="I71" s="15" t="s">
        <v>70</v>
      </c>
      <c r="J71" s="15" t="s">
        <v>71</v>
      </c>
      <c r="K71" s="17"/>
      <c r="L71" s="17"/>
      <c r="M71" s="15">
        <v>1</v>
      </c>
      <c r="N71" s="17"/>
      <c r="O71" s="17"/>
      <c r="P71" s="15">
        <v>14</v>
      </c>
      <c r="Q71" s="17"/>
      <c r="R71" s="15">
        <v>2</v>
      </c>
      <c r="S71" s="17"/>
      <c r="T71" s="17"/>
      <c r="U71" s="17"/>
      <c r="V71" s="17"/>
      <c r="W71" s="17"/>
      <c r="X71" s="17"/>
      <c r="Y71" s="17"/>
      <c r="Z71" s="17"/>
      <c r="AA71" s="17"/>
      <c r="AB71" s="17"/>
      <c r="AC71" s="17"/>
      <c r="AD71" s="17"/>
      <c r="AE71" s="17"/>
      <c r="AF71" s="17"/>
      <c r="AG71" s="17"/>
      <c r="AH71" s="17"/>
      <c r="AI71" s="17"/>
      <c r="AJ71" s="17"/>
      <c r="AK71" s="17"/>
      <c r="AL71" s="17"/>
      <c r="AM71" s="17"/>
      <c r="AN71" s="17"/>
      <c r="AO71" s="17"/>
      <c r="AP71" s="15">
        <v>11</v>
      </c>
      <c r="AQ71" s="17"/>
      <c r="AR71" s="17"/>
      <c r="AS71" s="15">
        <v>11</v>
      </c>
      <c r="AT71" s="15">
        <v>7</v>
      </c>
      <c r="AU71" s="17"/>
      <c r="AV71" s="17"/>
      <c r="AW71" s="17"/>
      <c r="AX71" s="15">
        <v>43</v>
      </c>
      <c r="AY71" s="17"/>
      <c r="AZ71" s="15">
        <v>3</v>
      </c>
      <c r="BA71" s="17"/>
      <c r="BB71" s="17"/>
      <c r="BC71" s="17"/>
      <c r="BD71" s="15">
        <v>37</v>
      </c>
      <c r="BE71" s="18"/>
    </row>
    <row r="72" spans="1:57" ht="47.25">
      <c r="A72" s="13" t="s">
        <v>249</v>
      </c>
      <c r="B72" s="13" t="s">
        <v>219</v>
      </c>
      <c r="C72" s="14">
        <v>44601</v>
      </c>
      <c r="D72" s="18" t="s">
        <v>228</v>
      </c>
      <c r="E72" s="15" t="s">
        <v>229</v>
      </c>
      <c r="F72" s="16">
        <v>0.39583333333333331</v>
      </c>
      <c r="G72" s="15" t="s">
        <v>68</v>
      </c>
      <c r="H72" s="15" t="s">
        <v>69</v>
      </c>
      <c r="I72" s="15" t="s">
        <v>70</v>
      </c>
      <c r="J72" s="15" t="s">
        <v>71</v>
      </c>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5">
        <v>2</v>
      </c>
      <c r="AT72" s="17"/>
      <c r="AU72" s="17"/>
      <c r="AV72" s="17"/>
      <c r="AW72" s="17"/>
      <c r="AX72" s="15">
        <v>1</v>
      </c>
      <c r="AY72" s="17"/>
      <c r="AZ72" s="15">
        <v>2</v>
      </c>
      <c r="BA72" s="17"/>
      <c r="BB72" s="17"/>
      <c r="BC72" s="17"/>
      <c r="BD72" s="17"/>
      <c r="BE72" s="18"/>
    </row>
    <row r="73" spans="1:57">
      <c r="A73" s="13" t="s">
        <v>250</v>
      </c>
      <c r="B73" s="13" t="s">
        <v>251</v>
      </c>
      <c r="C73" s="14"/>
      <c r="D73" s="15" t="s">
        <v>252</v>
      </c>
      <c r="F73" s="16"/>
      <c r="G73" s="17"/>
      <c r="H73" s="17"/>
      <c r="I73" s="17"/>
      <c r="J73" s="15" t="s">
        <v>71</v>
      </c>
    </row>
    <row r="74" spans="1:57" ht="31.5">
      <c r="A74" s="13" t="s">
        <v>253</v>
      </c>
      <c r="B74" s="13" t="s">
        <v>251</v>
      </c>
      <c r="C74" s="14">
        <v>44599</v>
      </c>
      <c r="D74" s="18" t="s">
        <v>254</v>
      </c>
      <c r="E74" s="15" t="s">
        <v>255</v>
      </c>
      <c r="F74" s="16">
        <v>0.31944444444444442</v>
      </c>
      <c r="G74" s="15" t="s">
        <v>68</v>
      </c>
      <c r="H74" s="15" t="s">
        <v>69</v>
      </c>
      <c r="I74" s="15" t="s">
        <v>118</v>
      </c>
      <c r="J74" s="15" t="s">
        <v>71</v>
      </c>
      <c r="K74" s="15"/>
      <c r="L74" s="15"/>
      <c r="M74" s="15"/>
      <c r="N74" s="15">
        <v>4</v>
      </c>
      <c r="O74" s="15"/>
      <c r="P74" s="15">
        <v>2</v>
      </c>
      <c r="Q74" s="15"/>
      <c r="R74" s="15"/>
      <c r="S74" s="15"/>
      <c r="T74" s="15"/>
      <c r="U74" s="15"/>
      <c r="V74" s="15"/>
      <c r="W74" s="15"/>
      <c r="X74" s="15">
        <v>1</v>
      </c>
      <c r="Y74" s="15"/>
      <c r="Z74" s="15">
        <v>6</v>
      </c>
      <c r="AA74" s="15">
        <v>105</v>
      </c>
      <c r="AB74" s="15"/>
      <c r="AC74" s="15"/>
      <c r="AD74" s="15">
        <v>19</v>
      </c>
      <c r="AE74" s="15"/>
      <c r="AF74" s="15"/>
      <c r="AG74" s="15"/>
      <c r="AH74" s="15">
        <v>12</v>
      </c>
      <c r="AI74" s="15">
        <v>1</v>
      </c>
      <c r="AJ74" s="15"/>
      <c r="AK74" s="15"/>
      <c r="AL74" s="15"/>
      <c r="AM74" s="15">
        <v>9</v>
      </c>
      <c r="AN74" s="15">
        <v>3</v>
      </c>
      <c r="AO74" s="15"/>
      <c r="AP74" s="15">
        <v>24</v>
      </c>
      <c r="AQ74" s="15"/>
      <c r="AR74" s="15"/>
      <c r="AS74" s="15">
        <v>5</v>
      </c>
      <c r="AT74" s="15">
        <v>18</v>
      </c>
      <c r="AU74" s="15"/>
      <c r="AV74" s="15"/>
      <c r="AW74" s="15">
        <v>28</v>
      </c>
      <c r="AX74" s="15">
        <v>8</v>
      </c>
      <c r="AY74" s="15"/>
      <c r="AZ74" s="15">
        <v>18</v>
      </c>
      <c r="BA74" s="15">
        <v>21</v>
      </c>
      <c r="BB74" s="15"/>
      <c r="BC74" s="15"/>
      <c r="BD74" s="15"/>
      <c r="BE74" s="19"/>
    </row>
    <row r="75" spans="1:57" ht="31.5">
      <c r="A75" s="13" t="s">
        <v>256</v>
      </c>
      <c r="B75" s="13" t="s">
        <v>251</v>
      </c>
      <c r="C75" s="14">
        <v>44599</v>
      </c>
      <c r="D75" s="15" t="s">
        <v>257</v>
      </c>
      <c r="E75" s="15" t="s">
        <v>258</v>
      </c>
      <c r="F75" s="16">
        <v>0.3298611111111111</v>
      </c>
      <c r="G75" s="15" t="s">
        <v>68</v>
      </c>
      <c r="H75" s="15" t="s">
        <v>69</v>
      </c>
      <c r="I75" s="15" t="s">
        <v>118</v>
      </c>
      <c r="J75" s="15" t="s">
        <v>71</v>
      </c>
      <c r="K75" s="15"/>
      <c r="L75" s="15"/>
      <c r="M75" s="15"/>
      <c r="N75" s="15"/>
      <c r="O75" s="15"/>
      <c r="P75" s="15"/>
      <c r="Q75" s="15"/>
      <c r="R75" s="15"/>
      <c r="S75" s="15"/>
      <c r="T75" s="15"/>
      <c r="U75" s="15"/>
      <c r="V75" s="15"/>
      <c r="W75" s="15"/>
      <c r="X75" s="15"/>
      <c r="Y75" s="15"/>
      <c r="Z75" s="15">
        <v>9</v>
      </c>
      <c r="AA75" s="15">
        <v>99</v>
      </c>
      <c r="AB75" s="15"/>
      <c r="AC75" s="15"/>
      <c r="AD75" s="15">
        <v>11</v>
      </c>
      <c r="AE75" s="15"/>
      <c r="AF75" s="15"/>
      <c r="AG75" s="15"/>
      <c r="AH75" s="15">
        <v>31</v>
      </c>
      <c r="AI75" s="15"/>
      <c r="AJ75" s="15"/>
      <c r="AK75" s="15"/>
      <c r="AL75" s="15"/>
      <c r="AM75" s="15"/>
      <c r="AN75" s="15">
        <v>54</v>
      </c>
      <c r="AO75" s="15"/>
      <c r="AP75" s="15">
        <v>6</v>
      </c>
      <c r="AQ75" s="15"/>
      <c r="AR75" s="15"/>
      <c r="AS75" s="15"/>
      <c r="AT75" s="15">
        <v>2</v>
      </c>
      <c r="AU75" s="15"/>
      <c r="AV75" s="15"/>
      <c r="AW75" s="15">
        <v>9</v>
      </c>
      <c r="AX75" s="15">
        <v>12</v>
      </c>
      <c r="AY75" s="15"/>
      <c r="AZ75" s="15">
        <v>29</v>
      </c>
      <c r="BA75" s="15">
        <v>1</v>
      </c>
      <c r="BB75" s="15"/>
      <c r="BC75" s="15"/>
      <c r="BD75" s="15"/>
      <c r="BE75" s="18" t="s">
        <v>259</v>
      </c>
    </row>
    <row r="76" spans="1:57" ht="31.5">
      <c r="A76" s="13" t="s">
        <v>260</v>
      </c>
      <c r="B76" s="13" t="s">
        <v>251</v>
      </c>
      <c r="C76" s="14">
        <v>44599</v>
      </c>
      <c r="D76" s="15" t="s">
        <v>261</v>
      </c>
      <c r="E76" s="15" t="s">
        <v>262</v>
      </c>
      <c r="F76" s="16">
        <v>0.32291666666666669</v>
      </c>
      <c r="G76" s="15" t="s">
        <v>68</v>
      </c>
      <c r="H76" s="15" t="s">
        <v>69</v>
      </c>
      <c r="I76" s="15" t="s">
        <v>118</v>
      </c>
      <c r="J76" s="15" t="s">
        <v>71</v>
      </c>
      <c r="K76" s="15"/>
      <c r="L76" s="15"/>
      <c r="M76" s="15">
        <v>4</v>
      </c>
      <c r="N76" s="15"/>
      <c r="O76" s="15"/>
      <c r="P76" s="15"/>
      <c r="Q76" s="15"/>
      <c r="R76" s="15"/>
      <c r="S76" s="15"/>
      <c r="T76" s="15"/>
      <c r="U76" s="15"/>
      <c r="V76" s="15"/>
      <c r="W76" s="15"/>
      <c r="X76" s="15"/>
      <c r="Y76" s="15"/>
      <c r="Z76" s="15">
        <v>15</v>
      </c>
      <c r="AA76" s="15">
        <v>239</v>
      </c>
      <c r="AB76" s="15"/>
      <c r="AC76" s="15"/>
      <c r="AD76" s="15">
        <v>12</v>
      </c>
      <c r="AE76" s="15"/>
      <c r="AF76" s="15"/>
      <c r="AG76" s="15"/>
      <c r="AH76" s="15">
        <v>27</v>
      </c>
      <c r="AI76" s="15"/>
      <c r="AJ76" s="15"/>
      <c r="AK76" s="15"/>
      <c r="AL76" s="15"/>
      <c r="AM76" s="15"/>
      <c r="AN76" s="15">
        <v>150</v>
      </c>
      <c r="AO76" s="15"/>
      <c r="AP76" s="15">
        <v>4</v>
      </c>
      <c r="AQ76" s="15"/>
      <c r="AR76" s="15"/>
      <c r="AS76" s="15"/>
      <c r="AT76" s="15">
        <v>1</v>
      </c>
      <c r="AU76" s="15"/>
      <c r="AV76" s="15"/>
      <c r="AW76" s="15">
        <v>9</v>
      </c>
      <c r="AX76" s="15">
        <v>1</v>
      </c>
      <c r="AY76" s="15"/>
      <c r="AZ76" s="15"/>
      <c r="BA76" s="15"/>
      <c r="BB76" s="15"/>
      <c r="BC76" s="15"/>
      <c r="BD76" s="15"/>
      <c r="BE76" s="18"/>
    </row>
    <row r="77" spans="1:57">
      <c r="A77" s="13" t="s">
        <v>263</v>
      </c>
      <c r="B77" s="13" t="s">
        <v>251</v>
      </c>
      <c r="C77" s="14"/>
      <c r="D77" s="15" t="s">
        <v>252</v>
      </c>
      <c r="F77" s="16"/>
      <c r="G77" s="17"/>
      <c r="H77" s="17"/>
      <c r="I77" s="17"/>
      <c r="J77" s="15" t="s">
        <v>71</v>
      </c>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8"/>
    </row>
    <row r="78" spans="1:57">
      <c r="A78" s="13" t="s">
        <v>264</v>
      </c>
      <c r="B78" s="13" t="s">
        <v>251</v>
      </c>
      <c r="C78" s="38"/>
      <c r="D78" s="15" t="s">
        <v>252</v>
      </c>
      <c r="F78" s="33"/>
      <c r="G78" s="17"/>
      <c r="H78" s="17"/>
      <c r="I78" s="17"/>
      <c r="J78" s="15" t="s">
        <v>71</v>
      </c>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9"/>
    </row>
    <row r="79" spans="1:57">
      <c r="A79" s="13" t="s">
        <v>265</v>
      </c>
      <c r="B79" s="13" t="s">
        <v>251</v>
      </c>
      <c r="C79" s="38"/>
      <c r="D79" s="15" t="s">
        <v>252</v>
      </c>
      <c r="F79" s="33"/>
      <c r="G79" s="17"/>
      <c r="H79" s="17"/>
      <c r="I79" s="17"/>
      <c r="J79" s="15" t="s">
        <v>71</v>
      </c>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9"/>
    </row>
    <row r="80" spans="1:57" ht="31.5">
      <c r="A80" s="29" t="s">
        <v>266</v>
      </c>
      <c r="B80" s="24" t="s">
        <v>251</v>
      </c>
      <c r="C80" s="14">
        <v>44600</v>
      </c>
      <c r="D80" s="15" t="s">
        <v>76</v>
      </c>
      <c r="E80" s="39" t="s">
        <v>77</v>
      </c>
      <c r="F80" s="16">
        <v>0.39583333333333331</v>
      </c>
      <c r="G80" s="15" t="s">
        <v>78</v>
      </c>
      <c r="H80" s="15" t="s">
        <v>127</v>
      </c>
      <c r="I80" s="15" t="s">
        <v>70</v>
      </c>
      <c r="J80" s="15" t="s">
        <v>71</v>
      </c>
      <c r="K80" s="15"/>
      <c r="L80" s="15"/>
      <c r="M80" s="15">
        <v>2</v>
      </c>
      <c r="N80" s="15"/>
      <c r="O80" s="15"/>
      <c r="P80" s="15"/>
      <c r="Q80" s="15"/>
      <c r="R80" s="15"/>
      <c r="S80" s="15"/>
      <c r="T80" s="15"/>
      <c r="U80" s="15"/>
      <c r="V80" s="15"/>
      <c r="W80" s="15"/>
      <c r="X80" s="15">
        <v>1</v>
      </c>
      <c r="Y80" s="15"/>
      <c r="Z80" s="15">
        <v>3</v>
      </c>
      <c r="AA80" s="15">
        <v>59</v>
      </c>
      <c r="AB80" s="15"/>
      <c r="AC80" s="15"/>
      <c r="AD80" s="15">
        <v>14</v>
      </c>
      <c r="AE80" s="15"/>
      <c r="AF80" s="15"/>
      <c r="AG80" s="15"/>
      <c r="AH80" s="15">
        <v>13</v>
      </c>
      <c r="AI80" s="15"/>
      <c r="AJ80" s="15"/>
      <c r="AK80" s="15"/>
      <c r="AL80" s="15"/>
      <c r="AM80" s="15">
        <v>14</v>
      </c>
      <c r="AN80" s="15">
        <v>30</v>
      </c>
      <c r="AO80" s="15"/>
      <c r="AP80" s="15">
        <v>2</v>
      </c>
      <c r="AQ80" s="15"/>
      <c r="AR80" s="15"/>
      <c r="AS80" s="15"/>
      <c r="AT80" s="15">
        <v>19</v>
      </c>
      <c r="AU80" s="15"/>
      <c r="AV80" s="15"/>
      <c r="AW80" s="15">
        <v>4</v>
      </c>
      <c r="AX80" s="15">
        <v>12</v>
      </c>
      <c r="AY80" s="15"/>
      <c r="AZ80" s="15">
        <v>14</v>
      </c>
      <c r="BA80" s="15">
        <v>4</v>
      </c>
      <c r="BB80" s="15"/>
      <c r="BC80" s="15"/>
      <c r="BD80" s="15"/>
      <c r="BE80" s="18"/>
    </row>
    <row r="81" spans="1:57">
      <c r="A81" s="20" t="s">
        <v>267</v>
      </c>
      <c r="B81" s="13" t="s">
        <v>268</v>
      </c>
      <c r="C81" s="40">
        <v>44596</v>
      </c>
      <c r="D81" s="39" t="s">
        <v>76</v>
      </c>
      <c r="E81" s="39" t="s">
        <v>77</v>
      </c>
      <c r="F81" s="41">
        <v>0.52361111111111114</v>
      </c>
      <c r="G81" s="39" t="s">
        <v>68</v>
      </c>
      <c r="H81" s="39" t="s">
        <v>127</v>
      </c>
      <c r="I81" s="39" t="s">
        <v>70</v>
      </c>
      <c r="J81" s="39" t="s">
        <v>71</v>
      </c>
      <c r="K81" s="15"/>
      <c r="L81" s="15"/>
      <c r="M81" s="15"/>
      <c r="N81" s="15"/>
      <c r="O81" s="15"/>
      <c r="P81" s="15"/>
      <c r="Q81" s="15"/>
      <c r="R81" s="15"/>
      <c r="S81" s="15"/>
      <c r="T81" s="15"/>
      <c r="U81" s="15"/>
      <c r="V81" s="15"/>
      <c r="W81" s="15"/>
      <c r="X81" s="15"/>
      <c r="Y81" s="15"/>
      <c r="Z81" s="15"/>
      <c r="AA81" s="15">
        <v>17</v>
      </c>
      <c r="AB81" s="15"/>
      <c r="AC81" s="15"/>
      <c r="AD81" s="15"/>
      <c r="AE81" s="15"/>
      <c r="AF81" s="15"/>
      <c r="AG81" s="15"/>
      <c r="AH81" s="15"/>
      <c r="AI81" s="15"/>
      <c r="AJ81" s="15"/>
      <c r="AK81" s="15"/>
      <c r="AL81" s="15"/>
      <c r="AM81" s="15"/>
      <c r="AN81" s="15"/>
      <c r="AO81" s="15"/>
      <c r="AP81" s="15"/>
      <c r="AQ81" s="15"/>
      <c r="AR81" s="15"/>
      <c r="AS81" s="15">
        <v>1</v>
      </c>
      <c r="AT81" s="15"/>
      <c r="AU81" s="15"/>
      <c r="AV81" s="15"/>
      <c r="AW81" s="15"/>
      <c r="AX81" s="15"/>
      <c r="AY81" s="15"/>
      <c r="AZ81" s="15"/>
      <c r="BA81" s="15">
        <v>1</v>
      </c>
      <c r="BB81" s="15"/>
      <c r="BC81" s="15"/>
      <c r="BD81" s="15"/>
      <c r="BE81" s="18"/>
    </row>
    <row r="82" spans="1:57">
      <c r="A82" s="20" t="s">
        <v>269</v>
      </c>
      <c r="B82" s="13" t="s">
        <v>268</v>
      </c>
      <c r="C82" s="14">
        <v>44599</v>
      </c>
      <c r="D82" s="39" t="s">
        <v>76</v>
      </c>
      <c r="E82" s="39" t="s">
        <v>77</v>
      </c>
      <c r="F82" s="41">
        <v>0.30833333333333335</v>
      </c>
      <c r="G82" s="42" t="s">
        <v>68</v>
      </c>
      <c r="H82" s="42" t="s">
        <v>127</v>
      </c>
      <c r="I82" s="42" t="s">
        <v>70</v>
      </c>
      <c r="J82" s="42" t="s">
        <v>71</v>
      </c>
      <c r="K82" s="15"/>
      <c r="L82" s="15"/>
      <c r="M82" s="15"/>
      <c r="N82" s="15"/>
      <c r="O82" s="15"/>
      <c r="P82" s="15"/>
      <c r="Q82" s="15"/>
      <c r="R82" s="15"/>
      <c r="S82" s="15"/>
      <c r="T82" s="15"/>
      <c r="U82" s="15"/>
      <c r="V82" s="15"/>
      <c r="W82" s="15"/>
      <c r="X82" s="15"/>
      <c r="Y82" s="15"/>
      <c r="Z82" s="15"/>
      <c r="AA82" s="15">
        <v>20</v>
      </c>
      <c r="AB82" s="15"/>
      <c r="AC82" s="15"/>
      <c r="AD82" s="15"/>
      <c r="AE82" s="15"/>
      <c r="AF82" s="15"/>
      <c r="AG82" s="15"/>
      <c r="AH82" s="15">
        <v>2</v>
      </c>
      <c r="AI82" s="15"/>
      <c r="AJ82" s="15"/>
      <c r="AK82" s="15"/>
      <c r="AL82" s="15"/>
      <c r="AM82" s="15"/>
      <c r="AN82" s="15">
        <v>1</v>
      </c>
      <c r="AO82" s="15"/>
      <c r="AP82" s="15"/>
      <c r="AQ82" s="15"/>
      <c r="AR82" s="15"/>
      <c r="AS82" s="15"/>
      <c r="AT82" s="15"/>
      <c r="AU82" s="15"/>
      <c r="AV82" s="15"/>
      <c r="AW82" s="15"/>
      <c r="AX82" s="15">
        <v>1</v>
      </c>
      <c r="AY82" s="15"/>
      <c r="AZ82" s="15">
        <v>1</v>
      </c>
      <c r="BA82" s="15"/>
      <c r="BB82" s="15"/>
      <c r="BC82" s="15"/>
      <c r="BD82" s="15"/>
      <c r="BE82" s="19"/>
    </row>
    <row r="83" spans="1:57">
      <c r="A83" s="20" t="s">
        <v>270</v>
      </c>
      <c r="B83" s="13" t="s">
        <v>268</v>
      </c>
      <c r="C83" s="14">
        <v>44599</v>
      </c>
      <c r="D83" s="39" t="s">
        <v>76</v>
      </c>
      <c r="E83" s="39" t="s">
        <v>77</v>
      </c>
      <c r="F83" s="16">
        <v>0.33819444444444446</v>
      </c>
      <c r="G83" s="42" t="s">
        <v>68</v>
      </c>
      <c r="H83" s="42" t="s">
        <v>69</v>
      </c>
      <c r="I83" s="42" t="s">
        <v>118</v>
      </c>
      <c r="J83" s="42" t="s">
        <v>71</v>
      </c>
      <c r="K83" s="15"/>
      <c r="L83" s="15"/>
      <c r="M83" s="15"/>
      <c r="N83" s="15"/>
      <c r="O83" s="15"/>
      <c r="P83" s="15"/>
      <c r="Q83" s="15"/>
      <c r="R83" s="15"/>
      <c r="S83" s="15"/>
      <c r="T83" s="15"/>
      <c r="U83" s="15"/>
      <c r="V83" s="15"/>
      <c r="W83" s="15"/>
      <c r="X83" s="15"/>
      <c r="Y83" s="15"/>
      <c r="Z83" s="15"/>
      <c r="AA83" s="15">
        <v>1</v>
      </c>
      <c r="AB83" s="15"/>
      <c r="AC83" s="15"/>
      <c r="AD83" s="15">
        <v>2</v>
      </c>
      <c r="AE83" s="15"/>
      <c r="AF83" s="15"/>
      <c r="AG83" s="15"/>
      <c r="AH83" s="15"/>
      <c r="AI83" s="15"/>
      <c r="AJ83" s="15"/>
      <c r="AK83" s="15"/>
      <c r="AL83" s="15"/>
      <c r="AM83" s="15"/>
      <c r="AN83" s="15"/>
      <c r="AO83" s="15"/>
      <c r="AP83" s="15">
        <v>3</v>
      </c>
      <c r="AQ83" s="15"/>
      <c r="AR83" s="15"/>
      <c r="AS83" s="15"/>
      <c r="AT83" s="15"/>
      <c r="AU83" s="15"/>
      <c r="AV83" s="15"/>
      <c r="AW83" s="15"/>
      <c r="AX83" s="15"/>
      <c r="AY83" s="15"/>
      <c r="AZ83" s="15"/>
      <c r="BA83" s="15">
        <v>1</v>
      </c>
      <c r="BB83" s="15"/>
      <c r="BC83" s="15"/>
      <c r="BD83" s="15"/>
      <c r="BE83" s="19"/>
    </row>
    <row r="84" spans="1:57">
      <c r="A84" s="13" t="s">
        <v>271</v>
      </c>
      <c r="B84" s="13" t="s">
        <v>272</v>
      </c>
      <c r="C84" s="14"/>
      <c r="F84" s="33"/>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8"/>
    </row>
    <row r="85" spans="1:57" ht="31.5">
      <c r="A85" s="13" t="s">
        <v>273</v>
      </c>
      <c r="B85" s="13" t="s">
        <v>272</v>
      </c>
      <c r="C85" s="14"/>
      <c r="F85" s="16"/>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8"/>
    </row>
    <row r="86" spans="1:57" ht="31.5">
      <c r="A86" s="13" t="s">
        <v>274</v>
      </c>
      <c r="B86" s="13" t="s">
        <v>272</v>
      </c>
      <c r="C86" s="43">
        <v>44602</v>
      </c>
      <c r="D86" s="15" t="s">
        <v>275</v>
      </c>
      <c r="E86" s="15" t="s">
        <v>276</v>
      </c>
      <c r="F86" s="26">
        <v>0.60416666666666663</v>
      </c>
      <c r="G86" s="17"/>
      <c r="H86" s="17"/>
      <c r="I86" s="15" t="s">
        <v>70</v>
      </c>
      <c r="J86" s="15" t="s">
        <v>71</v>
      </c>
      <c r="K86" s="15">
        <v>1</v>
      </c>
      <c r="AA86" s="15">
        <v>18</v>
      </c>
      <c r="AH86" s="15">
        <v>12</v>
      </c>
      <c r="AT86" s="15">
        <v>14</v>
      </c>
      <c r="AZ86" s="15">
        <v>7</v>
      </c>
      <c r="BA86" s="15">
        <v>1</v>
      </c>
      <c r="BE86" s="18" t="s">
        <v>277</v>
      </c>
    </row>
    <row r="87" spans="1:57" ht="31.5">
      <c r="A87" s="20" t="s">
        <v>278</v>
      </c>
      <c r="B87" s="24" t="s">
        <v>272</v>
      </c>
      <c r="C87" s="43">
        <v>44601</v>
      </c>
      <c r="D87" s="15" t="s">
        <v>275</v>
      </c>
      <c r="E87" s="15" t="s">
        <v>276</v>
      </c>
      <c r="F87" s="26">
        <v>0.64583333333333337</v>
      </c>
      <c r="G87" s="17"/>
      <c r="H87" s="17"/>
      <c r="I87" s="15" t="s">
        <v>70</v>
      </c>
      <c r="J87" s="15" t="s">
        <v>71</v>
      </c>
      <c r="AA87" s="15">
        <v>10</v>
      </c>
      <c r="AP87" s="15">
        <v>2</v>
      </c>
      <c r="AT87" s="15">
        <v>1</v>
      </c>
      <c r="BE87" s="18" t="s">
        <v>279</v>
      </c>
    </row>
    <row r="88" spans="1:57" ht="31.5">
      <c r="A88" s="13" t="s">
        <v>280</v>
      </c>
      <c r="B88" s="13" t="s">
        <v>272</v>
      </c>
      <c r="C88" s="14"/>
      <c r="F88" s="16"/>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8"/>
    </row>
    <row r="89" spans="1:57">
      <c r="A89" s="29" t="s">
        <v>281</v>
      </c>
      <c r="B89" s="13" t="s">
        <v>282</v>
      </c>
      <c r="C89" s="14">
        <v>44601</v>
      </c>
      <c r="D89" s="15" t="s">
        <v>283</v>
      </c>
      <c r="E89" s="15" t="s">
        <v>82</v>
      </c>
      <c r="F89" s="21">
        <v>0.58125000000000004</v>
      </c>
      <c r="G89" s="15" t="s">
        <v>78</v>
      </c>
      <c r="H89" s="15" t="s">
        <v>69</v>
      </c>
      <c r="I89" s="15" t="s">
        <v>70</v>
      </c>
      <c r="J89" s="15" t="s">
        <v>71</v>
      </c>
      <c r="K89" s="15">
        <v>4</v>
      </c>
      <c r="L89" s="15"/>
      <c r="M89" s="15">
        <v>4</v>
      </c>
      <c r="N89" s="15">
        <v>2</v>
      </c>
      <c r="O89" s="15">
        <v>1</v>
      </c>
      <c r="P89" s="15"/>
      <c r="Q89" s="15"/>
      <c r="R89" s="15"/>
      <c r="S89" s="15"/>
      <c r="T89" s="15"/>
      <c r="U89" s="15"/>
      <c r="V89" s="15"/>
      <c r="W89" s="15"/>
      <c r="X89" s="15"/>
      <c r="Y89" s="15"/>
      <c r="Z89" s="15">
        <v>7</v>
      </c>
      <c r="AA89" s="15"/>
      <c r="AB89" s="15">
        <v>1</v>
      </c>
      <c r="AC89" s="15"/>
      <c r="AD89" s="15"/>
      <c r="AE89" s="15"/>
      <c r="AF89" s="15"/>
      <c r="AG89" s="15"/>
      <c r="AH89" s="15">
        <v>2</v>
      </c>
      <c r="AI89" s="15"/>
      <c r="AJ89" s="15"/>
      <c r="AK89" s="15"/>
      <c r="AL89" s="15"/>
      <c r="AM89" s="15"/>
      <c r="AN89" s="15"/>
      <c r="AO89" s="15"/>
      <c r="AP89" s="15">
        <v>2</v>
      </c>
      <c r="AQ89" s="15">
        <v>1</v>
      </c>
      <c r="AR89" s="15"/>
      <c r="AS89" s="15"/>
      <c r="AT89" s="15">
        <v>2</v>
      </c>
      <c r="AU89" s="15"/>
      <c r="AV89" s="15"/>
      <c r="AW89" s="15"/>
      <c r="AX89" s="15">
        <v>1</v>
      </c>
      <c r="AY89" s="15"/>
      <c r="AZ89" s="15">
        <v>11</v>
      </c>
      <c r="BA89" s="15">
        <v>2</v>
      </c>
      <c r="BB89" s="15"/>
      <c r="BC89" s="15"/>
      <c r="BD89" s="15"/>
      <c r="BE89" s="18"/>
    </row>
    <row r="90" spans="1:57">
      <c r="A90" s="29" t="s">
        <v>284</v>
      </c>
      <c r="B90" s="13" t="s">
        <v>282</v>
      </c>
      <c r="C90" s="14">
        <v>44601</v>
      </c>
      <c r="D90" s="15" t="s">
        <v>283</v>
      </c>
      <c r="E90" s="15" t="s">
        <v>82</v>
      </c>
      <c r="F90" s="16">
        <v>0.62986111111111109</v>
      </c>
      <c r="G90" s="15" t="s">
        <v>78</v>
      </c>
      <c r="H90" s="15" t="s">
        <v>69</v>
      </c>
      <c r="I90" s="15" t="s">
        <v>70</v>
      </c>
      <c r="J90" s="15" t="s">
        <v>71</v>
      </c>
      <c r="K90" s="15">
        <v>2</v>
      </c>
      <c r="L90" s="15"/>
      <c r="M90" s="15"/>
      <c r="N90" s="15"/>
      <c r="O90" s="15"/>
      <c r="P90" s="15"/>
      <c r="Q90" s="15"/>
      <c r="R90" s="15"/>
      <c r="S90" s="15"/>
      <c r="T90" s="15"/>
      <c r="U90" s="15"/>
      <c r="V90" s="15"/>
      <c r="W90" s="15"/>
      <c r="X90" s="15"/>
      <c r="Y90" s="15"/>
      <c r="Z90" s="15">
        <v>1</v>
      </c>
      <c r="AA90" s="15"/>
      <c r="AB90" s="15"/>
      <c r="AC90" s="15"/>
      <c r="AD90" s="15"/>
      <c r="AE90" s="15"/>
      <c r="AF90" s="15"/>
      <c r="AG90" s="15"/>
      <c r="AH90" s="15">
        <v>3</v>
      </c>
      <c r="AI90" s="15"/>
      <c r="AJ90" s="15"/>
      <c r="AK90" s="15"/>
      <c r="AL90" s="15"/>
      <c r="AM90" s="15"/>
      <c r="AN90" s="15"/>
      <c r="AO90" s="15"/>
      <c r="AP90" s="15"/>
      <c r="AQ90" s="15"/>
      <c r="AR90" s="15"/>
      <c r="AS90" s="15"/>
      <c r="AT90" s="15"/>
      <c r="AU90" s="15"/>
      <c r="AV90" s="15"/>
      <c r="AW90" s="15"/>
      <c r="AX90" s="15"/>
      <c r="AY90" s="15"/>
      <c r="AZ90" s="15">
        <v>32</v>
      </c>
      <c r="BA90" s="15"/>
      <c r="BB90" s="15"/>
      <c r="BC90" s="15"/>
      <c r="BD90" s="15"/>
      <c r="BE90" s="18"/>
    </row>
    <row r="91" spans="1:57">
      <c r="A91" s="13" t="s">
        <v>285</v>
      </c>
      <c r="B91" s="13" t="s">
        <v>282</v>
      </c>
      <c r="C91" s="14">
        <v>44601</v>
      </c>
      <c r="D91" s="15" t="s">
        <v>286</v>
      </c>
      <c r="E91" s="15" t="s">
        <v>287</v>
      </c>
      <c r="F91" s="16">
        <v>0.58194444444444449</v>
      </c>
      <c r="G91" s="15" t="s">
        <v>78</v>
      </c>
      <c r="H91" s="15" t="s">
        <v>69</v>
      </c>
      <c r="I91" s="15" t="s">
        <v>70</v>
      </c>
      <c r="J91" s="15" t="s">
        <v>71</v>
      </c>
      <c r="K91" s="17"/>
      <c r="L91" s="17"/>
      <c r="M91" s="15">
        <v>27</v>
      </c>
      <c r="N91" s="15">
        <v>163</v>
      </c>
      <c r="O91" s="15">
        <v>4</v>
      </c>
      <c r="P91" s="15"/>
      <c r="Q91" s="15"/>
      <c r="R91" s="15">
        <v>1</v>
      </c>
      <c r="S91" s="15"/>
      <c r="T91" s="15"/>
      <c r="U91" s="15">
        <v>25</v>
      </c>
      <c r="V91" s="15"/>
      <c r="W91" s="15">
        <v>22</v>
      </c>
      <c r="X91" s="15">
        <v>35</v>
      </c>
      <c r="Y91" s="15">
        <v>111</v>
      </c>
      <c r="Z91" s="15">
        <v>17</v>
      </c>
      <c r="AA91" s="15">
        <v>300</v>
      </c>
      <c r="AB91" s="15">
        <v>15</v>
      </c>
      <c r="AC91" s="15"/>
      <c r="AD91" s="15">
        <v>8</v>
      </c>
      <c r="AE91" s="15"/>
      <c r="AF91" s="15">
        <v>3</v>
      </c>
      <c r="AG91" s="15"/>
      <c r="AH91" s="15">
        <v>101</v>
      </c>
      <c r="AI91" s="15"/>
      <c r="AJ91" s="15"/>
      <c r="AK91" s="15"/>
      <c r="AL91" s="15"/>
      <c r="AM91" s="15">
        <v>49</v>
      </c>
      <c r="AN91" s="15">
        <v>5</v>
      </c>
      <c r="AO91" s="15"/>
      <c r="AP91" s="15">
        <v>1</v>
      </c>
      <c r="AQ91" s="15"/>
      <c r="AR91" s="15"/>
      <c r="AS91" s="15"/>
      <c r="AT91" s="15">
        <v>21</v>
      </c>
      <c r="AU91" s="15"/>
      <c r="AV91" s="15"/>
      <c r="AW91" s="15">
        <v>1</v>
      </c>
      <c r="AX91" s="15">
        <v>1</v>
      </c>
      <c r="AY91" s="15"/>
      <c r="AZ91" s="15">
        <v>95</v>
      </c>
      <c r="BA91" s="15"/>
      <c r="BB91" s="15"/>
      <c r="BC91" s="15"/>
      <c r="BD91" s="15"/>
      <c r="BE91" s="18" t="s">
        <v>288</v>
      </c>
    </row>
    <row r="92" spans="1:57">
      <c r="A92" s="13" t="s">
        <v>289</v>
      </c>
      <c r="B92" s="13" t="s">
        <v>282</v>
      </c>
      <c r="C92" s="14">
        <v>44601</v>
      </c>
      <c r="D92" s="15" t="s">
        <v>286</v>
      </c>
      <c r="E92" s="15" t="s">
        <v>287</v>
      </c>
      <c r="F92" s="16">
        <v>0.41319444444444442</v>
      </c>
      <c r="G92" s="15" t="s">
        <v>68</v>
      </c>
      <c r="H92" s="15" t="s">
        <v>69</v>
      </c>
      <c r="I92" s="15" t="s">
        <v>70</v>
      </c>
      <c r="J92" s="15" t="s">
        <v>71</v>
      </c>
      <c r="K92" s="15"/>
      <c r="L92" s="15"/>
      <c r="M92" s="15">
        <v>1</v>
      </c>
      <c r="N92" s="15">
        <v>4</v>
      </c>
      <c r="O92" s="15"/>
      <c r="P92" s="15"/>
      <c r="Q92" s="15"/>
      <c r="R92" s="15"/>
      <c r="S92" s="15"/>
      <c r="T92" s="15"/>
      <c r="U92" s="15"/>
      <c r="V92" s="15"/>
      <c r="W92" s="15"/>
      <c r="X92" s="15"/>
      <c r="Y92" s="15"/>
      <c r="Z92" s="15">
        <v>1</v>
      </c>
      <c r="AA92" s="15">
        <v>102</v>
      </c>
      <c r="AB92" s="15"/>
      <c r="AC92" s="15"/>
      <c r="AD92" s="15"/>
      <c r="AE92" s="15"/>
      <c r="AF92" s="15"/>
      <c r="AG92" s="15"/>
      <c r="AH92" s="15">
        <v>26</v>
      </c>
      <c r="AI92" s="15"/>
      <c r="AJ92" s="15"/>
      <c r="AK92" s="15"/>
      <c r="AL92" s="15"/>
      <c r="AM92" s="15"/>
      <c r="AN92" s="15">
        <v>4</v>
      </c>
      <c r="AO92" s="15"/>
      <c r="AP92" s="15"/>
      <c r="AQ92" s="15"/>
      <c r="AR92" s="15"/>
      <c r="AS92" s="15"/>
      <c r="AT92" s="15">
        <v>44</v>
      </c>
      <c r="AU92" s="15"/>
      <c r="AV92" s="15"/>
      <c r="AW92" s="15">
        <v>3</v>
      </c>
      <c r="AX92" s="15">
        <v>28</v>
      </c>
      <c r="AY92" s="15"/>
      <c r="AZ92" s="15">
        <v>36</v>
      </c>
      <c r="BA92" s="15">
        <v>25</v>
      </c>
      <c r="BB92" s="15"/>
      <c r="BC92" s="15"/>
      <c r="BD92" s="15"/>
      <c r="BE92" s="18" t="s">
        <v>290</v>
      </c>
    </row>
    <row r="93" spans="1:57" ht="26.25">
      <c r="A93" s="24" t="s">
        <v>291</v>
      </c>
      <c r="B93" s="24" t="s">
        <v>282</v>
      </c>
      <c r="C93" s="14">
        <v>44601</v>
      </c>
      <c r="D93" s="15" t="s">
        <v>286</v>
      </c>
      <c r="E93" s="15" t="s">
        <v>287</v>
      </c>
      <c r="F93" s="16"/>
      <c r="G93" s="17"/>
      <c r="H93" s="17"/>
      <c r="I93" s="17"/>
      <c r="J93" s="15" t="s">
        <v>128</v>
      </c>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8" t="s">
        <v>292</v>
      </c>
    </row>
    <row r="94" spans="1:57">
      <c r="A94" s="13" t="s">
        <v>293</v>
      </c>
      <c r="B94" s="13" t="s">
        <v>282</v>
      </c>
      <c r="C94" s="14">
        <v>44601</v>
      </c>
      <c r="D94" s="15" t="s">
        <v>286</v>
      </c>
      <c r="E94" s="15" t="s">
        <v>287</v>
      </c>
      <c r="F94" s="16">
        <v>0.47569444444444442</v>
      </c>
      <c r="G94" s="15" t="s">
        <v>78</v>
      </c>
      <c r="H94" s="15" t="s">
        <v>69</v>
      </c>
      <c r="I94" s="15" t="s">
        <v>70</v>
      </c>
      <c r="J94" s="15" t="s">
        <v>71</v>
      </c>
      <c r="K94" s="15">
        <v>6</v>
      </c>
      <c r="L94" s="15"/>
      <c r="M94" s="15">
        <v>1</v>
      </c>
      <c r="N94" s="15"/>
      <c r="O94" s="15"/>
      <c r="P94" s="15"/>
      <c r="Q94" s="15"/>
      <c r="R94" s="15"/>
      <c r="S94" s="15"/>
      <c r="T94" s="15"/>
      <c r="U94" s="15"/>
      <c r="V94" s="15"/>
      <c r="W94" s="15"/>
      <c r="X94" s="15">
        <v>1</v>
      </c>
      <c r="Y94" s="15"/>
      <c r="Z94" s="15">
        <v>6</v>
      </c>
      <c r="AA94" s="15">
        <v>9</v>
      </c>
      <c r="AB94" s="15">
        <v>6</v>
      </c>
      <c r="AC94" s="15"/>
      <c r="AD94" s="15"/>
      <c r="AE94" s="15">
        <v>4</v>
      </c>
      <c r="AF94" s="15"/>
      <c r="AG94" s="15"/>
      <c r="AH94" s="15">
        <v>1</v>
      </c>
      <c r="AI94" s="15"/>
      <c r="AJ94" s="15"/>
      <c r="AK94" s="15"/>
      <c r="AL94" s="15"/>
      <c r="AM94" s="15"/>
      <c r="AN94" s="15">
        <v>2</v>
      </c>
      <c r="AO94" s="15"/>
      <c r="AP94" s="15">
        <v>6</v>
      </c>
      <c r="AQ94" s="15"/>
      <c r="AR94" s="15"/>
      <c r="AS94" s="15">
        <v>5</v>
      </c>
      <c r="AT94" s="15"/>
      <c r="AU94" s="15"/>
      <c r="AV94" s="15"/>
      <c r="AW94" s="15"/>
      <c r="AX94" s="15">
        <v>1</v>
      </c>
      <c r="AY94" s="15"/>
      <c r="AZ94" s="15">
        <v>12</v>
      </c>
      <c r="BA94" s="15">
        <v>16</v>
      </c>
      <c r="BB94" s="15"/>
      <c r="BC94" s="15"/>
      <c r="BD94" s="15"/>
      <c r="BE94" s="18" t="s">
        <v>294</v>
      </c>
    </row>
    <row r="95" spans="1:57">
      <c r="A95" s="13" t="s">
        <v>295</v>
      </c>
      <c r="B95" s="13" t="s">
        <v>282</v>
      </c>
      <c r="C95" s="14">
        <v>44600</v>
      </c>
      <c r="D95" s="15" t="s">
        <v>296</v>
      </c>
      <c r="E95" s="15" t="s">
        <v>82</v>
      </c>
      <c r="F95" s="16">
        <v>0.66319444444444442</v>
      </c>
      <c r="G95" s="17"/>
      <c r="H95" s="15" t="s">
        <v>69</v>
      </c>
      <c r="I95" s="15" t="s">
        <v>70</v>
      </c>
      <c r="J95" s="15" t="s">
        <v>71</v>
      </c>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v>5</v>
      </c>
      <c r="AQ95" s="15"/>
      <c r="AR95" s="15"/>
      <c r="AS95" s="15">
        <v>7</v>
      </c>
      <c r="AT95" s="15"/>
      <c r="AU95" s="15"/>
      <c r="AV95" s="15"/>
      <c r="AW95" s="15"/>
      <c r="AX95" s="15"/>
      <c r="AY95" s="15"/>
      <c r="AZ95" s="15">
        <v>2</v>
      </c>
      <c r="BA95" s="15"/>
      <c r="BB95" s="15"/>
      <c r="BC95" s="15"/>
      <c r="BD95" s="15"/>
      <c r="BE95" s="18"/>
    </row>
    <row r="96" spans="1:57">
      <c r="A96" s="13" t="s">
        <v>297</v>
      </c>
      <c r="B96" s="13" t="s">
        <v>282</v>
      </c>
      <c r="C96" s="14">
        <v>44600</v>
      </c>
      <c r="D96" s="15" t="s">
        <v>66</v>
      </c>
      <c r="E96" s="15" t="s">
        <v>298</v>
      </c>
      <c r="F96" s="16">
        <v>0.43541666666666667</v>
      </c>
      <c r="G96" s="15" t="s">
        <v>68</v>
      </c>
      <c r="H96" s="15" t="s">
        <v>69</v>
      </c>
      <c r="I96" s="15" t="s">
        <v>70</v>
      </c>
      <c r="J96" s="15" t="s">
        <v>71</v>
      </c>
      <c r="K96" s="15"/>
      <c r="L96" s="15"/>
      <c r="M96" s="15"/>
      <c r="N96" s="15"/>
      <c r="O96" s="15"/>
      <c r="P96" s="15"/>
      <c r="Q96" s="15"/>
      <c r="R96" s="15"/>
      <c r="S96" s="15"/>
      <c r="T96" s="15"/>
      <c r="U96" s="15"/>
      <c r="V96" s="15"/>
      <c r="W96" s="15"/>
      <c r="X96" s="15"/>
      <c r="Y96" s="15"/>
      <c r="Z96" s="15"/>
      <c r="AA96" s="15"/>
      <c r="AB96" s="15"/>
      <c r="AC96" s="15"/>
      <c r="AD96" s="15"/>
      <c r="AE96" s="15">
        <v>2</v>
      </c>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8"/>
    </row>
    <row r="97" spans="1:57">
      <c r="A97" s="13" t="s">
        <v>299</v>
      </c>
      <c r="B97" s="13" t="s">
        <v>282</v>
      </c>
      <c r="C97" s="14"/>
      <c r="D97" s="15" t="s">
        <v>300</v>
      </c>
      <c r="F97" s="16"/>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8" t="s">
        <v>301</v>
      </c>
    </row>
    <row r="98" spans="1:57">
      <c r="A98" s="13" t="s">
        <v>302</v>
      </c>
      <c r="B98" s="13" t="s">
        <v>282</v>
      </c>
      <c r="C98" s="14">
        <v>44601</v>
      </c>
      <c r="D98" s="15" t="s">
        <v>303</v>
      </c>
      <c r="E98" s="15" t="s">
        <v>304</v>
      </c>
      <c r="F98" s="16">
        <v>0.47916666666666669</v>
      </c>
      <c r="G98" s="15" t="s">
        <v>78</v>
      </c>
      <c r="H98" s="15" t="s">
        <v>69</v>
      </c>
      <c r="I98" s="15" t="s">
        <v>70</v>
      </c>
      <c r="J98" s="15" t="s">
        <v>71</v>
      </c>
      <c r="K98" s="15">
        <v>5</v>
      </c>
      <c r="L98" s="15"/>
      <c r="M98" s="15">
        <v>3</v>
      </c>
      <c r="N98" s="15"/>
      <c r="O98" s="15"/>
      <c r="P98" s="15"/>
      <c r="Q98" s="15"/>
      <c r="R98" s="15"/>
      <c r="S98" s="15"/>
      <c r="T98" s="15"/>
      <c r="U98" s="15">
        <v>24</v>
      </c>
      <c r="V98" s="15"/>
      <c r="W98" s="15"/>
      <c r="X98" s="15"/>
      <c r="Y98" s="15"/>
      <c r="Z98" s="15">
        <v>6</v>
      </c>
      <c r="AA98" s="15">
        <v>19</v>
      </c>
      <c r="AB98" s="15"/>
      <c r="AC98" s="15"/>
      <c r="AD98" s="15"/>
      <c r="AE98" s="15"/>
      <c r="AF98" s="15"/>
      <c r="AG98" s="15"/>
      <c r="AH98" s="15">
        <v>6</v>
      </c>
      <c r="AI98" s="15"/>
      <c r="AJ98" s="15"/>
      <c r="AK98" s="15"/>
      <c r="AL98" s="15"/>
      <c r="AM98" s="15"/>
      <c r="AN98" s="15"/>
      <c r="AO98" s="15"/>
      <c r="AP98" s="15"/>
      <c r="AQ98" s="15"/>
      <c r="AR98" s="15"/>
      <c r="AS98" s="15"/>
      <c r="AT98" s="15"/>
      <c r="AU98" s="15"/>
      <c r="AV98" s="15"/>
      <c r="AW98" s="15"/>
      <c r="AX98" s="15"/>
      <c r="AY98" s="15"/>
      <c r="AZ98" s="15">
        <v>71</v>
      </c>
      <c r="BA98" s="15"/>
      <c r="BB98" s="15"/>
      <c r="BC98" s="15"/>
      <c r="BD98" s="15"/>
      <c r="BE98" s="18"/>
    </row>
    <row r="99" spans="1:57">
      <c r="A99" s="13" t="s">
        <v>305</v>
      </c>
      <c r="B99" s="13" t="s">
        <v>282</v>
      </c>
      <c r="C99" s="14">
        <v>44601</v>
      </c>
      <c r="D99" s="15" t="s">
        <v>303</v>
      </c>
      <c r="E99" s="15" t="s">
        <v>304</v>
      </c>
      <c r="F99" s="16">
        <v>0.38541666666666669</v>
      </c>
      <c r="G99" s="15" t="s">
        <v>68</v>
      </c>
      <c r="H99" s="15" t="s">
        <v>127</v>
      </c>
      <c r="I99" s="15" t="s">
        <v>70</v>
      </c>
      <c r="J99" s="15" t="s">
        <v>71</v>
      </c>
      <c r="K99" s="15">
        <v>4</v>
      </c>
      <c r="L99" s="15"/>
      <c r="M99" s="15">
        <v>1</v>
      </c>
      <c r="N99" s="15"/>
      <c r="O99" s="15">
        <v>1</v>
      </c>
      <c r="P99" s="15"/>
      <c r="Q99" s="15"/>
      <c r="R99" s="15"/>
      <c r="S99" s="15"/>
      <c r="T99" s="15"/>
      <c r="U99" s="15"/>
      <c r="V99" s="15"/>
      <c r="W99" s="15"/>
      <c r="X99" s="15">
        <v>1</v>
      </c>
      <c r="Y99" s="15"/>
      <c r="Z99" s="15">
        <v>7</v>
      </c>
      <c r="AA99" s="15"/>
      <c r="AB99" s="15">
        <v>1</v>
      </c>
      <c r="AC99" s="15"/>
      <c r="AD99" s="15"/>
      <c r="AE99" s="15"/>
      <c r="AF99" s="15">
        <v>2</v>
      </c>
      <c r="AG99" s="15"/>
      <c r="AH99" s="15">
        <v>5</v>
      </c>
      <c r="AI99" s="15"/>
      <c r="AJ99" s="15"/>
      <c r="AK99" s="15"/>
      <c r="AL99" s="15"/>
      <c r="AM99" s="15"/>
      <c r="AN99" s="15">
        <v>1</v>
      </c>
      <c r="AO99" s="15"/>
      <c r="AP99" s="15"/>
      <c r="AQ99" s="15"/>
      <c r="AR99" s="15"/>
      <c r="AS99" s="15">
        <v>3</v>
      </c>
      <c r="AT99" s="15">
        <v>30</v>
      </c>
      <c r="AU99" s="15"/>
      <c r="AV99" s="15"/>
      <c r="AW99" s="15">
        <v>2</v>
      </c>
      <c r="AX99" s="15"/>
      <c r="AY99" s="15"/>
      <c r="AZ99" s="15">
        <v>6</v>
      </c>
      <c r="BA99" s="15"/>
      <c r="BB99" s="15"/>
      <c r="BC99" s="15"/>
      <c r="BD99" s="15"/>
      <c r="BE99" s="18"/>
    </row>
    <row r="100" spans="1:57">
      <c r="A100" s="13" t="s">
        <v>164</v>
      </c>
      <c r="B100" s="13" t="s">
        <v>282</v>
      </c>
      <c r="C100" s="14">
        <v>44600</v>
      </c>
      <c r="D100" s="15" t="s">
        <v>296</v>
      </c>
      <c r="E100" s="15" t="s">
        <v>82</v>
      </c>
      <c r="F100" s="16">
        <v>0.60416666666666663</v>
      </c>
      <c r="G100" s="15" t="s">
        <v>68</v>
      </c>
      <c r="H100" s="15" t="s">
        <v>69</v>
      </c>
      <c r="I100" s="15" t="s">
        <v>70</v>
      </c>
      <c r="J100" s="15" t="s">
        <v>71</v>
      </c>
      <c r="K100" s="15"/>
      <c r="L100" s="15"/>
      <c r="M100" s="15">
        <v>11</v>
      </c>
      <c r="N100" s="15">
        <v>30</v>
      </c>
      <c r="O100" s="15"/>
      <c r="P100" s="15"/>
      <c r="Q100" s="15"/>
      <c r="R100" s="15"/>
      <c r="S100" s="15"/>
      <c r="T100" s="15"/>
      <c r="U100" s="15"/>
      <c r="V100" s="15"/>
      <c r="W100" s="15"/>
      <c r="X100" s="15"/>
      <c r="Y100" s="15"/>
      <c r="Z100" s="15"/>
      <c r="AA100" s="15"/>
      <c r="AB100" s="15">
        <v>5</v>
      </c>
      <c r="AC100" s="15"/>
      <c r="AD100" s="15"/>
      <c r="AE100" s="15"/>
      <c r="AF100" s="15"/>
      <c r="AG100" s="15"/>
      <c r="AH100" s="15"/>
      <c r="AI100" s="15"/>
      <c r="AJ100" s="15"/>
      <c r="AK100" s="15"/>
      <c r="AL100" s="15"/>
      <c r="AM100" s="15"/>
      <c r="AN100" s="15">
        <v>2</v>
      </c>
      <c r="AO100" s="15"/>
      <c r="AP100" s="15"/>
      <c r="AQ100" s="15"/>
      <c r="AR100" s="15"/>
      <c r="AS100" s="15">
        <v>6</v>
      </c>
      <c r="AT100" s="15"/>
      <c r="AU100" s="15"/>
      <c r="AV100" s="15"/>
      <c r="AW100" s="15">
        <v>11</v>
      </c>
      <c r="AX100" s="15">
        <v>30</v>
      </c>
      <c r="AY100" s="15"/>
      <c r="AZ100" s="15">
        <v>112</v>
      </c>
      <c r="BA100" s="15">
        <v>3</v>
      </c>
      <c r="BB100" s="15"/>
      <c r="BC100" s="15"/>
      <c r="BD100" s="15"/>
      <c r="BE100" s="18"/>
    </row>
    <row r="101" spans="1:57">
      <c r="A101" s="13" t="s">
        <v>306</v>
      </c>
      <c r="B101" s="13" t="s">
        <v>282</v>
      </c>
      <c r="C101" s="14">
        <v>44600</v>
      </c>
      <c r="D101" s="15" t="s">
        <v>307</v>
      </c>
      <c r="E101" s="15" t="s">
        <v>308</v>
      </c>
      <c r="F101" s="16">
        <v>0.4861111111111111</v>
      </c>
      <c r="G101" s="15" t="s">
        <v>68</v>
      </c>
      <c r="H101" s="15" t="s">
        <v>69</v>
      </c>
      <c r="I101" s="15" t="s">
        <v>70</v>
      </c>
      <c r="J101" s="15" t="s">
        <v>71</v>
      </c>
      <c r="K101" s="15">
        <v>2</v>
      </c>
      <c r="L101" s="17"/>
      <c r="M101" s="15">
        <v>1</v>
      </c>
      <c r="N101" s="15">
        <v>14</v>
      </c>
      <c r="O101" s="17"/>
      <c r="P101" s="17"/>
      <c r="Q101" s="15">
        <v>1</v>
      </c>
      <c r="R101" s="17"/>
      <c r="S101" s="17"/>
      <c r="T101" s="17"/>
      <c r="U101" s="17"/>
      <c r="V101" s="17"/>
      <c r="W101" s="17"/>
      <c r="X101" s="15">
        <v>3</v>
      </c>
      <c r="Y101" s="17"/>
      <c r="Z101" s="15">
        <v>1</v>
      </c>
      <c r="AA101" s="15">
        <v>36</v>
      </c>
      <c r="AB101" s="15">
        <v>13</v>
      </c>
      <c r="AC101" s="17"/>
      <c r="AD101" s="17"/>
      <c r="AE101" s="17"/>
      <c r="AF101" s="17"/>
      <c r="AG101" s="17"/>
      <c r="AH101" s="15">
        <v>2</v>
      </c>
      <c r="AI101" s="17"/>
      <c r="AJ101" s="17"/>
      <c r="AK101" s="17"/>
      <c r="AL101" s="17"/>
      <c r="AM101" s="17"/>
      <c r="AN101" s="17"/>
      <c r="AO101" s="17"/>
      <c r="AP101" s="15">
        <v>1</v>
      </c>
      <c r="AQ101" s="17"/>
      <c r="AR101" s="17"/>
      <c r="AS101" s="15">
        <v>6</v>
      </c>
      <c r="AT101" s="15">
        <v>12</v>
      </c>
      <c r="AU101" s="17"/>
      <c r="AV101" s="17"/>
      <c r="AW101" s="17"/>
      <c r="AX101" s="15">
        <v>3</v>
      </c>
      <c r="AY101" s="17"/>
      <c r="AZ101" s="15">
        <v>7</v>
      </c>
      <c r="BA101" s="15">
        <v>2</v>
      </c>
      <c r="BB101" s="17"/>
      <c r="BC101" s="17"/>
      <c r="BD101" s="17"/>
      <c r="BE101" s="18" t="s">
        <v>309</v>
      </c>
    </row>
    <row r="102" spans="1:57">
      <c r="A102" s="13" t="s">
        <v>310</v>
      </c>
      <c r="B102" s="13" t="s">
        <v>282</v>
      </c>
      <c r="C102" s="14">
        <v>44600</v>
      </c>
      <c r="D102" s="15" t="s">
        <v>66</v>
      </c>
      <c r="E102" s="15" t="s">
        <v>311</v>
      </c>
      <c r="F102" s="16">
        <v>0.40069444444444446</v>
      </c>
      <c r="G102" s="15" t="s">
        <v>68</v>
      </c>
      <c r="H102" s="15" t="s">
        <v>69</v>
      </c>
      <c r="I102" s="15" t="s">
        <v>70</v>
      </c>
      <c r="J102" s="15" t="s">
        <v>71</v>
      </c>
      <c r="K102" s="15">
        <v>1</v>
      </c>
      <c r="L102" s="15"/>
      <c r="M102" s="15">
        <v>4</v>
      </c>
      <c r="N102" s="15">
        <v>42</v>
      </c>
      <c r="O102" s="15"/>
      <c r="P102" s="15">
        <v>1</v>
      </c>
      <c r="Q102" s="15"/>
      <c r="R102" s="15"/>
      <c r="S102" s="15"/>
      <c r="T102" s="15"/>
      <c r="U102" s="15"/>
      <c r="V102" s="15"/>
      <c r="W102" s="15"/>
      <c r="X102" s="15"/>
      <c r="Y102" s="15"/>
      <c r="Z102" s="15"/>
      <c r="AA102" s="15">
        <v>8</v>
      </c>
      <c r="AB102" s="15">
        <v>11</v>
      </c>
      <c r="AC102" s="15"/>
      <c r="AD102" s="15"/>
      <c r="AE102" s="15">
        <v>4</v>
      </c>
      <c r="AF102" s="15"/>
      <c r="AG102" s="15"/>
      <c r="AH102" s="15"/>
      <c r="AI102" s="15"/>
      <c r="AJ102" s="15"/>
      <c r="AK102" s="15"/>
      <c r="AL102" s="15"/>
      <c r="AM102" s="15"/>
      <c r="AN102" s="15">
        <v>1</v>
      </c>
      <c r="AO102" s="15"/>
      <c r="AP102" s="15"/>
      <c r="AQ102" s="15"/>
      <c r="AR102" s="15"/>
      <c r="AS102" s="15"/>
      <c r="AT102" s="15"/>
      <c r="AU102" s="15"/>
      <c r="AV102" s="15"/>
      <c r="AW102" s="15"/>
      <c r="AX102" s="15"/>
      <c r="AY102" s="15"/>
      <c r="AZ102" s="15"/>
      <c r="BA102" s="15"/>
      <c r="BB102" s="15"/>
      <c r="BC102" s="15"/>
      <c r="BD102" s="15"/>
      <c r="BE102" s="18"/>
    </row>
    <row r="103" spans="1:57" ht="26.25">
      <c r="A103" s="13" t="s">
        <v>312</v>
      </c>
      <c r="B103" s="13" t="s">
        <v>282</v>
      </c>
      <c r="C103" s="14">
        <v>44600</v>
      </c>
      <c r="D103" s="15" t="s">
        <v>313</v>
      </c>
      <c r="E103" s="15" t="s">
        <v>314</v>
      </c>
      <c r="F103" s="16">
        <v>0.4375</v>
      </c>
      <c r="G103" s="15" t="s">
        <v>68</v>
      </c>
      <c r="H103" s="15" t="s">
        <v>69</v>
      </c>
      <c r="I103" s="15" t="s">
        <v>70</v>
      </c>
      <c r="J103" s="15" t="s">
        <v>71</v>
      </c>
      <c r="K103" s="15">
        <v>7</v>
      </c>
      <c r="L103" s="15"/>
      <c r="M103" s="15">
        <v>13</v>
      </c>
      <c r="N103" s="15"/>
      <c r="O103" s="15"/>
      <c r="P103" s="15"/>
      <c r="Q103" s="15"/>
      <c r="R103" s="15"/>
      <c r="S103" s="15"/>
      <c r="T103" s="15"/>
      <c r="U103" s="15"/>
      <c r="V103" s="15"/>
      <c r="W103" s="15"/>
      <c r="X103" s="15">
        <v>4</v>
      </c>
      <c r="Y103" s="15">
        <v>13</v>
      </c>
      <c r="Z103" s="15">
        <v>35</v>
      </c>
      <c r="AA103" s="15">
        <v>167</v>
      </c>
      <c r="AB103" s="15">
        <v>1</v>
      </c>
      <c r="AC103" s="15"/>
      <c r="AD103" s="15">
        <v>10</v>
      </c>
      <c r="AE103" s="15"/>
      <c r="AF103" s="15"/>
      <c r="AG103" s="15"/>
      <c r="AH103" s="15">
        <v>66</v>
      </c>
      <c r="AI103" s="15">
        <v>2</v>
      </c>
      <c r="AJ103" s="15"/>
      <c r="AK103" s="15"/>
      <c r="AL103" s="15"/>
      <c r="AM103" s="15"/>
      <c r="AN103" s="15">
        <v>20</v>
      </c>
      <c r="AO103" s="15"/>
      <c r="AP103" s="15">
        <v>129</v>
      </c>
      <c r="AQ103" s="15"/>
      <c r="AR103" s="15"/>
      <c r="AS103" s="15">
        <v>168</v>
      </c>
      <c r="AT103" s="15">
        <v>92</v>
      </c>
      <c r="AU103" s="15"/>
      <c r="AV103" s="15"/>
      <c r="AW103" s="15">
        <v>30</v>
      </c>
      <c r="AX103" s="15">
        <v>16</v>
      </c>
      <c r="AY103" s="15"/>
      <c r="AZ103" s="15">
        <v>36</v>
      </c>
      <c r="BA103" s="15">
        <v>4</v>
      </c>
      <c r="BB103" s="15"/>
      <c r="BC103" s="15"/>
      <c r="BD103" s="15"/>
      <c r="BE103" s="18" t="s">
        <v>315</v>
      </c>
    </row>
    <row r="104" spans="1:57">
      <c r="A104" s="24" t="s">
        <v>316</v>
      </c>
      <c r="B104" s="24" t="s">
        <v>282</v>
      </c>
      <c r="C104" s="14">
        <v>44600</v>
      </c>
      <c r="D104" s="15" t="s">
        <v>317</v>
      </c>
      <c r="E104" s="15" t="s">
        <v>318</v>
      </c>
      <c r="F104" s="16">
        <v>0.36875000000000002</v>
      </c>
      <c r="G104" s="15" t="s">
        <v>68</v>
      </c>
      <c r="H104" s="15" t="s">
        <v>69</v>
      </c>
      <c r="I104" s="15" t="s">
        <v>70</v>
      </c>
      <c r="J104" s="15" t="s">
        <v>71</v>
      </c>
      <c r="K104" s="15"/>
      <c r="L104" s="15"/>
      <c r="M104" s="15">
        <v>2</v>
      </c>
      <c r="N104" s="15">
        <v>6</v>
      </c>
      <c r="O104" s="15"/>
      <c r="P104" s="15"/>
      <c r="Q104" s="15"/>
      <c r="R104" s="15"/>
      <c r="S104" s="15"/>
      <c r="T104" s="15"/>
      <c r="U104" s="15"/>
      <c r="V104" s="15"/>
      <c r="W104" s="15">
        <v>2</v>
      </c>
      <c r="X104" s="15"/>
      <c r="Y104" s="15"/>
      <c r="Z104" s="15"/>
      <c r="AA104" s="15">
        <v>99</v>
      </c>
      <c r="AB104" s="15">
        <v>8</v>
      </c>
      <c r="AC104" s="15"/>
      <c r="AD104" s="15"/>
      <c r="AE104" s="15"/>
      <c r="AF104" s="15"/>
      <c r="AG104" s="15"/>
      <c r="AH104" s="15">
        <v>79</v>
      </c>
      <c r="AI104" s="15"/>
      <c r="AJ104" s="15"/>
      <c r="AK104" s="15"/>
      <c r="AL104" s="15"/>
      <c r="AM104" s="15"/>
      <c r="AN104" s="15">
        <v>9</v>
      </c>
      <c r="AO104" s="15"/>
      <c r="AP104" s="15"/>
      <c r="AQ104" s="15"/>
      <c r="AR104" s="15"/>
      <c r="AS104" s="15"/>
      <c r="AT104" s="15">
        <v>5</v>
      </c>
      <c r="AU104" s="15"/>
      <c r="AV104" s="15"/>
      <c r="AW104" s="15">
        <v>1</v>
      </c>
      <c r="AX104" s="15">
        <v>1</v>
      </c>
      <c r="AY104" s="15"/>
      <c r="AZ104" s="15">
        <v>17</v>
      </c>
      <c r="BA104" s="15"/>
      <c r="BB104" s="15"/>
      <c r="BC104" s="15"/>
      <c r="BD104" s="15"/>
      <c r="BE104" s="19"/>
    </row>
    <row r="105" spans="1:57">
      <c r="A105" s="13" t="s">
        <v>319</v>
      </c>
      <c r="B105" s="13" t="s">
        <v>282</v>
      </c>
      <c r="C105" s="14">
        <v>44600</v>
      </c>
      <c r="D105" s="15" t="s">
        <v>296</v>
      </c>
      <c r="E105" s="15" t="s">
        <v>82</v>
      </c>
      <c r="F105" s="16">
        <v>0.50763888888888886</v>
      </c>
      <c r="G105" s="15" t="s">
        <v>68</v>
      </c>
      <c r="H105" s="15" t="s">
        <v>69</v>
      </c>
      <c r="I105" s="15" t="s">
        <v>70</v>
      </c>
      <c r="J105" s="15" t="s">
        <v>71</v>
      </c>
      <c r="K105" s="15">
        <v>5</v>
      </c>
      <c r="L105" s="15"/>
      <c r="M105" s="15">
        <v>2</v>
      </c>
      <c r="N105" s="15"/>
      <c r="O105" s="15"/>
      <c r="P105" s="15"/>
      <c r="Q105" s="15"/>
      <c r="R105" s="15"/>
      <c r="S105" s="15"/>
      <c r="T105" s="15"/>
      <c r="U105" s="15"/>
      <c r="V105" s="15"/>
      <c r="W105" s="15"/>
      <c r="X105" s="15"/>
      <c r="Y105" s="15"/>
      <c r="Z105" s="15"/>
      <c r="AA105" s="15"/>
      <c r="AB105" s="15">
        <v>1</v>
      </c>
      <c r="AC105" s="15"/>
      <c r="AD105" s="15"/>
      <c r="AE105" s="15">
        <v>1</v>
      </c>
      <c r="AF105" s="15"/>
      <c r="AG105" s="15"/>
      <c r="AH105" s="15"/>
      <c r="AI105" s="15"/>
      <c r="AJ105" s="15"/>
      <c r="AK105" s="15"/>
      <c r="AL105" s="15"/>
      <c r="AM105" s="15"/>
      <c r="AN105" s="15"/>
      <c r="AO105" s="15"/>
      <c r="AP105" s="15">
        <v>7</v>
      </c>
      <c r="AQ105" s="15"/>
      <c r="AR105" s="15"/>
      <c r="AS105" s="15">
        <v>4</v>
      </c>
      <c r="AT105" s="15"/>
      <c r="AU105" s="15"/>
      <c r="AV105" s="15"/>
      <c r="AW105" s="15">
        <v>1</v>
      </c>
      <c r="AX105" s="15">
        <v>5</v>
      </c>
      <c r="AY105" s="15"/>
      <c r="AZ105" s="15">
        <v>9</v>
      </c>
      <c r="BA105" s="15">
        <v>5</v>
      </c>
      <c r="BB105" s="15">
        <v>1</v>
      </c>
      <c r="BC105" s="15"/>
      <c r="BD105" s="15"/>
      <c r="BE105" s="18"/>
    </row>
    <row r="106" spans="1:57">
      <c r="A106" s="13" t="s">
        <v>320</v>
      </c>
      <c r="B106" s="13" t="s">
        <v>282</v>
      </c>
      <c r="C106" s="14">
        <v>44600</v>
      </c>
      <c r="D106" s="15" t="s">
        <v>66</v>
      </c>
      <c r="E106" s="15" t="s">
        <v>311</v>
      </c>
      <c r="F106" s="16">
        <v>0.42222222222222222</v>
      </c>
      <c r="G106" s="15" t="s">
        <v>68</v>
      </c>
      <c r="H106" s="15" t="s">
        <v>69</v>
      </c>
      <c r="I106" s="15" t="s">
        <v>70</v>
      </c>
      <c r="J106" s="15" t="s">
        <v>71</v>
      </c>
      <c r="K106" s="15"/>
      <c r="L106" s="15"/>
      <c r="M106" s="15">
        <v>1</v>
      </c>
      <c r="N106" s="15"/>
      <c r="O106" s="15"/>
      <c r="P106" s="15"/>
      <c r="Q106" s="15"/>
      <c r="R106" s="15"/>
      <c r="S106" s="15"/>
      <c r="T106" s="15"/>
      <c r="U106" s="15"/>
      <c r="V106" s="15"/>
      <c r="W106" s="15"/>
      <c r="X106" s="15"/>
      <c r="Y106" s="15"/>
      <c r="Z106" s="15">
        <v>2</v>
      </c>
      <c r="AA106" s="15"/>
      <c r="AB106" s="15"/>
      <c r="AC106" s="15"/>
      <c r="AD106" s="15"/>
      <c r="AE106" s="15">
        <v>2</v>
      </c>
      <c r="AF106" s="15"/>
      <c r="AG106" s="17"/>
      <c r="AH106" s="15"/>
      <c r="AI106" s="15"/>
      <c r="AJ106" s="15"/>
      <c r="AK106" s="15"/>
      <c r="AL106" s="15"/>
      <c r="AM106" s="15"/>
      <c r="AN106" s="15"/>
      <c r="AO106" s="15"/>
      <c r="AP106" s="15">
        <v>34</v>
      </c>
      <c r="AQ106" s="15"/>
      <c r="AR106" s="15"/>
      <c r="AS106" s="15">
        <v>3</v>
      </c>
      <c r="AT106" s="15"/>
      <c r="AU106" s="15"/>
      <c r="AV106" s="15"/>
      <c r="AW106" s="15"/>
      <c r="AX106" s="15"/>
      <c r="AY106" s="15"/>
      <c r="AZ106" s="15"/>
      <c r="BA106" s="15"/>
      <c r="BB106" s="15"/>
      <c r="BC106" s="15"/>
      <c r="BD106" s="15"/>
      <c r="BE106" s="18"/>
    </row>
    <row r="107" spans="1:57">
      <c r="A107" s="13" t="s">
        <v>321</v>
      </c>
      <c r="B107" s="13" t="s">
        <v>282</v>
      </c>
      <c r="C107" s="32">
        <v>44599</v>
      </c>
      <c r="D107" s="15" t="s">
        <v>322</v>
      </c>
      <c r="E107" s="15" t="s">
        <v>287</v>
      </c>
      <c r="F107" s="16">
        <v>0.42916666666666664</v>
      </c>
      <c r="G107" s="15" t="s">
        <v>68</v>
      </c>
      <c r="H107" s="15" t="s">
        <v>127</v>
      </c>
      <c r="I107" s="15" t="s">
        <v>70</v>
      </c>
      <c r="J107" s="15" t="s">
        <v>71</v>
      </c>
      <c r="K107" s="15"/>
      <c r="L107" s="15">
        <v>4</v>
      </c>
      <c r="M107" s="15">
        <v>8</v>
      </c>
      <c r="N107" s="15">
        <v>59</v>
      </c>
      <c r="O107" s="15"/>
      <c r="P107" s="15"/>
      <c r="Q107" s="15"/>
      <c r="R107" s="15"/>
      <c r="S107" s="15"/>
      <c r="T107" s="15"/>
      <c r="U107" s="15">
        <v>11</v>
      </c>
      <c r="V107" s="15"/>
      <c r="W107" s="15"/>
      <c r="X107" s="15">
        <v>8</v>
      </c>
      <c r="Y107" s="15">
        <v>13</v>
      </c>
      <c r="Z107" s="15"/>
      <c r="AA107" s="15">
        <v>29</v>
      </c>
      <c r="AB107" s="15">
        <v>5</v>
      </c>
      <c r="AC107" s="15"/>
      <c r="AD107" s="15">
        <v>19</v>
      </c>
      <c r="AE107" s="15"/>
      <c r="AF107" s="15">
        <v>7</v>
      </c>
      <c r="AG107" s="15"/>
      <c r="AH107" s="15">
        <v>2</v>
      </c>
      <c r="AI107" s="15"/>
      <c r="AJ107" s="15"/>
      <c r="AK107" s="15"/>
      <c r="AL107" s="15"/>
      <c r="AM107" s="15">
        <v>16</v>
      </c>
      <c r="AN107" s="15">
        <v>2</v>
      </c>
      <c r="AO107" s="15"/>
      <c r="AP107" s="15">
        <v>4</v>
      </c>
      <c r="AQ107" s="15"/>
      <c r="AR107" s="15"/>
      <c r="AS107" s="15">
        <v>36</v>
      </c>
      <c r="AT107" s="15">
        <v>51</v>
      </c>
      <c r="AU107" s="15"/>
      <c r="AV107" s="15"/>
      <c r="AW107" s="15"/>
      <c r="AX107" s="15">
        <v>31</v>
      </c>
      <c r="AY107" s="15"/>
      <c r="AZ107" s="15">
        <v>9</v>
      </c>
      <c r="BA107" s="15">
        <v>62</v>
      </c>
      <c r="BB107" s="15"/>
      <c r="BC107" s="15"/>
      <c r="BD107" s="15"/>
      <c r="BE107" s="18"/>
    </row>
    <row r="108" spans="1:57">
      <c r="A108" s="13" t="s">
        <v>323</v>
      </c>
      <c r="B108" s="13" t="s">
        <v>282</v>
      </c>
      <c r="C108" s="14">
        <v>44600</v>
      </c>
      <c r="D108" s="15" t="s">
        <v>66</v>
      </c>
      <c r="E108" s="15" t="s">
        <v>67</v>
      </c>
      <c r="F108" s="16">
        <v>0.61527777777777781</v>
      </c>
      <c r="G108" s="15" t="s">
        <v>68</v>
      </c>
      <c r="H108" s="15" t="s">
        <v>69</v>
      </c>
      <c r="I108" s="15" t="s">
        <v>70</v>
      </c>
      <c r="J108" s="15" t="s">
        <v>71</v>
      </c>
      <c r="K108" s="15">
        <v>12</v>
      </c>
      <c r="L108" s="15"/>
      <c r="M108" s="15">
        <v>6</v>
      </c>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9"/>
    </row>
    <row r="109" spans="1:57">
      <c r="A109" s="13" t="s">
        <v>324</v>
      </c>
      <c r="B109" s="13" t="s">
        <v>282</v>
      </c>
      <c r="C109" s="14">
        <v>44600</v>
      </c>
      <c r="D109" s="15" t="s">
        <v>325</v>
      </c>
      <c r="E109" s="15" t="s">
        <v>308</v>
      </c>
      <c r="F109" s="16">
        <v>0.40972222222222221</v>
      </c>
      <c r="G109" s="15" t="s">
        <v>68</v>
      </c>
      <c r="H109" s="15" t="s">
        <v>109</v>
      </c>
      <c r="I109" s="15" t="s">
        <v>70</v>
      </c>
      <c r="J109" s="15" t="s">
        <v>71</v>
      </c>
      <c r="K109" s="15">
        <v>3</v>
      </c>
      <c r="L109" s="17"/>
      <c r="M109" s="15">
        <v>1</v>
      </c>
      <c r="N109" s="15">
        <v>3</v>
      </c>
      <c r="O109" s="15">
        <v>3</v>
      </c>
      <c r="P109" s="17"/>
      <c r="Q109" s="15">
        <v>6</v>
      </c>
      <c r="R109" s="17"/>
      <c r="S109" s="17"/>
      <c r="T109" s="17"/>
      <c r="U109" s="17"/>
      <c r="V109" s="17"/>
      <c r="W109" s="17"/>
      <c r="X109" s="17"/>
      <c r="Y109" s="17"/>
      <c r="Z109" s="15">
        <v>17</v>
      </c>
      <c r="AA109" s="15">
        <v>4</v>
      </c>
      <c r="AB109" s="15">
        <v>8</v>
      </c>
      <c r="AC109" s="17"/>
      <c r="AD109" s="17"/>
      <c r="AE109" s="17"/>
      <c r="AF109" s="17"/>
      <c r="AG109" s="17"/>
      <c r="AH109" s="17"/>
      <c r="AI109" s="15">
        <v>1</v>
      </c>
      <c r="AJ109" s="17"/>
      <c r="AK109" s="17"/>
      <c r="AL109" s="17"/>
      <c r="AM109" s="17"/>
      <c r="AN109" s="17"/>
      <c r="AO109" s="17"/>
      <c r="AP109" s="17"/>
      <c r="AQ109" s="17"/>
      <c r="AR109" s="17"/>
      <c r="AS109" s="15">
        <v>14</v>
      </c>
      <c r="AT109" s="15">
        <v>1</v>
      </c>
      <c r="AU109" s="17"/>
      <c r="AV109" s="17"/>
      <c r="AW109" s="17"/>
      <c r="AX109" s="15">
        <v>8</v>
      </c>
      <c r="AY109" s="17"/>
      <c r="AZ109" s="15">
        <v>8</v>
      </c>
      <c r="BA109" s="15">
        <v>2</v>
      </c>
      <c r="BB109" s="17"/>
      <c r="BC109" s="17"/>
      <c r="BD109" s="17"/>
      <c r="BE109" s="18" t="s">
        <v>326</v>
      </c>
    </row>
    <row r="110" spans="1:57">
      <c r="A110" s="13" t="s">
        <v>327</v>
      </c>
      <c r="B110" s="13" t="s">
        <v>282</v>
      </c>
      <c r="C110" s="30">
        <v>44599</v>
      </c>
      <c r="D110" s="15" t="s">
        <v>317</v>
      </c>
      <c r="E110" s="15" t="s">
        <v>318</v>
      </c>
      <c r="F110" s="16">
        <v>0.56180555555555556</v>
      </c>
      <c r="J110" s="15" t="s">
        <v>71</v>
      </c>
      <c r="K110" s="15"/>
      <c r="L110" s="15"/>
      <c r="M110" s="15"/>
      <c r="N110" s="15"/>
      <c r="O110" s="15"/>
      <c r="P110" s="15"/>
      <c r="Q110" s="15"/>
      <c r="R110" s="15"/>
      <c r="S110" s="15"/>
      <c r="T110" s="15"/>
      <c r="U110" s="15"/>
      <c r="V110" s="15"/>
      <c r="W110" s="15"/>
      <c r="X110" s="15"/>
      <c r="Y110" s="15"/>
      <c r="Z110" s="15">
        <v>10</v>
      </c>
      <c r="AA110" s="15"/>
      <c r="AB110" s="15"/>
      <c r="AC110" s="15"/>
      <c r="AD110" s="15"/>
      <c r="AE110" s="15"/>
      <c r="AF110" s="15"/>
      <c r="AG110" s="15"/>
      <c r="AH110" s="15">
        <v>3</v>
      </c>
      <c r="AI110" s="15"/>
      <c r="AJ110" s="15"/>
      <c r="AK110" s="15"/>
      <c r="AL110" s="15"/>
      <c r="AM110" s="15"/>
      <c r="AN110" s="15"/>
      <c r="AO110" s="15"/>
      <c r="AP110" s="15">
        <v>12</v>
      </c>
      <c r="AQ110" s="15"/>
      <c r="AR110" s="15"/>
      <c r="AS110" s="15">
        <v>62</v>
      </c>
      <c r="AT110" s="15">
        <v>1</v>
      </c>
      <c r="AU110" s="15"/>
      <c r="AV110" s="15"/>
      <c r="AW110" s="15">
        <v>1</v>
      </c>
      <c r="AX110" s="15"/>
      <c r="AY110" s="15"/>
      <c r="AZ110" s="15">
        <v>1</v>
      </c>
      <c r="BA110" s="15">
        <v>2</v>
      </c>
      <c r="BB110" s="15"/>
      <c r="BC110" s="15"/>
      <c r="BD110" s="15">
        <v>11</v>
      </c>
      <c r="BE110" s="18"/>
    </row>
    <row r="111" spans="1:57">
      <c r="A111" s="13" t="s">
        <v>328</v>
      </c>
      <c r="B111" s="13" t="s">
        <v>282</v>
      </c>
      <c r="C111" s="14">
        <v>44600</v>
      </c>
      <c r="D111" s="15" t="s">
        <v>296</v>
      </c>
      <c r="E111" s="15" t="s">
        <v>82</v>
      </c>
      <c r="F111" s="16">
        <v>0.44791666666666669</v>
      </c>
      <c r="G111" s="15" t="s">
        <v>68</v>
      </c>
      <c r="H111" s="15" t="s">
        <v>69</v>
      </c>
      <c r="I111" s="15" t="s">
        <v>70</v>
      </c>
      <c r="J111" s="15" t="s">
        <v>71</v>
      </c>
      <c r="K111" s="15">
        <v>4</v>
      </c>
      <c r="L111" s="15"/>
      <c r="M111" s="15">
        <v>2</v>
      </c>
      <c r="N111" s="15"/>
      <c r="O111" s="15"/>
      <c r="P111" s="15"/>
      <c r="Q111" s="15"/>
      <c r="R111" s="15"/>
      <c r="S111" s="15"/>
      <c r="T111" s="15"/>
      <c r="U111" s="15"/>
      <c r="V111" s="15"/>
      <c r="W111" s="15"/>
      <c r="X111" s="15"/>
      <c r="Y111" s="15"/>
      <c r="Z111" s="15"/>
      <c r="AA111" s="15"/>
      <c r="AB111" s="15"/>
      <c r="AC111" s="15"/>
      <c r="AD111" s="15"/>
      <c r="AE111" s="15"/>
      <c r="AF111" s="15"/>
      <c r="AG111" s="15"/>
      <c r="AH111" s="15">
        <v>1</v>
      </c>
      <c r="AI111" s="15"/>
      <c r="AJ111" s="15"/>
      <c r="AK111" s="15"/>
      <c r="AL111" s="15"/>
      <c r="AM111" s="15"/>
      <c r="AN111" s="15"/>
      <c r="AO111" s="15"/>
      <c r="AP111" s="15">
        <v>1</v>
      </c>
      <c r="AQ111" s="15"/>
      <c r="AR111" s="15"/>
      <c r="AS111" s="15"/>
      <c r="AT111" s="15">
        <v>1</v>
      </c>
      <c r="AU111" s="15"/>
      <c r="AV111" s="15"/>
      <c r="AW111" s="15">
        <v>2</v>
      </c>
      <c r="AX111" s="15"/>
      <c r="AY111" s="15"/>
      <c r="AZ111" s="15">
        <v>1</v>
      </c>
      <c r="BA111" s="15">
        <v>1</v>
      </c>
      <c r="BB111" s="15"/>
      <c r="BC111" s="15"/>
      <c r="BD111" s="15"/>
      <c r="BE111" s="18"/>
    </row>
    <row r="112" spans="1:57" ht="77.25">
      <c r="A112" s="13" t="s">
        <v>329</v>
      </c>
      <c r="B112" s="13" t="s">
        <v>282</v>
      </c>
      <c r="C112" s="14">
        <v>44600</v>
      </c>
      <c r="D112" s="15" t="s">
        <v>330</v>
      </c>
      <c r="E112" s="15" t="s">
        <v>331</v>
      </c>
      <c r="F112" s="16">
        <v>0.60416666666666663</v>
      </c>
      <c r="G112" s="15" t="s">
        <v>68</v>
      </c>
      <c r="H112" s="15" t="s">
        <v>69</v>
      </c>
      <c r="I112" s="15" t="s">
        <v>70</v>
      </c>
      <c r="J112" s="15" t="s">
        <v>71</v>
      </c>
      <c r="K112" s="15">
        <v>1</v>
      </c>
      <c r="L112" s="15"/>
      <c r="M112" s="15">
        <v>19</v>
      </c>
      <c r="N112" s="15">
        <v>338</v>
      </c>
      <c r="O112" s="15"/>
      <c r="P112" s="15"/>
      <c r="Q112" s="15">
        <v>2</v>
      </c>
      <c r="R112" s="15"/>
      <c r="S112" s="15">
        <v>1</v>
      </c>
      <c r="T112" s="15"/>
      <c r="U112" s="15">
        <v>74</v>
      </c>
      <c r="V112" s="15"/>
      <c r="W112" s="15">
        <v>296</v>
      </c>
      <c r="X112" s="15">
        <v>5</v>
      </c>
      <c r="Y112" s="15">
        <v>26</v>
      </c>
      <c r="Z112" s="15">
        <v>24</v>
      </c>
      <c r="AA112" s="15">
        <v>269</v>
      </c>
      <c r="AB112" s="15">
        <v>14</v>
      </c>
      <c r="AC112" s="15"/>
      <c r="AD112" s="15"/>
      <c r="AE112" s="15"/>
      <c r="AF112" s="15"/>
      <c r="AG112" s="15"/>
      <c r="AH112" s="15">
        <v>171</v>
      </c>
      <c r="AI112" s="15"/>
      <c r="AJ112" s="15"/>
      <c r="AK112" s="15"/>
      <c r="AL112" s="15"/>
      <c r="AM112" s="15"/>
      <c r="AN112" s="15"/>
      <c r="AO112" s="15"/>
      <c r="AP112" s="15">
        <v>1</v>
      </c>
      <c r="AQ112" s="15">
        <v>2</v>
      </c>
      <c r="AR112" s="15"/>
      <c r="AS112" s="15"/>
      <c r="AT112" s="15"/>
      <c r="AU112" s="15"/>
      <c r="AV112" s="15"/>
      <c r="AW112" s="15">
        <v>1</v>
      </c>
      <c r="AX112" s="15"/>
      <c r="AY112" s="15"/>
      <c r="AZ112" s="15"/>
      <c r="BA112" s="15">
        <v>1</v>
      </c>
      <c r="BB112" s="15"/>
      <c r="BC112" s="15"/>
      <c r="BD112" s="15"/>
      <c r="BE112" s="18" t="s">
        <v>332</v>
      </c>
    </row>
    <row r="113" spans="1:57">
      <c r="A113" s="13" t="s">
        <v>333</v>
      </c>
      <c r="B113" s="13" t="s">
        <v>282</v>
      </c>
      <c r="C113" s="43">
        <v>44599</v>
      </c>
      <c r="D113" s="15" t="s">
        <v>322</v>
      </c>
      <c r="E113" s="15" t="s">
        <v>287</v>
      </c>
      <c r="F113" s="16">
        <v>0.51041666666666663</v>
      </c>
      <c r="G113" s="15" t="s">
        <v>68</v>
      </c>
      <c r="H113" s="15" t="s">
        <v>127</v>
      </c>
      <c r="I113" s="15" t="s">
        <v>70</v>
      </c>
      <c r="J113" s="15" t="s">
        <v>71</v>
      </c>
      <c r="K113" s="15"/>
      <c r="L113" s="15"/>
      <c r="M113" s="15">
        <v>23</v>
      </c>
      <c r="N113" s="15">
        <v>7</v>
      </c>
      <c r="O113" s="15"/>
      <c r="P113" s="15"/>
      <c r="Q113" s="15"/>
      <c r="R113" s="15"/>
      <c r="S113" s="15"/>
      <c r="T113" s="15"/>
      <c r="U113" s="15"/>
      <c r="V113" s="15"/>
      <c r="W113" s="15"/>
      <c r="X113" s="15"/>
      <c r="Y113" s="15"/>
      <c r="Z113" s="15">
        <v>9</v>
      </c>
      <c r="AA113" s="15">
        <v>87</v>
      </c>
      <c r="AB113" s="15">
        <v>4</v>
      </c>
      <c r="AC113" s="15"/>
      <c r="AD113" s="15">
        <v>10</v>
      </c>
      <c r="AE113" s="15"/>
      <c r="AF113" s="15"/>
      <c r="AG113" s="15"/>
      <c r="AH113" s="15"/>
      <c r="AI113" s="15"/>
      <c r="AJ113" s="15"/>
      <c r="AK113" s="15"/>
      <c r="AL113" s="15"/>
      <c r="AM113" s="15"/>
      <c r="AN113" s="15">
        <v>20</v>
      </c>
      <c r="AO113" s="15"/>
      <c r="AP113" s="15">
        <v>285</v>
      </c>
      <c r="AQ113" s="15"/>
      <c r="AR113" s="15"/>
      <c r="AS113" s="15">
        <v>196</v>
      </c>
      <c r="AT113" s="15">
        <v>33</v>
      </c>
      <c r="AU113" s="15"/>
      <c r="AV113" s="15"/>
      <c r="AW113" s="15">
        <v>14</v>
      </c>
      <c r="AX113" s="15">
        <v>360</v>
      </c>
      <c r="AY113" s="15"/>
      <c r="AZ113" s="15">
        <v>65</v>
      </c>
      <c r="BA113" s="15">
        <v>47</v>
      </c>
      <c r="BB113" s="15"/>
      <c r="BC113" s="15"/>
      <c r="BD113" s="15"/>
    </row>
    <row r="114" spans="1:57">
      <c r="A114" s="13" t="s">
        <v>334</v>
      </c>
      <c r="B114" s="13" t="s">
        <v>282</v>
      </c>
      <c r="C114" s="14">
        <v>44598</v>
      </c>
      <c r="D114" s="15" t="s">
        <v>335</v>
      </c>
      <c r="E114" s="15" t="s">
        <v>336</v>
      </c>
      <c r="F114" s="16">
        <v>0.71458333333333335</v>
      </c>
      <c r="G114" s="15" t="s">
        <v>78</v>
      </c>
      <c r="H114" s="15" t="s">
        <v>127</v>
      </c>
      <c r="I114" s="15" t="s">
        <v>70</v>
      </c>
      <c r="J114" s="15" t="s">
        <v>71</v>
      </c>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v>109</v>
      </c>
      <c r="BE114" s="18"/>
    </row>
    <row r="115" spans="1:57">
      <c r="A115" s="24" t="s">
        <v>337</v>
      </c>
      <c r="B115" s="24" t="s">
        <v>282</v>
      </c>
      <c r="C115" s="14">
        <v>44600</v>
      </c>
      <c r="D115" s="15" t="s">
        <v>66</v>
      </c>
      <c r="E115" s="15" t="s">
        <v>67</v>
      </c>
      <c r="F115" s="16">
        <v>0.65972222222222221</v>
      </c>
      <c r="G115" s="15" t="s">
        <v>68</v>
      </c>
      <c r="H115" s="15" t="s">
        <v>127</v>
      </c>
      <c r="I115" s="15" t="s">
        <v>70</v>
      </c>
      <c r="J115" s="15" t="s">
        <v>71</v>
      </c>
      <c r="K115" s="15"/>
      <c r="L115" s="15"/>
      <c r="M115" s="15">
        <v>2</v>
      </c>
      <c r="N115" s="15"/>
      <c r="O115" s="15">
        <v>1</v>
      </c>
      <c r="P115" s="15"/>
      <c r="Q115" s="15"/>
      <c r="R115" s="15"/>
      <c r="S115" s="15"/>
      <c r="T115" s="15"/>
      <c r="U115" s="15"/>
      <c r="V115" s="15"/>
      <c r="W115" s="15"/>
      <c r="X115" s="15"/>
      <c r="Y115" s="15"/>
      <c r="Z115" s="15">
        <v>3</v>
      </c>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v>3</v>
      </c>
      <c r="AX115" s="15"/>
      <c r="AY115" s="15"/>
      <c r="AZ115" s="15"/>
      <c r="BA115" s="15"/>
      <c r="BB115" s="15"/>
      <c r="BC115" s="15"/>
      <c r="BD115" s="15"/>
      <c r="BE115" s="18"/>
    </row>
    <row r="116" spans="1:57" ht="39">
      <c r="A116" s="13" t="s">
        <v>338</v>
      </c>
      <c r="B116" s="13" t="s">
        <v>282</v>
      </c>
      <c r="C116" s="14">
        <v>44600</v>
      </c>
      <c r="D116" s="15" t="s">
        <v>339</v>
      </c>
      <c r="E116" s="15" t="s">
        <v>340</v>
      </c>
      <c r="F116" s="16">
        <v>0.34375</v>
      </c>
      <c r="G116" s="15" t="s">
        <v>68</v>
      </c>
      <c r="H116" s="15" t="s">
        <v>69</v>
      </c>
      <c r="I116" s="15" t="s">
        <v>70</v>
      </c>
      <c r="J116" s="15" t="s">
        <v>71</v>
      </c>
      <c r="K116" s="17"/>
      <c r="L116" s="17"/>
      <c r="M116" s="15"/>
      <c r="N116" s="17"/>
      <c r="O116" s="17"/>
      <c r="P116" s="17"/>
      <c r="Q116" s="17"/>
      <c r="R116" s="17"/>
      <c r="S116" s="17"/>
      <c r="T116" s="17"/>
      <c r="U116" s="17"/>
      <c r="V116" s="17"/>
      <c r="W116" s="17"/>
      <c r="X116" s="15"/>
      <c r="Y116" s="15"/>
      <c r="Z116" s="15"/>
      <c r="AA116" s="15">
        <v>1</v>
      </c>
      <c r="AB116" s="15">
        <v>1</v>
      </c>
      <c r="AC116" s="17"/>
      <c r="AD116" s="15"/>
      <c r="AE116" s="15">
        <v>1</v>
      </c>
      <c r="AF116" s="17"/>
      <c r="AG116" s="17"/>
      <c r="AH116" s="15"/>
      <c r="AI116" s="15"/>
      <c r="AJ116" s="17"/>
      <c r="AK116" s="17"/>
      <c r="AL116" s="17"/>
      <c r="AM116" s="15">
        <v>7</v>
      </c>
      <c r="AN116" s="15">
        <v>8</v>
      </c>
      <c r="AO116" s="17"/>
      <c r="AP116" s="15">
        <v>28</v>
      </c>
      <c r="AQ116" s="17"/>
      <c r="AR116" s="17"/>
      <c r="AS116" s="15">
        <v>43</v>
      </c>
      <c r="AT116" s="15">
        <v>8</v>
      </c>
      <c r="AU116" s="17"/>
      <c r="AV116" s="17"/>
      <c r="AW116" s="15">
        <v>1</v>
      </c>
      <c r="AX116" s="15">
        <v>6</v>
      </c>
      <c r="AY116" s="17"/>
      <c r="AZ116" s="17"/>
      <c r="BA116" s="15">
        <v>21</v>
      </c>
      <c r="BB116" s="17"/>
      <c r="BC116" s="17"/>
      <c r="BD116" s="17"/>
      <c r="BE116" s="18" t="s">
        <v>341</v>
      </c>
    </row>
    <row r="117" spans="1:57">
      <c r="A117" s="13" t="s">
        <v>342</v>
      </c>
      <c r="B117" s="13" t="s">
        <v>282</v>
      </c>
      <c r="C117" s="14">
        <v>44600</v>
      </c>
      <c r="D117" s="15" t="s">
        <v>339</v>
      </c>
      <c r="E117" s="15" t="s">
        <v>340</v>
      </c>
      <c r="F117" s="16">
        <v>0.39583333333333331</v>
      </c>
      <c r="G117" s="15" t="s">
        <v>68</v>
      </c>
      <c r="H117" s="15" t="s">
        <v>69</v>
      </c>
      <c r="I117" s="15" t="s">
        <v>70</v>
      </c>
      <c r="J117" s="15" t="s">
        <v>71</v>
      </c>
      <c r="K117" s="15"/>
      <c r="L117" s="17"/>
      <c r="M117" s="15">
        <v>4</v>
      </c>
      <c r="N117" s="17"/>
      <c r="O117" s="17"/>
      <c r="P117" s="17"/>
      <c r="Q117" s="17"/>
      <c r="R117" s="17"/>
      <c r="S117" s="17"/>
      <c r="T117" s="17"/>
      <c r="U117" s="17"/>
      <c r="V117" s="17"/>
      <c r="W117" s="17"/>
      <c r="X117" s="15"/>
      <c r="Y117" s="15"/>
      <c r="Z117" s="15"/>
      <c r="AA117" s="15">
        <v>13</v>
      </c>
      <c r="AB117" s="15"/>
      <c r="AC117" s="17"/>
      <c r="AD117" s="15"/>
      <c r="AE117" s="15"/>
      <c r="AF117" s="17"/>
      <c r="AG117" s="17"/>
      <c r="AH117" s="15">
        <v>6</v>
      </c>
      <c r="AI117" s="15"/>
      <c r="AJ117" s="17"/>
      <c r="AK117" s="17"/>
      <c r="AL117" s="17"/>
      <c r="AM117" s="15"/>
      <c r="AN117" s="15"/>
      <c r="AO117" s="17"/>
      <c r="AP117" s="15">
        <v>3</v>
      </c>
      <c r="AQ117" s="17"/>
      <c r="AR117" s="17"/>
      <c r="AS117" s="15">
        <v>3</v>
      </c>
      <c r="AT117" s="15">
        <v>3</v>
      </c>
      <c r="AZ117" s="15">
        <v>4</v>
      </c>
      <c r="BA117" s="15">
        <v>1</v>
      </c>
      <c r="BE117" s="15" t="s">
        <v>343</v>
      </c>
    </row>
    <row r="118" spans="1:57" ht="31.5">
      <c r="A118" s="24" t="s">
        <v>344</v>
      </c>
      <c r="B118" s="24" t="s">
        <v>282</v>
      </c>
      <c r="C118" s="14">
        <v>44601</v>
      </c>
      <c r="D118" s="15" t="s">
        <v>345</v>
      </c>
      <c r="E118" s="15" t="s">
        <v>346</v>
      </c>
      <c r="F118" s="16">
        <v>0.375</v>
      </c>
      <c r="G118" s="15" t="s">
        <v>68</v>
      </c>
      <c r="H118" s="15" t="s">
        <v>127</v>
      </c>
      <c r="I118" s="15" t="s">
        <v>70</v>
      </c>
      <c r="J118" s="15" t="s">
        <v>71</v>
      </c>
      <c r="K118" s="17"/>
      <c r="L118" s="17"/>
      <c r="M118" s="17"/>
      <c r="N118" s="17"/>
      <c r="O118" s="17"/>
      <c r="P118" s="17"/>
      <c r="Q118" s="17"/>
      <c r="R118" s="17"/>
      <c r="S118" s="17"/>
      <c r="T118" s="17"/>
      <c r="U118" s="17"/>
      <c r="V118" s="17"/>
      <c r="W118" s="17"/>
      <c r="X118" s="15"/>
      <c r="Y118" s="15"/>
      <c r="Z118" s="15">
        <v>3</v>
      </c>
      <c r="AA118" s="15">
        <v>42</v>
      </c>
      <c r="AB118" s="15">
        <v>7</v>
      </c>
      <c r="AC118" s="17"/>
      <c r="AD118" s="15"/>
      <c r="AE118" s="15"/>
      <c r="AF118" s="17"/>
      <c r="AG118" s="17"/>
      <c r="AH118" s="15"/>
      <c r="AI118" s="15"/>
      <c r="AJ118" s="17"/>
      <c r="AK118" s="17"/>
      <c r="AL118" s="17"/>
      <c r="AM118" s="15"/>
      <c r="AN118" s="15">
        <v>1</v>
      </c>
      <c r="AO118" s="17"/>
      <c r="AP118" s="15">
        <v>1</v>
      </c>
      <c r="AQ118" s="17"/>
      <c r="AR118" s="17"/>
      <c r="AS118" s="15"/>
      <c r="AT118" s="17"/>
      <c r="AU118" s="17"/>
      <c r="AV118" s="17"/>
      <c r="AW118" s="15">
        <v>2</v>
      </c>
      <c r="AX118" s="15">
        <v>14</v>
      </c>
      <c r="AY118" s="17"/>
      <c r="AZ118" s="15">
        <v>1</v>
      </c>
      <c r="BA118" s="17"/>
      <c r="BB118" s="17"/>
      <c r="BC118" s="17"/>
      <c r="BD118" s="17"/>
      <c r="BE118" s="18"/>
    </row>
    <row r="119" spans="1:57">
      <c r="A119" s="13" t="s">
        <v>347</v>
      </c>
      <c r="B119" s="13" t="s">
        <v>282</v>
      </c>
      <c r="C119" s="14">
        <v>44600</v>
      </c>
      <c r="D119" s="15" t="s">
        <v>296</v>
      </c>
      <c r="E119" s="15" t="s">
        <v>82</v>
      </c>
      <c r="F119" s="16">
        <v>0.46666666666666667</v>
      </c>
      <c r="G119" s="15" t="s">
        <v>68</v>
      </c>
      <c r="H119" s="15" t="s">
        <v>69</v>
      </c>
      <c r="I119" s="15" t="s">
        <v>70</v>
      </c>
      <c r="J119" s="15" t="s">
        <v>71</v>
      </c>
      <c r="K119" s="15">
        <v>2</v>
      </c>
      <c r="L119" s="15"/>
      <c r="M119" s="15"/>
      <c r="N119" s="15"/>
      <c r="O119" s="15"/>
      <c r="P119" s="15"/>
      <c r="Q119" s="15"/>
      <c r="R119" s="15"/>
      <c r="S119" s="15"/>
      <c r="T119" s="15"/>
      <c r="U119" s="15"/>
      <c r="V119" s="15"/>
      <c r="W119" s="15"/>
      <c r="X119" s="15"/>
      <c r="Y119" s="15"/>
      <c r="Z119" s="15">
        <v>1</v>
      </c>
      <c r="AA119" s="15">
        <v>1</v>
      </c>
      <c r="AB119" s="15"/>
      <c r="AC119" s="15"/>
      <c r="AD119" s="15"/>
      <c r="AE119" s="15">
        <v>1</v>
      </c>
      <c r="AF119" s="15"/>
      <c r="AG119" s="15"/>
      <c r="AH119" s="15"/>
      <c r="AI119" s="15"/>
      <c r="AJ119" s="15"/>
      <c r="AK119" s="15"/>
      <c r="AL119" s="15"/>
      <c r="AM119" s="15"/>
      <c r="AN119" s="15"/>
      <c r="AO119" s="15"/>
      <c r="AP119" s="15">
        <v>42</v>
      </c>
      <c r="AQ119" s="15"/>
      <c r="AR119" s="15"/>
      <c r="AS119" s="15">
        <v>6</v>
      </c>
      <c r="AT119" s="15"/>
      <c r="AU119" s="15"/>
      <c r="AV119" s="15"/>
      <c r="AW119" s="15"/>
      <c r="AX119" s="15"/>
      <c r="AY119" s="15"/>
      <c r="AZ119" s="15">
        <v>1</v>
      </c>
      <c r="BA119" s="15">
        <v>1</v>
      </c>
      <c r="BB119" s="15"/>
      <c r="BC119" s="15"/>
      <c r="BD119" s="15"/>
      <c r="BE119" s="18" t="s">
        <v>348</v>
      </c>
    </row>
    <row r="120" spans="1:57">
      <c r="A120" s="13" t="s">
        <v>349</v>
      </c>
      <c r="B120" s="13" t="s">
        <v>282</v>
      </c>
      <c r="C120" s="14">
        <v>44600</v>
      </c>
      <c r="D120" s="15" t="s">
        <v>66</v>
      </c>
      <c r="E120" s="15" t="s">
        <v>67</v>
      </c>
      <c r="F120" s="16">
        <v>0.48402777777777778</v>
      </c>
      <c r="G120" s="15" t="s">
        <v>68</v>
      </c>
      <c r="H120" s="15" t="s">
        <v>69</v>
      </c>
      <c r="I120" s="15" t="s">
        <v>70</v>
      </c>
      <c r="J120" s="15" t="s">
        <v>71</v>
      </c>
      <c r="K120" s="15"/>
      <c r="L120" s="15"/>
      <c r="M120" s="15">
        <v>28</v>
      </c>
      <c r="N120" s="15">
        <v>12</v>
      </c>
      <c r="O120" s="15">
        <v>1</v>
      </c>
      <c r="P120" s="15"/>
      <c r="Q120" s="15"/>
      <c r="R120" s="15"/>
      <c r="S120" s="15"/>
      <c r="T120" s="15"/>
      <c r="U120" s="15"/>
      <c r="V120" s="15"/>
      <c r="W120" s="15"/>
      <c r="X120" s="15">
        <v>2</v>
      </c>
      <c r="Y120" s="15"/>
      <c r="Z120" s="15">
        <v>23</v>
      </c>
      <c r="AA120" s="15">
        <v>196</v>
      </c>
      <c r="AB120" s="15">
        <v>2</v>
      </c>
      <c r="AC120" s="15"/>
      <c r="AD120" s="15">
        <v>17</v>
      </c>
      <c r="AE120" s="15"/>
      <c r="AF120" s="15"/>
      <c r="AG120" s="15"/>
      <c r="AH120" s="15">
        <v>5</v>
      </c>
      <c r="AI120" s="15"/>
      <c r="AJ120" s="15"/>
      <c r="AK120" s="15"/>
      <c r="AL120" s="15"/>
      <c r="AM120" s="15"/>
      <c r="AN120" s="15">
        <v>2</v>
      </c>
      <c r="AO120" s="15"/>
      <c r="AP120" s="15">
        <v>1</v>
      </c>
      <c r="AQ120" s="15"/>
      <c r="AR120" s="15"/>
      <c r="AS120" s="15">
        <v>1</v>
      </c>
      <c r="AT120" s="15">
        <v>19</v>
      </c>
      <c r="AU120" s="15"/>
      <c r="AV120" s="15"/>
      <c r="AW120" s="15">
        <v>11</v>
      </c>
      <c r="AX120" s="15">
        <v>1</v>
      </c>
      <c r="AY120" s="15"/>
      <c r="AZ120" s="15">
        <v>37</v>
      </c>
      <c r="BA120" s="15"/>
      <c r="BB120" s="15"/>
      <c r="BC120" s="15"/>
      <c r="BD120" s="15"/>
      <c r="BE120" s="18"/>
    </row>
    <row r="121" spans="1:57" ht="31.5">
      <c r="A121" s="13" t="s">
        <v>350</v>
      </c>
      <c r="B121" s="13" t="s">
        <v>282</v>
      </c>
      <c r="C121" s="14">
        <v>44599</v>
      </c>
      <c r="D121" s="15" t="s">
        <v>351</v>
      </c>
      <c r="E121" s="15" t="s">
        <v>352</v>
      </c>
      <c r="F121" s="16">
        <v>0.33333333333333331</v>
      </c>
      <c r="G121" s="15" t="s">
        <v>68</v>
      </c>
      <c r="H121" s="15" t="s">
        <v>69</v>
      </c>
      <c r="I121" s="15" t="s">
        <v>70</v>
      </c>
      <c r="J121" s="15" t="s">
        <v>71</v>
      </c>
      <c r="K121" s="15">
        <v>5</v>
      </c>
      <c r="L121" s="15">
        <v>2</v>
      </c>
      <c r="M121" s="15">
        <v>13</v>
      </c>
      <c r="N121" s="15">
        <v>25</v>
      </c>
      <c r="O121" s="15"/>
      <c r="P121" s="15">
        <v>1</v>
      </c>
      <c r="Q121" s="15"/>
      <c r="R121" s="15"/>
      <c r="S121" s="15"/>
      <c r="T121" s="15"/>
      <c r="U121" s="15"/>
      <c r="V121" s="15"/>
      <c r="W121" s="15"/>
      <c r="X121" s="15">
        <v>1</v>
      </c>
      <c r="Y121" s="15">
        <v>105</v>
      </c>
      <c r="Z121" s="15">
        <v>51</v>
      </c>
      <c r="AA121" s="15">
        <v>91</v>
      </c>
      <c r="AB121" s="15">
        <v>32</v>
      </c>
      <c r="AC121" s="15"/>
      <c r="AD121" s="15"/>
      <c r="AE121" s="15">
        <v>4</v>
      </c>
      <c r="AF121" s="15">
        <v>1</v>
      </c>
      <c r="AG121" s="15"/>
      <c r="AH121" s="15">
        <v>186</v>
      </c>
      <c r="AI121" s="15"/>
      <c r="AJ121" s="15"/>
      <c r="AK121" s="15"/>
      <c r="AL121" s="15"/>
      <c r="AM121" s="15">
        <v>115</v>
      </c>
      <c r="AN121" s="15">
        <v>12</v>
      </c>
      <c r="AO121" s="15"/>
      <c r="AP121" s="15">
        <v>67</v>
      </c>
      <c r="AQ121" s="15">
        <v>11</v>
      </c>
      <c r="AR121" s="15"/>
      <c r="AS121" s="15">
        <v>71</v>
      </c>
      <c r="AT121" s="15">
        <v>23</v>
      </c>
      <c r="AU121" s="15"/>
      <c r="AV121" s="15"/>
      <c r="AW121" s="15">
        <v>1</v>
      </c>
      <c r="AX121" s="15">
        <v>86</v>
      </c>
      <c r="AY121" s="15"/>
      <c r="AZ121" s="15">
        <v>36</v>
      </c>
      <c r="BA121" s="15">
        <v>19</v>
      </c>
      <c r="BB121" s="15"/>
      <c r="BC121" s="15"/>
      <c r="BD121" s="15">
        <v>42</v>
      </c>
      <c r="BE121" s="18"/>
    </row>
    <row r="122" spans="1:57">
      <c r="A122" s="13" t="s">
        <v>353</v>
      </c>
      <c r="B122" s="13" t="s">
        <v>282</v>
      </c>
      <c r="C122" s="14"/>
      <c r="D122" s="15" t="s">
        <v>300</v>
      </c>
      <c r="F122" s="16"/>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8" t="s">
        <v>301</v>
      </c>
    </row>
    <row r="123" spans="1:57" ht="26.25">
      <c r="A123" s="13" t="s">
        <v>354</v>
      </c>
      <c r="B123" s="13" t="s">
        <v>282</v>
      </c>
      <c r="C123" s="14">
        <v>44598</v>
      </c>
      <c r="D123" s="15" t="s">
        <v>355</v>
      </c>
      <c r="E123" s="15" t="s">
        <v>308</v>
      </c>
      <c r="F123" s="16">
        <v>0.44374999999999998</v>
      </c>
      <c r="G123" s="15" t="s">
        <v>68</v>
      </c>
      <c r="H123" s="15" t="s">
        <v>109</v>
      </c>
      <c r="I123" s="15" t="s">
        <v>70</v>
      </c>
      <c r="J123" s="15" t="s">
        <v>71</v>
      </c>
      <c r="K123" s="17"/>
      <c r="L123" s="17"/>
      <c r="M123" s="15">
        <v>9</v>
      </c>
      <c r="N123" s="15">
        <v>1</v>
      </c>
      <c r="O123" s="17"/>
      <c r="P123" s="17"/>
      <c r="Q123" s="17"/>
      <c r="R123" s="17"/>
      <c r="S123" s="17"/>
      <c r="T123" s="17"/>
      <c r="U123" s="17"/>
      <c r="V123" s="17"/>
      <c r="W123" s="17"/>
      <c r="X123" s="15">
        <v>4</v>
      </c>
      <c r="Y123" s="15">
        <v>1</v>
      </c>
      <c r="Z123" s="15">
        <v>5</v>
      </c>
      <c r="AA123" s="15">
        <v>15</v>
      </c>
      <c r="AB123" s="15">
        <v>7</v>
      </c>
      <c r="AC123" s="17"/>
      <c r="AD123" s="17"/>
      <c r="AE123" s="17"/>
      <c r="AF123" s="17"/>
      <c r="AG123" s="17"/>
      <c r="AH123" s="15">
        <v>4</v>
      </c>
      <c r="AI123" s="15">
        <v>1</v>
      </c>
      <c r="AJ123" s="17"/>
      <c r="AK123" s="17"/>
      <c r="AL123" s="17"/>
      <c r="AM123" s="17"/>
      <c r="AN123" s="17"/>
      <c r="AO123" s="17"/>
      <c r="AP123" s="17"/>
      <c r="AQ123" s="17"/>
      <c r="AR123" s="17"/>
      <c r="AS123" s="17"/>
      <c r="AT123" s="17"/>
      <c r="AU123" s="17"/>
      <c r="AV123" s="17"/>
      <c r="AW123" s="17"/>
      <c r="AX123" s="17"/>
      <c r="AY123" s="17"/>
      <c r="AZ123" s="15">
        <v>2</v>
      </c>
      <c r="BA123" s="17"/>
      <c r="BB123" s="17"/>
      <c r="BC123" s="17"/>
      <c r="BD123" s="17"/>
      <c r="BE123" s="18" t="s">
        <v>356</v>
      </c>
    </row>
    <row r="124" spans="1:57" ht="26.25">
      <c r="A124" s="13" t="s">
        <v>357</v>
      </c>
      <c r="B124" s="13" t="s">
        <v>282</v>
      </c>
      <c r="C124" s="14">
        <v>44598</v>
      </c>
      <c r="D124" s="15" t="s">
        <v>325</v>
      </c>
      <c r="E124" s="15" t="s">
        <v>308</v>
      </c>
      <c r="F124" s="21">
        <v>0.54513888888888884</v>
      </c>
      <c r="G124" s="15" t="s">
        <v>78</v>
      </c>
      <c r="H124" s="15" t="s">
        <v>69</v>
      </c>
      <c r="I124" s="15" t="s">
        <v>70</v>
      </c>
      <c r="J124" s="15" t="s">
        <v>71</v>
      </c>
      <c r="K124" s="17"/>
      <c r="L124" s="17"/>
      <c r="M124" s="15">
        <v>10</v>
      </c>
      <c r="N124" s="15">
        <v>113</v>
      </c>
      <c r="O124" s="17"/>
      <c r="P124" s="17"/>
      <c r="Q124" s="17"/>
      <c r="R124" s="17"/>
      <c r="S124" s="17"/>
      <c r="T124" s="17"/>
      <c r="U124" s="17"/>
      <c r="V124" s="17"/>
      <c r="W124" s="17"/>
      <c r="X124" s="17"/>
      <c r="Y124" s="17"/>
      <c r="Z124" s="15">
        <v>2</v>
      </c>
      <c r="AA124" s="15">
        <v>203</v>
      </c>
      <c r="AB124" s="15">
        <v>44</v>
      </c>
      <c r="AC124" s="17"/>
      <c r="AD124" s="15">
        <v>1</v>
      </c>
      <c r="AE124" s="17"/>
      <c r="AF124" s="17"/>
      <c r="AG124" s="17"/>
      <c r="AH124" s="15">
        <v>4</v>
      </c>
      <c r="AI124" s="17"/>
      <c r="AJ124" s="17"/>
      <c r="AK124" s="17"/>
      <c r="AL124" s="17"/>
      <c r="AM124" s="17"/>
      <c r="AN124" s="17"/>
      <c r="AO124" s="17"/>
      <c r="AP124" s="17"/>
      <c r="AQ124" s="17"/>
      <c r="AR124" s="17"/>
      <c r="AS124" s="17"/>
      <c r="AT124" s="17"/>
      <c r="AU124" s="17"/>
      <c r="AV124" s="17"/>
      <c r="AW124" s="17"/>
      <c r="AX124" s="17"/>
      <c r="AY124" s="17"/>
      <c r="AZ124" s="15">
        <v>2</v>
      </c>
      <c r="BA124" s="17"/>
      <c r="BB124" s="17"/>
      <c r="BC124" s="17"/>
      <c r="BD124" s="17"/>
      <c r="BE124" s="18" t="s">
        <v>358</v>
      </c>
    </row>
    <row r="125" spans="1:57" ht="31.5">
      <c r="A125" s="13" t="s">
        <v>359</v>
      </c>
      <c r="B125" s="13" t="s">
        <v>360</v>
      </c>
      <c r="C125" s="14">
        <v>44602</v>
      </c>
      <c r="D125" s="15" t="s">
        <v>361</v>
      </c>
      <c r="E125" s="15" t="s">
        <v>362</v>
      </c>
      <c r="F125" s="16">
        <v>0.5</v>
      </c>
      <c r="G125" s="17"/>
      <c r="H125" s="17"/>
      <c r="I125" s="17"/>
      <c r="J125" s="15" t="s">
        <v>71</v>
      </c>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5">
        <v>3</v>
      </c>
      <c r="AK125" s="17"/>
      <c r="AL125" s="17"/>
      <c r="AM125" s="17"/>
      <c r="AN125" s="17"/>
      <c r="AO125" s="17"/>
      <c r="AP125" s="15">
        <v>1</v>
      </c>
      <c r="AQ125" s="15">
        <v>18</v>
      </c>
      <c r="AR125" s="17"/>
      <c r="AS125" s="15">
        <v>100</v>
      </c>
      <c r="AT125" s="15">
        <v>12</v>
      </c>
      <c r="AU125" s="17"/>
      <c r="AV125" s="17"/>
      <c r="AW125" s="17"/>
      <c r="AX125" s="15">
        <v>115</v>
      </c>
      <c r="AY125" s="17"/>
      <c r="AZ125" s="15">
        <v>3</v>
      </c>
      <c r="BA125" s="17"/>
      <c r="BB125" s="17"/>
      <c r="BC125" s="17"/>
      <c r="BD125" s="15">
        <v>3</v>
      </c>
      <c r="BE125" s="18"/>
    </row>
    <row r="126" spans="1:57" ht="31.5">
      <c r="A126" s="13" t="s">
        <v>363</v>
      </c>
      <c r="B126" s="13" t="s">
        <v>364</v>
      </c>
      <c r="C126" s="14">
        <v>44599</v>
      </c>
      <c r="D126" s="15" t="s">
        <v>365</v>
      </c>
      <c r="E126" s="15" t="s">
        <v>88</v>
      </c>
      <c r="F126" s="16">
        <v>0.44791666666666669</v>
      </c>
      <c r="G126" s="15" t="s">
        <v>78</v>
      </c>
      <c r="H126" s="15" t="s">
        <v>127</v>
      </c>
      <c r="I126" s="15" t="s">
        <v>70</v>
      </c>
      <c r="J126" s="15" t="s">
        <v>71</v>
      </c>
      <c r="K126" s="15"/>
      <c r="L126" s="15"/>
      <c r="M126" s="15">
        <v>8</v>
      </c>
      <c r="N126" s="15">
        <v>31</v>
      </c>
      <c r="O126" s="15"/>
      <c r="P126" s="15"/>
      <c r="Q126" s="15">
        <v>1</v>
      </c>
      <c r="R126" s="15"/>
      <c r="S126" s="15"/>
      <c r="T126" s="15"/>
      <c r="U126" s="15"/>
      <c r="V126" s="15"/>
      <c r="W126" s="15"/>
      <c r="X126" s="15"/>
      <c r="Y126" s="15">
        <v>5</v>
      </c>
      <c r="Z126" s="15">
        <v>19</v>
      </c>
      <c r="AA126" s="15">
        <v>57</v>
      </c>
      <c r="AB126" s="15">
        <v>1</v>
      </c>
      <c r="AC126" s="15"/>
      <c r="AD126" s="15"/>
      <c r="AE126" s="15"/>
      <c r="AF126" s="15"/>
      <c r="AG126" s="15"/>
      <c r="AH126" s="15">
        <v>10</v>
      </c>
      <c r="AI126" s="15">
        <v>2</v>
      </c>
      <c r="AJ126" s="15"/>
      <c r="AK126" s="15"/>
      <c r="AL126" s="15"/>
      <c r="AM126" s="15">
        <v>7</v>
      </c>
      <c r="AN126" s="15">
        <v>8</v>
      </c>
      <c r="AO126" s="15"/>
      <c r="AP126" s="15">
        <v>1</v>
      </c>
      <c r="AQ126" s="15"/>
      <c r="AR126" s="15"/>
      <c r="AS126" s="15">
        <v>18</v>
      </c>
      <c r="AT126" s="15">
        <v>152</v>
      </c>
      <c r="AU126" s="15"/>
      <c r="AV126" s="15"/>
      <c r="AW126" s="15">
        <v>12</v>
      </c>
      <c r="AX126" s="15">
        <v>25</v>
      </c>
      <c r="AY126" s="15"/>
      <c r="AZ126" s="15">
        <v>17</v>
      </c>
      <c r="BA126" s="15">
        <v>51</v>
      </c>
      <c r="BB126" s="15"/>
      <c r="BC126" s="15"/>
      <c r="BD126" s="15"/>
      <c r="BE126" s="18"/>
    </row>
    <row r="127" spans="1:57">
      <c r="A127" s="13" t="s">
        <v>366</v>
      </c>
      <c r="B127" s="13" t="s">
        <v>364</v>
      </c>
      <c r="C127" s="14">
        <v>44599</v>
      </c>
      <c r="D127" s="15" t="s">
        <v>90</v>
      </c>
      <c r="E127" s="15" t="s">
        <v>91</v>
      </c>
      <c r="F127" s="16">
        <v>0.38124999999999998</v>
      </c>
      <c r="G127" s="15" t="s">
        <v>78</v>
      </c>
      <c r="H127" s="15" t="s">
        <v>127</v>
      </c>
      <c r="I127" s="15" t="s">
        <v>70</v>
      </c>
      <c r="J127" s="15" t="s">
        <v>71</v>
      </c>
      <c r="K127" s="15"/>
      <c r="L127" s="15"/>
      <c r="M127" s="15">
        <v>1</v>
      </c>
      <c r="N127" s="15">
        <v>5</v>
      </c>
      <c r="O127" s="15"/>
      <c r="P127" s="15"/>
      <c r="Q127" s="15"/>
      <c r="R127" s="15"/>
      <c r="S127" s="15"/>
      <c r="T127" s="15"/>
      <c r="U127" s="15"/>
      <c r="V127" s="15"/>
      <c r="W127" s="15"/>
      <c r="X127" s="15"/>
      <c r="Y127" s="15"/>
      <c r="Z127" s="15"/>
      <c r="AA127" s="15">
        <v>23</v>
      </c>
      <c r="AB127" s="15">
        <v>1</v>
      </c>
      <c r="AC127" s="15"/>
      <c r="AD127" s="15"/>
      <c r="AE127" s="15"/>
      <c r="AF127" s="15"/>
      <c r="AG127" s="15"/>
      <c r="AH127" s="15">
        <v>1</v>
      </c>
      <c r="AI127" s="15"/>
      <c r="AJ127" s="15"/>
      <c r="AK127" s="15"/>
      <c r="AL127" s="15"/>
      <c r="AM127" s="15"/>
      <c r="AN127" s="15">
        <v>43</v>
      </c>
      <c r="AO127" s="15"/>
      <c r="AP127" s="15">
        <v>3</v>
      </c>
      <c r="AQ127" s="15"/>
      <c r="AR127" s="15"/>
      <c r="AS127" s="15">
        <v>3</v>
      </c>
      <c r="AT127" s="15">
        <v>1</v>
      </c>
      <c r="AU127" s="15"/>
      <c r="AV127" s="15"/>
      <c r="AW127" s="15">
        <v>2</v>
      </c>
      <c r="AX127" s="15">
        <v>1</v>
      </c>
      <c r="AY127" s="15"/>
      <c r="AZ127" s="15">
        <v>6</v>
      </c>
      <c r="BA127" s="15"/>
      <c r="BB127" s="15"/>
      <c r="BC127" s="15"/>
      <c r="BD127" s="15"/>
      <c r="BE127" s="18" t="s">
        <v>367</v>
      </c>
    </row>
    <row r="128" spans="1:57">
      <c r="A128" s="13" t="s">
        <v>368</v>
      </c>
      <c r="B128" s="13" t="s">
        <v>364</v>
      </c>
      <c r="C128" s="14">
        <v>44599</v>
      </c>
      <c r="D128" s="15" t="s">
        <v>317</v>
      </c>
      <c r="E128" s="15" t="s">
        <v>318</v>
      </c>
      <c r="F128" s="16">
        <v>0.57847222222222228</v>
      </c>
      <c r="G128" s="15" t="s">
        <v>78</v>
      </c>
      <c r="H128" s="15" t="s">
        <v>127</v>
      </c>
      <c r="I128" s="15" t="s">
        <v>118</v>
      </c>
      <c r="J128" s="15" t="s">
        <v>71</v>
      </c>
      <c r="K128" s="15">
        <v>14</v>
      </c>
      <c r="L128" s="15"/>
      <c r="M128" s="15">
        <v>2</v>
      </c>
      <c r="N128" s="15"/>
      <c r="O128" s="15"/>
      <c r="P128" s="15"/>
      <c r="Q128" s="15"/>
      <c r="R128" s="15"/>
      <c r="S128" s="15"/>
      <c r="T128" s="15"/>
      <c r="U128" s="15"/>
      <c r="V128" s="15"/>
      <c r="W128" s="15"/>
      <c r="X128" s="15"/>
      <c r="Y128" s="15"/>
      <c r="Z128" s="15">
        <v>2</v>
      </c>
      <c r="AA128" s="15"/>
      <c r="AB128" s="15"/>
      <c r="AC128" s="15"/>
      <c r="AD128" s="15"/>
      <c r="AE128" s="15"/>
      <c r="AF128" s="15"/>
      <c r="AG128" s="15"/>
      <c r="AH128" s="15">
        <v>5</v>
      </c>
      <c r="AI128" s="15"/>
      <c r="AJ128" s="15"/>
      <c r="AK128" s="15"/>
      <c r="AL128" s="15"/>
      <c r="AM128" s="15"/>
      <c r="AN128" s="15">
        <v>40</v>
      </c>
      <c r="AO128" s="15"/>
      <c r="AP128" s="15">
        <v>4</v>
      </c>
      <c r="AQ128" s="15"/>
      <c r="AR128" s="15"/>
      <c r="AS128" s="15">
        <v>30</v>
      </c>
      <c r="AT128" s="15">
        <v>28</v>
      </c>
      <c r="AU128" s="15"/>
      <c r="AV128" s="15"/>
      <c r="AW128" s="15">
        <v>1</v>
      </c>
      <c r="AX128" s="15"/>
      <c r="AY128" s="15"/>
      <c r="AZ128" s="15">
        <v>1</v>
      </c>
      <c r="BA128" s="15">
        <v>4</v>
      </c>
      <c r="BB128" s="15"/>
      <c r="BC128" s="15"/>
      <c r="BD128" s="15">
        <v>36</v>
      </c>
      <c r="BE128" s="19"/>
    </row>
    <row r="129" spans="1:57">
      <c r="A129" s="13" t="s">
        <v>369</v>
      </c>
      <c r="B129" s="13" t="s">
        <v>364</v>
      </c>
      <c r="C129" s="14">
        <v>44597</v>
      </c>
      <c r="D129" s="15" t="s">
        <v>90</v>
      </c>
      <c r="E129" s="15" t="s">
        <v>91</v>
      </c>
      <c r="F129" s="16">
        <v>0.33680555555555558</v>
      </c>
      <c r="G129" s="15" t="s">
        <v>68</v>
      </c>
      <c r="H129" s="15" t="s">
        <v>69</v>
      </c>
      <c r="I129" s="15" t="s">
        <v>70</v>
      </c>
      <c r="J129" s="15" t="s">
        <v>71</v>
      </c>
      <c r="K129" s="15"/>
      <c r="L129" s="15"/>
      <c r="M129" s="15"/>
      <c r="N129" s="15"/>
      <c r="O129" s="15"/>
      <c r="P129" s="15"/>
      <c r="Q129" s="15"/>
      <c r="R129" s="15"/>
      <c r="S129" s="15"/>
      <c r="T129" s="15"/>
      <c r="U129" s="15"/>
      <c r="V129" s="15"/>
      <c r="W129" s="15"/>
      <c r="X129" s="15"/>
      <c r="Y129" s="15"/>
      <c r="Z129" s="15"/>
      <c r="AA129" s="15">
        <v>70</v>
      </c>
      <c r="AB129" s="15"/>
      <c r="AC129" s="15"/>
      <c r="AD129" s="15"/>
      <c r="AE129" s="15"/>
      <c r="AF129" s="15"/>
      <c r="AG129" s="15"/>
      <c r="AH129" s="15"/>
      <c r="AI129" s="15"/>
      <c r="AJ129" s="15"/>
      <c r="AK129" s="15"/>
      <c r="AL129" s="15"/>
      <c r="AM129" s="15"/>
      <c r="AN129" s="15">
        <v>60</v>
      </c>
      <c r="AO129" s="15"/>
      <c r="AP129" s="15">
        <v>2</v>
      </c>
      <c r="AQ129" s="15"/>
      <c r="AR129" s="15"/>
      <c r="AS129" s="15"/>
      <c r="AT129" s="15"/>
      <c r="AU129" s="15"/>
      <c r="AV129" s="15"/>
      <c r="AW129" s="15"/>
      <c r="AX129" s="15"/>
      <c r="AY129" s="15"/>
      <c r="AZ129" s="15">
        <v>7</v>
      </c>
      <c r="BA129" s="15"/>
      <c r="BB129" s="15"/>
      <c r="BC129" s="15"/>
      <c r="BD129" s="15"/>
      <c r="BE129" s="18" t="s">
        <v>370</v>
      </c>
    </row>
    <row r="130" spans="1:57">
      <c r="A130" s="13" t="s">
        <v>371</v>
      </c>
      <c r="B130" s="13" t="s">
        <v>364</v>
      </c>
      <c r="C130" s="14">
        <v>44599</v>
      </c>
      <c r="D130" s="15" t="s">
        <v>317</v>
      </c>
      <c r="E130" s="15" t="s">
        <v>318</v>
      </c>
      <c r="F130" s="16">
        <v>0.38194444444444442</v>
      </c>
      <c r="G130" s="15" t="s">
        <v>78</v>
      </c>
      <c r="H130" s="15" t="s">
        <v>127</v>
      </c>
      <c r="I130" s="15" t="s">
        <v>70</v>
      </c>
      <c r="J130" s="15" t="s">
        <v>71</v>
      </c>
      <c r="K130" s="15"/>
      <c r="L130" s="15"/>
      <c r="M130" s="15">
        <v>15</v>
      </c>
      <c r="N130" s="15">
        <v>361</v>
      </c>
      <c r="O130" s="15">
        <v>1</v>
      </c>
      <c r="P130" s="15"/>
      <c r="Q130" s="15"/>
      <c r="R130" s="15"/>
      <c r="S130" s="15"/>
      <c r="T130" s="15"/>
      <c r="U130" s="15">
        <v>41</v>
      </c>
      <c r="V130" s="15"/>
      <c r="W130" s="15"/>
      <c r="X130" s="15"/>
      <c r="Y130" s="15"/>
      <c r="Z130" s="15"/>
      <c r="AA130" s="15"/>
      <c r="AB130" s="15"/>
      <c r="AC130" s="15"/>
      <c r="AD130" s="15"/>
      <c r="AE130" s="15"/>
      <c r="AF130" s="15"/>
      <c r="AG130" s="15"/>
      <c r="AH130" s="15">
        <v>47</v>
      </c>
      <c r="AI130" s="15"/>
      <c r="AJ130" s="15"/>
      <c r="AK130" s="15"/>
      <c r="AL130" s="15"/>
      <c r="AM130" s="15"/>
      <c r="AN130" s="15">
        <v>2</v>
      </c>
      <c r="AO130" s="15"/>
      <c r="AP130" s="15"/>
      <c r="AQ130" s="15"/>
      <c r="AR130" s="15"/>
      <c r="AS130" s="15"/>
      <c r="AT130" s="15">
        <v>7</v>
      </c>
      <c r="AU130" s="15"/>
      <c r="AV130" s="15"/>
      <c r="AW130" s="15">
        <v>1</v>
      </c>
      <c r="AX130" s="15">
        <v>1</v>
      </c>
      <c r="AY130" s="15"/>
      <c r="AZ130" s="15">
        <v>4</v>
      </c>
      <c r="BA130" s="15"/>
      <c r="BB130" s="15"/>
      <c r="BC130" s="15"/>
      <c r="BD130" s="15">
        <v>7</v>
      </c>
      <c r="BE130" s="18"/>
    </row>
    <row r="131" spans="1:57">
      <c r="A131" s="13" t="s">
        <v>372</v>
      </c>
      <c r="B131" s="13" t="s">
        <v>364</v>
      </c>
      <c r="C131" s="14">
        <v>44599</v>
      </c>
      <c r="D131" s="15" t="s">
        <v>283</v>
      </c>
      <c r="E131" s="15" t="s">
        <v>82</v>
      </c>
      <c r="F131" s="16">
        <v>0.45347222222222222</v>
      </c>
      <c r="G131" s="15" t="s">
        <v>78</v>
      </c>
      <c r="H131" s="15" t="s">
        <v>127</v>
      </c>
      <c r="I131" s="15" t="s">
        <v>70</v>
      </c>
      <c r="J131" s="15" t="s">
        <v>71</v>
      </c>
      <c r="K131" s="15"/>
      <c r="L131" s="15"/>
      <c r="M131" s="15">
        <v>43</v>
      </c>
      <c r="N131" s="15">
        <v>30</v>
      </c>
      <c r="O131" s="15"/>
      <c r="P131" s="15"/>
      <c r="Q131" s="15"/>
      <c r="R131" s="15"/>
      <c r="S131" s="15"/>
      <c r="T131" s="15"/>
      <c r="U131" s="15"/>
      <c r="V131" s="15"/>
      <c r="W131" s="15"/>
      <c r="X131" s="15">
        <v>1</v>
      </c>
      <c r="Y131" s="15"/>
      <c r="Z131" s="15">
        <v>12</v>
      </c>
      <c r="AA131" s="15">
        <v>157</v>
      </c>
      <c r="AB131" s="15">
        <v>13</v>
      </c>
      <c r="AC131" s="15"/>
      <c r="AD131" s="15">
        <v>54</v>
      </c>
      <c r="AE131" s="15"/>
      <c r="AF131" s="15">
        <v>1</v>
      </c>
      <c r="AG131" s="15"/>
      <c r="AH131" s="15">
        <v>72</v>
      </c>
      <c r="AI131" s="15"/>
      <c r="AJ131" s="15"/>
      <c r="AK131" s="15"/>
      <c r="AL131" s="15"/>
      <c r="AM131" s="15"/>
      <c r="AN131" s="15">
        <v>11</v>
      </c>
      <c r="AO131" s="15"/>
      <c r="AP131" s="15">
        <v>77</v>
      </c>
      <c r="AQ131" s="15"/>
      <c r="AR131" s="15"/>
      <c r="AS131" s="15">
        <v>36</v>
      </c>
      <c r="AT131" s="15"/>
      <c r="AU131" s="15"/>
      <c r="AV131" s="15"/>
      <c r="AW131" s="15">
        <v>53</v>
      </c>
      <c r="AX131" s="15">
        <v>9</v>
      </c>
      <c r="AY131" s="15"/>
      <c r="AZ131" s="15">
        <v>110</v>
      </c>
      <c r="BA131" s="15">
        <v>15</v>
      </c>
      <c r="BB131" s="15"/>
      <c r="BC131" s="15"/>
      <c r="BD131" s="15">
        <v>2</v>
      </c>
      <c r="BE131" s="18" t="s">
        <v>373</v>
      </c>
    </row>
    <row r="132" spans="1:57">
      <c r="A132" s="13" t="s">
        <v>374</v>
      </c>
      <c r="B132" s="13" t="s">
        <v>364</v>
      </c>
      <c r="C132" s="14">
        <v>44599</v>
      </c>
      <c r="D132" s="15" t="s">
        <v>375</v>
      </c>
      <c r="E132" s="15" t="s">
        <v>376</v>
      </c>
      <c r="F132" s="16">
        <v>0.50694444444444442</v>
      </c>
      <c r="G132" s="15" t="s">
        <v>78</v>
      </c>
      <c r="H132" s="15" t="s">
        <v>109</v>
      </c>
      <c r="I132" s="15" t="s">
        <v>70</v>
      </c>
      <c r="J132" s="15" t="s">
        <v>71</v>
      </c>
      <c r="K132" s="15"/>
      <c r="L132" s="15"/>
      <c r="M132" s="15">
        <v>2</v>
      </c>
      <c r="N132" s="15">
        <v>3</v>
      </c>
      <c r="O132" s="15"/>
      <c r="P132" s="15"/>
      <c r="Q132" s="15"/>
      <c r="R132" s="15"/>
      <c r="S132" s="15"/>
      <c r="T132" s="15"/>
      <c r="U132" s="15"/>
      <c r="V132" s="15"/>
      <c r="W132" s="15"/>
      <c r="X132" s="15"/>
      <c r="Y132" s="15"/>
      <c r="Z132" s="15">
        <v>1</v>
      </c>
      <c r="AA132" s="15">
        <v>71</v>
      </c>
      <c r="AB132" s="15"/>
      <c r="AC132" s="15"/>
      <c r="AD132" s="15"/>
      <c r="AE132" s="15"/>
      <c r="AF132" s="15"/>
      <c r="AG132" s="15"/>
      <c r="AH132" s="15">
        <v>21</v>
      </c>
      <c r="AI132" s="15"/>
      <c r="AJ132" s="15"/>
      <c r="AK132" s="15"/>
      <c r="AL132" s="15"/>
      <c r="AM132" s="15"/>
      <c r="AN132" s="15"/>
      <c r="AO132" s="15"/>
      <c r="AP132" s="15"/>
      <c r="AQ132" s="15"/>
      <c r="AR132" s="15"/>
      <c r="AS132" s="15"/>
      <c r="AT132" s="15">
        <v>8</v>
      </c>
      <c r="AU132" s="15"/>
      <c r="AV132" s="15"/>
      <c r="AW132" s="15"/>
      <c r="AX132" s="15">
        <v>4</v>
      </c>
      <c r="AY132" s="15"/>
      <c r="AZ132" s="15">
        <v>19</v>
      </c>
      <c r="BA132" s="15"/>
      <c r="BB132" s="15"/>
      <c r="BC132" s="15"/>
      <c r="BD132" s="15"/>
      <c r="BE132" s="18"/>
    </row>
    <row r="133" spans="1:57" ht="26.25">
      <c r="A133" s="13" t="s">
        <v>377</v>
      </c>
      <c r="B133" s="13" t="s">
        <v>364</v>
      </c>
      <c r="C133" s="14">
        <v>44599</v>
      </c>
      <c r="D133" s="15" t="s">
        <v>90</v>
      </c>
      <c r="E133" s="15" t="s">
        <v>91</v>
      </c>
      <c r="F133" s="16">
        <v>0.34375</v>
      </c>
      <c r="G133" s="15" t="s">
        <v>78</v>
      </c>
      <c r="H133" s="15" t="s">
        <v>127</v>
      </c>
      <c r="I133" s="15" t="s">
        <v>70</v>
      </c>
      <c r="J133" s="15" t="s">
        <v>71</v>
      </c>
      <c r="K133" s="15"/>
      <c r="L133" s="15"/>
      <c r="M133" s="15"/>
      <c r="N133" s="15"/>
      <c r="O133" s="15"/>
      <c r="P133" s="15"/>
      <c r="Q133" s="15"/>
      <c r="R133" s="15"/>
      <c r="S133" s="15"/>
      <c r="T133" s="15"/>
      <c r="U133" s="15"/>
      <c r="V133" s="15"/>
      <c r="W133" s="15"/>
      <c r="X133" s="15"/>
      <c r="Y133" s="15"/>
      <c r="Z133" s="15"/>
      <c r="AA133" s="15">
        <v>57</v>
      </c>
      <c r="AB133" s="15"/>
      <c r="AC133" s="15"/>
      <c r="AD133" s="15"/>
      <c r="AE133" s="15"/>
      <c r="AF133" s="15"/>
      <c r="AG133" s="15"/>
      <c r="AH133" s="15">
        <v>6</v>
      </c>
      <c r="AI133" s="15"/>
      <c r="AJ133" s="15"/>
      <c r="AK133" s="15"/>
      <c r="AL133" s="15"/>
      <c r="AM133" s="15"/>
      <c r="AN133" s="15">
        <v>31</v>
      </c>
      <c r="AO133" s="15"/>
      <c r="AP133" s="15">
        <v>3</v>
      </c>
      <c r="AQ133" s="15"/>
      <c r="AR133" s="15"/>
      <c r="AS133" s="15">
        <v>16</v>
      </c>
      <c r="AT133" s="15">
        <v>1</v>
      </c>
      <c r="AU133" s="15"/>
      <c r="AV133" s="15"/>
      <c r="AW133" s="15"/>
      <c r="AX133" s="15"/>
      <c r="AY133" s="15"/>
      <c r="AZ133" s="15">
        <v>4</v>
      </c>
      <c r="BA133" s="15"/>
      <c r="BB133" s="15"/>
      <c r="BC133" s="15"/>
      <c r="BD133" s="15"/>
      <c r="BE133" s="18" t="s">
        <v>378</v>
      </c>
    </row>
    <row r="134" spans="1:57">
      <c r="A134" s="13" t="s">
        <v>379</v>
      </c>
      <c r="B134" s="13" t="s">
        <v>380</v>
      </c>
      <c r="C134" s="14">
        <v>44601</v>
      </c>
      <c r="D134" s="15" t="s">
        <v>381</v>
      </c>
      <c r="E134" s="15" t="s">
        <v>382</v>
      </c>
      <c r="F134" s="16">
        <v>0.3611111111111111</v>
      </c>
      <c r="G134" s="15" t="s">
        <v>78</v>
      </c>
      <c r="H134" s="15" t="s">
        <v>123</v>
      </c>
      <c r="I134" s="15" t="s">
        <v>118</v>
      </c>
      <c r="J134" s="15" t="s">
        <v>71</v>
      </c>
      <c r="K134" s="17"/>
      <c r="L134" s="17"/>
      <c r="M134" s="17"/>
      <c r="N134" s="17"/>
      <c r="O134" s="15">
        <v>7</v>
      </c>
      <c r="P134" s="15">
        <v>38</v>
      </c>
      <c r="Q134" s="15">
        <v>8</v>
      </c>
      <c r="R134" s="17"/>
      <c r="S134" s="17"/>
      <c r="T134" s="17"/>
      <c r="U134" s="17"/>
      <c r="V134" s="17"/>
      <c r="W134" s="17"/>
      <c r="X134" s="17"/>
      <c r="Y134" s="17"/>
      <c r="Z134" s="17"/>
      <c r="AA134" s="17"/>
      <c r="AB134" s="17"/>
      <c r="AC134" s="17"/>
      <c r="AD134" s="17"/>
      <c r="AE134" s="17"/>
      <c r="AF134" s="17"/>
      <c r="AG134" s="17"/>
      <c r="AH134" s="17"/>
      <c r="AI134" s="17"/>
      <c r="AJ134" s="15">
        <v>2</v>
      </c>
      <c r="AK134" s="17"/>
      <c r="AL134" s="17"/>
      <c r="AM134" s="17"/>
      <c r="AN134" s="17"/>
      <c r="AO134" s="17"/>
      <c r="AP134" s="17"/>
      <c r="AQ134" s="15">
        <v>3</v>
      </c>
      <c r="AR134" s="17"/>
      <c r="AS134" s="15">
        <v>285</v>
      </c>
      <c r="AT134" s="17"/>
      <c r="AU134" s="17"/>
      <c r="AV134" s="17"/>
      <c r="AW134" s="17"/>
      <c r="AX134" s="17"/>
      <c r="AY134" s="17"/>
      <c r="AZ134" s="17"/>
      <c r="BA134" s="17"/>
      <c r="BB134" s="17"/>
      <c r="BC134" s="17"/>
      <c r="BD134" s="15">
        <v>20</v>
      </c>
      <c r="BE134" s="18"/>
    </row>
    <row r="135" spans="1:57">
      <c r="A135" s="24" t="s">
        <v>383</v>
      </c>
      <c r="B135" s="24" t="s">
        <v>384</v>
      </c>
      <c r="C135" s="14"/>
      <c r="F135" s="16"/>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8"/>
    </row>
    <row r="136" spans="1:57">
      <c r="A136" s="13" t="s">
        <v>385</v>
      </c>
      <c r="B136" s="13" t="s">
        <v>384</v>
      </c>
      <c r="C136" s="14">
        <v>44596</v>
      </c>
      <c r="D136" s="15" t="s">
        <v>386</v>
      </c>
      <c r="E136" s="15" t="s">
        <v>387</v>
      </c>
      <c r="F136" s="23" t="s">
        <v>388</v>
      </c>
      <c r="G136" s="15" t="s">
        <v>78</v>
      </c>
      <c r="H136" s="15" t="s">
        <v>69</v>
      </c>
      <c r="I136" s="15" t="s">
        <v>70</v>
      </c>
      <c r="J136" s="15" t="s">
        <v>71</v>
      </c>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v>1</v>
      </c>
      <c r="AQ136" s="15"/>
      <c r="AR136" s="15"/>
      <c r="AS136" s="15">
        <v>18</v>
      </c>
      <c r="AT136" s="15">
        <v>1</v>
      </c>
      <c r="AU136" s="15"/>
      <c r="AV136" s="15"/>
      <c r="AW136" s="15"/>
      <c r="AX136" s="15">
        <v>19</v>
      </c>
      <c r="AY136" s="15"/>
      <c r="AZ136" s="15">
        <v>1</v>
      </c>
      <c r="BA136" s="15"/>
      <c r="BB136" s="15"/>
      <c r="BC136" s="15"/>
      <c r="BD136" s="15"/>
      <c r="BE136" s="18"/>
    </row>
    <row r="137" spans="1:57" ht="31.5">
      <c r="A137" s="13" t="s">
        <v>389</v>
      </c>
      <c r="B137" s="13" t="s">
        <v>384</v>
      </c>
      <c r="C137" s="38"/>
      <c r="F137" s="33"/>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9"/>
    </row>
    <row r="138" spans="1:57">
      <c r="A138" s="29" t="s">
        <v>390</v>
      </c>
      <c r="B138" s="24" t="s">
        <v>384</v>
      </c>
      <c r="C138" s="14">
        <v>44599</v>
      </c>
      <c r="D138" s="15" t="s">
        <v>391</v>
      </c>
      <c r="E138" s="15" t="s">
        <v>392</v>
      </c>
      <c r="F138" s="16">
        <v>0.38541666666666669</v>
      </c>
      <c r="G138" s="15" t="s">
        <v>78</v>
      </c>
      <c r="H138" s="15" t="s">
        <v>69</v>
      </c>
      <c r="I138" s="15" t="s">
        <v>70</v>
      </c>
      <c r="J138" s="15" t="s">
        <v>71</v>
      </c>
      <c r="K138" s="15"/>
      <c r="L138" s="15"/>
      <c r="M138" s="15"/>
      <c r="N138" s="15">
        <v>18</v>
      </c>
      <c r="O138" s="15"/>
      <c r="P138" s="15"/>
      <c r="Q138" s="15"/>
      <c r="R138" s="15"/>
      <c r="S138" s="15"/>
      <c r="T138" s="15"/>
      <c r="U138" s="15"/>
      <c r="V138" s="15"/>
      <c r="W138" s="15"/>
      <c r="X138" s="15"/>
      <c r="Y138" s="15"/>
      <c r="Z138" s="15"/>
      <c r="AA138" s="15"/>
      <c r="AB138" s="15"/>
      <c r="AC138" s="15"/>
      <c r="AD138" s="15"/>
      <c r="AE138" s="15">
        <v>3</v>
      </c>
      <c r="AF138" s="15"/>
      <c r="AG138" s="15"/>
      <c r="AH138" s="15"/>
      <c r="AI138" s="15"/>
      <c r="AJ138" s="15"/>
      <c r="AK138" s="15"/>
      <c r="AL138" s="15"/>
      <c r="AM138" s="15"/>
      <c r="AN138" s="15"/>
      <c r="AO138" s="15"/>
      <c r="AP138" s="15">
        <v>5</v>
      </c>
      <c r="AQ138" s="15"/>
      <c r="AR138" s="15"/>
      <c r="AS138" s="15">
        <v>13</v>
      </c>
      <c r="AT138" s="15"/>
      <c r="AU138" s="15"/>
      <c r="AV138" s="15"/>
      <c r="AW138" s="15">
        <v>1</v>
      </c>
      <c r="AX138" s="15">
        <v>38</v>
      </c>
      <c r="AY138" s="15"/>
      <c r="AZ138" s="15">
        <v>44</v>
      </c>
      <c r="BA138" s="15">
        <v>1</v>
      </c>
      <c r="BB138" s="15"/>
      <c r="BC138" s="15"/>
      <c r="BD138" s="15">
        <v>4</v>
      </c>
      <c r="BE138" s="18" t="s">
        <v>393</v>
      </c>
    </row>
    <row r="139" spans="1:57">
      <c r="A139" s="13" t="s">
        <v>394</v>
      </c>
      <c r="B139" s="13" t="s">
        <v>384</v>
      </c>
      <c r="C139" s="30"/>
      <c r="F139" s="16"/>
      <c r="G139" s="17"/>
      <c r="H139" s="17"/>
      <c r="I139" s="17"/>
      <c r="J139" s="17"/>
      <c r="BE139" s="18"/>
    </row>
    <row r="140" spans="1:57">
      <c r="A140" s="13" t="s">
        <v>395</v>
      </c>
      <c r="B140" s="13" t="s">
        <v>384</v>
      </c>
      <c r="C140" s="32">
        <v>44596</v>
      </c>
      <c r="D140" s="15" t="s">
        <v>386</v>
      </c>
      <c r="E140" s="15" t="s">
        <v>387</v>
      </c>
      <c r="F140" s="23" t="s">
        <v>396</v>
      </c>
      <c r="G140" s="15" t="s">
        <v>78</v>
      </c>
      <c r="H140" s="15" t="s">
        <v>69</v>
      </c>
      <c r="I140" s="15" t="s">
        <v>70</v>
      </c>
      <c r="J140" s="15" t="s">
        <v>71</v>
      </c>
      <c r="K140" s="15">
        <v>2</v>
      </c>
      <c r="L140" s="15"/>
      <c r="M140" s="15"/>
      <c r="N140" s="15">
        <v>90</v>
      </c>
      <c r="O140" s="15"/>
      <c r="P140" s="15"/>
      <c r="Q140" s="15">
        <v>6</v>
      </c>
      <c r="R140" s="15"/>
      <c r="S140" s="15"/>
      <c r="T140" s="15"/>
      <c r="U140" s="15">
        <v>2</v>
      </c>
      <c r="V140" s="15"/>
      <c r="W140" s="15"/>
      <c r="X140" s="15"/>
      <c r="Y140" s="15"/>
      <c r="Z140" s="15">
        <v>5</v>
      </c>
      <c r="AA140" s="15">
        <v>19</v>
      </c>
      <c r="AB140" s="15"/>
      <c r="AC140" s="15"/>
      <c r="AD140" s="15"/>
      <c r="AE140" s="15">
        <v>1</v>
      </c>
      <c r="AF140" s="15"/>
      <c r="AG140" s="15"/>
      <c r="AH140" s="15">
        <v>2</v>
      </c>
      <c r="AI140" s="15"/>
      <c r="AJ140" s="15"/>
      <c r="AK140" s="15"/>
      <c r="AL140" s="15"/>
      <c r="AM140" s="15">
        <v>37</v>
      </c>
      <c r="AN140" s="15"/>
      <c r="AO140" s="15"/>
      <c r="AP140" s="15"/>
      <c r="AQ140" s="15"/>
      <c r="AR140" s="15"/>
      <c r="AS140" s="15">
        <v>1</v>
      </c>
      <c r="AT140" s="15"/>
      <c r="AU140" s="15"/>
      <c r="AV140" s="15"/>
      <c r="AW140" s="15">
        <v>1</v>
      </c>
      <c r="AX140" s="15">
        <v>541</v>
      </c>
      <c r="AY140" s="15"/>
      <c r="AZ140" s="15">
        <v>453</v>
      </c>
      <c r="BA140" s="15">
        <v>3</v>
      </c>
      <c r="BB140" s="15"/>
      <c r="BC140" s="15"/>
      <c r="BD140" s="15">
        <v>9</v>
      </c>
      <c r="BE140" s="18" t="s">
        <v>397</v>
      </c>
    </row>
    <row r="141" spans="1:57" ht="31.5">
      <c r="A141" s="13" t="s">
        <v>398</v>
      </c>
      <c r="B141" s="13" t="s">
        <v>399</v>
      </c>
      <c r="C141" s="43">
        <v>44603</v>
      </c>
      <c r="D141" s="15" t="s">
        <v>361</v>
      </c>
      <c r="E141" s="15" t="s">
        <v>362</v>
      </c>
      <c r="F141" s="16">
        <v>0.3611111111111111</v>
      </c>
      <c r="G141" s="17"/>
      <c r="H141" s="17"/>
      <c r="I141" s="17"/>
      <c r="J141" s="15" t="s">
        <v>71</v>
      </c>
      <c r="O141" s="15">
        <v>3</v>
      </c>
      <c r="P141" s="15">
        <v>38</v>
      </c>
      <c r="R141" s="15">
        <v>3</v>
      </c>
      <c r="BD141" s="15">
        <v>2</v>
      </c>
      <c r="BE141" s="19"/>
    </row>
    <row r="142" spans="1:57" ht="31.5">
      <c r="A142" s="13" t="s">
        <v>400</v>
      </c>
      <c r="B142" s="13" t="s">
        <v>401</v>
      </c>
      <c r="C142" s="43">
        <v>44599</v>
      </c>
      <c r="D142" s="15" t="s">
        <v>402</v>
      </c>
      <c r="F142" s="16">
        <v>0.39583333333333331</v>
      </c>
      <c r="G142" s="15" t="s">
        <v>78</v>
      </c>
      <c r="H142" s="17"/>
      <c r="I142" s="17"/>
      <c r="J142" s="15" t="s">
        <v>71</v>
      </c>
      <c r="K142" s="15">
        <v>6</v>
      </c>
      <c r="L142" s="15">
        <v>14</v>
      </c>
      <c r="M142" s="15">
        <v>24</v>
      </c>
      <c r="N142" s="15">
        <v>1</v>
      </c>
      <c r="O142" s="15">
        <v>3</v>
      </c>
      <c r="P142" s="15"/>
      <c r="Q142" s="15"/>
      <c r="R142" s="15"/>
      <c r="S142" s="15"/>
      <c r="T142" s="15"/>
      <c r="U142" s="15">
        <v>3</v>
      </c>
      <c r="V142" s="15"/>
      <c r="W142" s="15"/>
      <c r="X142" s="15"/>
      <c r="Y142" s="15"/>
      <c r="Z142" s="15"/>
      <c r="AA142" s="15">
        <v>2</v>
      </c>
      <c r="AB142" s="15"/>
      <c r="AC142" s="15"/>
      <c r="AD142" s="15"/>
      <c r="AE142" s="15"/>
      <c r="AF142" s="15"/>
      <c r="AG142" s="15"/>
      <c r="AH142" s="15">
        <v>5</v>
      </c>
      <c r="AI142" s="15"/>
      <c r="AJ142" s="15"/>
      <c r="AK142" s="15"/>
      <c r="AL142" s="15"/>
      <c r="AM142" s="15"/>
      <c r="AN142" s="15"/>
      <c r="AO142" s="15"/>
      <c r="AP142" s="15">
        <v>8</v>
      </c>
      <c r="AQ142" s="15">
        <v>7</v>
      </c>
      <c r="AR142" s="15"/>
      <c r="AS142" s="15">
        <v>9</v>
      </c>
      <c r="AT142" s="15">
        <v>7</v>
      </c>
      <c r="AU142" s="15"/>
      <c r="AV142" s="15"/>
      <c r="AW142" s="15"/>
      <c r="AX142" s="15">
        <v>10</v>
      </c>
      <c r="AY142" s="15"/>
      <c r="AZ142" s="15">
        <v>12</v>
      </c>
      <c r="BA142" s="15">
        <v>6</v>
      </c>
      <c r="BB142" s="15"/>
      <c r="BC142" s="15"/>
      <c r="BD142" s="15">
        <v>140</v>
      </c>
      <c r="BE142" s="18" t="s">
        <v>403</v>
      </c>
    </row>
    <row r="143" spans="1:57" ht="31.5">
      <c r="A143" s="20" t="s">
        <v>404</v>
      </c>
      <c r="B143" s="13" t="s">
        <v>401</v>
      </c>
      <c r="C143" s="32"/>
      <c r="F143" s="21"/>
      <c r="G143" s="17"/>
      <c r="H143" s="17"/>
      <c r="I143" s="17"/>
      <c r="J143" s="17"/>
      <c r="BE143" s="19"/>
    </row>
    <row r="144" spans="1:57" ht="31.5">
      <c r="A144" s="20" t="s">
        <v>405</v>
      </c>
      <c r="B144" s="13" t="s">
        <v>401</v>
      </c>
      <c r="C144" s="14">
        <v>44602</v>
      </c>
      <c r="D144" s="15" t="s">
        <v>406</v>
      </c>
      <c r="E144" s="15" t="s">
        <v>407</v>
      </c>
      <c r="F144" s="16">
        <v>0.41666666666666669</v>
      </c>
      <c r="G144" s="15" t="s">
        <v>78</v>
      </c>
      <c r="H144" s="15" t="s">
        <v>69</v>
      </c>
      <c r="I144" s="15" t="s">
        <v>70</v>
      </c>
      <c r="J144" s="15" t="s">
        <v>71</v>
      </c>
      <c r="K144" s="15"/>
      <c r="L144" s="15"/>
      <c r="M144" s="15"/>
      <c r="N144" s="15"/>
      <c r="O144" s="15"/>
      <c r="P144" s="15"/>
      <c r="Q144" s="15"/>
      <c r="R144" s="15"/>
      <c r="S144" s="15"/>
      <c r="T144" s="15"/>
      <c r="U144" s="15"/>
      <c r="V144" s="15"/>
      <c r="W144" s="15"/>
      <c r="X144" s="15"/>
      <c r="Y144" s="15"/>
      <c r="Z144" s="15"/>
      <c r="AA144" s="15"/>
      <c r="AB144" s="15"/>
      <c r="AC144" s="15"/>
      <c r="AD144" s="15"/>
      <c r="AE144" s="15">
        <v>1</v>
      </c>
      <c r="AF144" s="15"/>
      <c r="AG144" s="15"/>
      <c r="AH144" s="15">
        <v>2</v>
      </c>
      <c r="AI144" s="15"/>
      <c r="AJ144" s="15"/>
      <c r="AK144" s="15"/>
      <c r="AL144" s="15"/>
      <c r="AM144" s="15"/>
      <c r="AN144" s="15"/>
      <c r="AO144" s="15"/>
      <c r="AP144" s="15">
        <v>1</v>
      </c>
      <c r="AQ144" s="15"/>
      <c r="AR144" s="15"/>
      <c r="AS144" s="15">
        <v>2</v>
      </c>
      <c r="AT144" s="15"/>
      <c r="AU144" s="15"/>
      <c r="AV144" s="15"/>
      <c r="AW144" s="15"/>
      <c r="AX144" s="15">
        <v>69</v>
      </c>
      <c r="AY144" s="15"/>
      <c r="AZ144" s="15">
        <v>8</v>
      </c>
      <c r="BA144" s="15">
        <v>5</v>
      </c>
      <c r="BB144" s="15"/>
      <c r="BC144" s="15"/>
      <c r="BD144" s="15"/>
      <c r="BE144" s="18" t="s">
        <v>408</v>
      </c>
    </row>
    <row r="145" spans="1:57" ht="31.5">
      <c r="A145" s="24" t="s">
        <v>409</v>
      </c>
      <c r="B145" s="24" t="s">
        <v>401</v>
      </c>
      <c r="C145" s="14">
        <v>44602</v>
      </c>
      <c r="D145" s="15" t="s">
        <v>410</v>
      </c>
      <c r="E145" s="15" t="s">
        <v>411</v>
      </c>
      <c r="F145" s="16">
        <v>0.33333333333333331</v>
      </c>
      <c r="G145" s="15" t="s">
        <v>78</v>
      </c>
      <c r="H145" s="17"/>
      <c r="I145" s="15" t="s">
        <v>70</v>
      </c>
      <c r="J145" s="15" t="s">
        <v>71</v>
      </c>
      <c r="K145" s="15">
        <v>4</v>
      </c>
      <c r="L145" s="15"/>
      <c r="M145" s="15">
        <v>41</v>
      </c>
      <c r="N145" s="15">
        <v>142</v>
      </c>
      <c r="O145" s="15"/>
      <c r="P145" s="15">
        <v>1</v>
      </c>
      <c r="Q145" s="15"/>
      <c r="R145" s="15"/>
      <c r="S145" s="15"/>
      <c r="T145" s="15"/>
      <c r="U145" s="15">
        <v>1</v>
      </c>
      <c r="V145" s="15"/>
      <c r="W145" s="15"/>
      <c r="X145" s="15"/>
      <c r="Y145" s="15">
        <v>1</v>
      </c>
      <c r="Z145" s="15">
        <v>26</v>
      </c>
      <c r="AA145" s="15">
        <v>576</v>
      </c>
      <c r="AB145" s="15"/>
      <c r="AC145" s="15"/>
      <c r="AD145" s="15"/>
      <c r="AE145" s="15"/>
      <c r="AF145" s="15"/>
      <c r="AG145" s="15"/>
      <c r="AH145" s="15">
        <v>17</v>
      </c>
      <c r="AI145" s="15"/>
      <c r="AJ145" s="15"/>
      <c r="AK145" s="15"/>
      <c r="AL145" s="15"/>
      <c r="AM145" s="15"/>
      <c r="AN145" s="15"/>
      <c r="AO145" s="15"/>
      <c r="AP145" s="15">
        <v>69</v>
      </c>
      <c r="AQ145" s="15"/>
      <c r="AR145" s="15"/>
      <c r="AS145" s="15">
        <v>32</v>
      </c>
      <c r="AT145" s="15">
        <v>1</v>
      </c>
      <c r="AU145" s="15"/>
      <c r="AV145" s="15"/>
      <c r="AW145" s="15">
        <v>3</v>
      </c>
      <c r="AX145" s="15">
        <v>59</v>
      </c>
      <c r="AY145" s="15"/>
      <c r="AZ145" s="15">
        <v>8</v>
      </c>
      <c r="BA145" s="15">
        <v>105</v>
      </c>
      <c r="BB145" s="15"/>
      <c r="BC145" s="15"/>
      <c r="BD145" s="15"/>
      <c r="BE145" s="18" t="s">
        <v>412</v>
      </c>
    </row>
    <row r="146" spans="1:57" ht="51.75">
      <c r="A146" s="20" t="s">
        <v>413</v>
      </c>
      <c r="B146" s="13" t="s">
        <v>401</v>
      </c>
      <c r="C146" s="14">
        <v>44601</v>
      </c>
      <c r="D146" s="15" t="s">
        <v>406</v>
      </c>
      <c r="E146" s="15" t="s">
        <v>407</v>
      </c>
      <c r="F146" s="16">
        <v>0.44791666666666669</v>
      </c>
      <c r="G146" s="15" t="s">
        <v>78</v>
      </c>
      <c r="H146" s="15" t="s">
        <v>69</v>
      </c>
      <c r="I146" s="17"/>
      <c r="J146" s="15" t="s">
        <v>71</v>
      </c>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5">
        <v>3</v>
      </c>
      <c r="AQ146" s="17"/>
      <c r="AR146" s="17"/>
      <c r="AS146" s="17"/>
      <c r="AT146" s="17"/>
      <c r="AU146" s="17"/>
      <c r="AV146" s="17"/>
      <c r="AW146" s="17"/>
      <c r="AX146" s="15">
        <v>4</v>
      </c>
      <c r="AY146" s="17"/>
      <c r="AZ146" s="17"/>
      <c r="BA146" s="17"/>
      <c r="BB146" s="17"/>
      <c r="BC146" s="17"/>
      <c r="BD146" s="17"/>
      <c r="BE146" s="18" t="s">
        <v>414</v>
      </c>
    </row>
    <row r="147" spans="1:57" ht="31.5">
      <c r="A147" s="20" t="s">
        <v>415</v>
      </c>
      <c r="B147" s="13" t="s">
        <v>401</v>
      </c>
      <c r="C147" s="14">
        <v>44599</v>
      </c>
      <c r="D147" s="15" t="s">
        <v>416</v>
      </c>
      <c r="F147" s="16">
        <v>0.54166666666666663</v>
      </c>
      <c r="G147" s="15" t="s">
        <v>83</v>
      </c>
      <c r="H147" s="15" t="s">
        <v>69</v>
      </c>
      <c r="I147" s="15" t="s">
        <v>70</v>
      </c>
      <c r="J147" s="15" t="s">
        <v>71</v>
      </c>
      <c r="K147" s="17"/>
      <c r="L147" s="15"/>
      <c r="M147" s="15"/>
      <c r="N147" s="15"/>
      <c r="O147" s="15"/>
      <c r="P147" s="15">
        <v>2</v>
      </c>
      <c r="Q147" s="15"/>
      <c r="R147" s="15">
        <v>1</v>
      </c>
      <c r="S147" s="15"/>
      <c r="T147" s="15"/>
      <c r="U147" s="15"/>
      <c r="V147" s="15"/>
      <c r="W147" s="15"/>
      <c r="X147" s="15"/>
      <c r="Y147" s="15"/>
      <c r="Z147" s="15"/>
      <c r="AA147" s="15"/>
      <c r="AB147" s="15"/>
      <c r="AC147" s="15"/>
      <c r="AD147" s="15"/>
      <c r="AE147" s="15"/>
      <c r="AF147" s="15"/>
      <c r="AG147" s="15"/>
      <c r="AH147" s="15"/>
      <c r="AI147" s="15"/>
      <c r="AJ147" s="15"/>
      <c r="AK147" s="15"/>
      <c r="AL147" s="15">
        <v>1</v>
      </c>
      <c r="AM147" s="15"/>
      <c r="AN147" s="15"/>
      <c r="AO147" s="15"/>
      <c r="AP147" s="15">
        <v>2</v>
      </c>
      <c r="AQ147" s="15"/>
      <c r="AR147" s="15">
        <v>1</v>
      </c>
      <c r="AS147" s="15">
        <v>13</v>
      </c>
      <c r="AT147" s="15"/>
      <c r="AU147" s="15"/>
      <c r="AV147" s="15"/>
      <c r="AW147" s="15">
        <v>7</v>
      </c>
      <c r="AX147" s="15"/>
      <c r="AY147" s="15"/>
      <c r="AZ147" s="15"/>
      <c r="BA147" s="15"/>
      <c r="BB147" s="15"/>
      <c r="BC147" s="15"/>
      <c r="BD147" s="15">
        <v>8</v>
      </c>
      <c r="BE147" s="18" t="s">
        <v>417</v>
      </c>
    </row>
    <row r="148" spans="1:57" ht="31.5">
      <c r="A148" s="24" t="s">
        <v>418</v>
      </c>
      <c r="B148" s="24" t="s">
        <v>401</v>
      </c>
      <c r="C148" s="14">
        <v>44602</v>
      </c>
      <c r="D148" s="15" t="s">
        <v>419</v>
      </c>
      <c r="F148" s="16">
        <v>6.25E-2</v>
      </c>
      <c r="G148" s="15" t="s">
        <v>83</v>
      </c>
      <c r="H148" s="15" t="s">
        <v>127</v>
      </c>
      <c r="I148" s="15" t="s">
        <v>70</v>
      </c>
      <c r="J148" s="15" t="s">
        <v>71</v>
      </c>
      <c r="K148" s="15"/>
      <c r="L148" s="15"/>
      <c r="M148" s="15"/>
      <c r="N148" s="15">
        <v>1</v>
      </c>
      <c r="O148" s="15"/>
      <c r="P148" s="15">
        <v>8</v>
      </c>
      <c r="Q148" s="15">
        <v>4</v>
      </c>
      <c r="R148" s="15"/>
      <c r="S148" s="15"/>
      <c r="T148" s="15"/>
      <c r="U148" s="15"/>
      <c r="V148" s="15"/>
      <c r="W148" s="15"/>
      <c r="X148" s="15"/>
      <c r="Y148" s="15"/>
      <c r="Z148" s="15"/>
      <c r="AA148" s="15"/>
      <c r="AB148" s="15"/>
      <c r="AC148" s="15"/>
      <c r="AD148" s="15"/>
      <c r="AE148" s="15"/>
      <c r="AF148" s="15"/>
      <c r="AG148" s="15">
        <v>2</v>
      </c>
      <c r="AH148" s="15"/>
      <c r="AI148" s="15"/>
      <c r="AJ148" s="15"/>
      <c r="AK148" s="15">
        <v>1</v>
      </c>
      <c r="AL148" s="15">
        <v>1</v>
      </c>
      <c r="AM148" s="15"/>
      <c r="AN148" s="15"/>
      <c r="AO148" s="15"/>
      <c r="AP148" s="15">
        <v>1</v>
      </c>
      <c r="AQ148" s="15"/>
      <c r="AR148" s="15"/>
      <c r="AS148" s="15">
        <v>1</v>
      </c>
      <c r="AT148" s="15"/>
      <c r="AU148" s="15"/>
      <c r="AV148" s="15"/>
      <c r="AW148" s="15"/>
      <c r="AX148" s="15"/>
      <c r="AY148" s="15"/>
      <c r="AZ148" s="15"/>
      <c r="BA148" s="15"/>
      <c r="BB148" s="15"/>
      <c r="BC148" s="15"/>
      <c r="BD148" s="15">
        <v>8</v>
      </c>
      <c r="BE148" s="18" t="s">
        <v>420</v>
      </c>
    </row>
    <row r="149" spans="1:57" ht="31.5">
      <c r="A149" s="35" t="s">
        <v>421</v>
      </c>
      <c r="B149" s="35" t="s">
        <v>422</v>
      </c>
      <c r="C149" s="44">
        <v>44599</v>
      </c>
      <c r="D149" s="45" t="s">
        <v>423</v>
      </c>
      <c r="E149" s="45" t="s">
        <v>424</v>
      </c>
      <c r="F149" s="46">
        <v>0.375</v>
      </c>
      <c r="G149" s="15" t="s">
        <v>78</v>
      </c>
      <c r="H149" s="15" t="s">
        <v>127</v>
      </c>
      <c r="I149" s="15" t="s">
        <v>70</v>
      </c>
      <c r="J149" s="15" t="s">
        <v>71</v>
      </c>
      <c r="K149" s="47"/>
      <c r="L149" s="48"/>
      <c r="M149" s="48"/>
      <c r="N149" s="48"/>
      <c r="O149" s="48"/>
      <c r="P149" s="48"/>
      <c r="Q149" s="48"/>
      <c r="R149" s="48"/>
      <c r="S149" s="48"/>
      <c r="T149" s="48"/>
      <c r="U149" s="15"/>
      <c r="V149" s="15"/>
      <c r="W149" s="48"/>
      <c r="X149" s="48"/>
      <c r="Y149" s="48"/>
      <c r="Z149" s="48"/>
      <c r="AA149" s="48">
        <v>33</v>
      </c>
      <c r="AB149" s="15"/>
      <c r="AC149" s="15"/>
      <c r="AD149" s="15"/>
      <c r="AE149" s="15"/>
      <c r="AF149" s="15"/>
      <c r="AG149" s="15"/>
      <c r="AH149" s="15">
        <v>4</v>
      </c>
      <c r="AI149" s="15"/>
      <c r="AJ149" s="15"/>
      <c r="AK149" s="15"/>
      <c r="AL149" s="15"/>
      <c r="AM149" s="15"/>
      <c r="AN149" s="15"/>
      <c r="AO149" s="15"/>
      <c r="AP149" s="15"/>
      <c r="AQ149" s="15"/>
      <c r="AR149" s="15"/>
      <c r="AS149" s="15"/>
      <c r="AT149" s="15"/>
      <c r="AU149" s="15"/>
      <c r="AV149" s="15"/>
      <c r="AW149" s="15">
        <v>19</v>
      </c>
      <c r="AX149" s="15">
        <v>9</v>
      </c>
      <c r="AY149" s="15"/>
      <c r="AZ149" s="15">
        <v>2</v>
      </c>
      <c r="BA149" s="15">
        <v>30</v>
      </c>
      <c r="BB149" s="15"/>
      <c r="BC149" s="15"/>
      <c r="BD149" s="15"/>
      <c r="BE149" s="18"/>
    </row>
    <row r="150" spans="1:57" ht="39">
      <c r="A150" s="13" t="s">
        <v>425</v>
      </c>
      <c r="B150" s="13" t="s">
        <v>422</v>
      </c>
      <c r="C150" s="30">
        <v>44599</v>
      </c>
      <c r="D150" s="15" t="s">
        <v>426</v>
      </c>
      <c r="E150" s="45" t="s">
        <v>424</v>
      </c>
      <c r="F150" s="16">
        <v>0.33333333333333331</v>
      </c>
      <c r="G150" s="15" t="s">
        <v>78</v>
      </c>
      <c r="H150" s="15" t="s">
        <v>127</v>
      </c>
      <c r="I150" s="15" t="s">
        <v>70</v>
      </c>
      <c r="J150" s="15" t="s">
        <v>71</v>
      </c>
      <c r="K150" s="15"/>
      <c r="L150" s="15"/>
      <c r="M150" s="15"/>
      <c r="N150" s="15"/>
      <c r="O150" s="15"/>
      <c r="P150" s="15"/>
      <c r="Q150" s="15"/>
      <c r="R150" s="15"/>
      <c r="S150" s="15"/>
      <c r="T150" s="15"/>
      <c r="U150" s="15"/>
      <c r="V150" s="15"/>
      <c r="W150" s="15"/>
      <c r="X150" s="15"/>
      <c r="Y150" s="15"/>
      <c r="Z150" s="15"/>
      <c r="AA150" s="15">
        <v>33</v>
      </c>
      <c r="AB150" s="15"/>
      <c r="AC150" s="15"/>
      <c r="AD150" s="15"/>
      <c r="AE150" s="15"/>
      <c r="AF150" s="15"/>
      <c r="AG150" s="15"/>
      <c r="AH150" s="15">
        <v>7</v>
      </c>
      <c r="AI150" s="15"/>
      <c r="AJ150" s="15"/>
      <c r="AK150" s="15"/>
      <c r="AL150" s="15"/>
      <c r="AM150" s="15"/>
      <c r="AN150" s="15"/>
      <c r="AO150" s="15"/>
      <c r="AP150" s="15"/>
      <c r="AQ150" s="15"/>
      <c r="AR150" s="15">
        <v>4</v>
      </c>
      <c r="AS150" s="15"/>
      <c r="AT150" s="15"/>
      <c r="AU150" s="15"/>
      <c r="AV150" s="15"/>
      <c r="AW150" s="15">
        <v>3</v>
      </c>
      <c r="AX150" s="15">
        <v>3</v>
      </c>
      <c r="AY150" s="15"/>
      <c r="AZ150" s="15">
        <v>21</v>
      </c>
      <c r="BA150" s="15">
        <v>53</v>
      </c>
      <c r="BB150" s="15"/>
      <c r="BC150" s="15"/>
      <c r="BD150" s="15"/>
      <c r="BE150" s="18" t="s">
        <v>427</v>
      </c>
    </row>
    <row r="151" spans="1:57">
      <c r="A151" s="13" t="s">
        <v>428</v>
      </c>
      <c r="B151" s="13" t="s">
        <v>422</v>
      </c>
      <c r="C151" s="14"/>
      <c r="F151" s="16"/>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8"/>
    </row>
    <row r="152" spans="1:57" ht="31.5">
      <c r="A152" s="13" t="s">
        <v>429</v>
      </c>
      <c r="B152" s="13" t="s">
        <v>422</v>
      </c>
      <c r="C152" s="14">
        <v>44599</v>
      </c>
      <c r="D152" s="45" t="s">
        <v>423</v>
      </c>
      <c r="E152" s="45" t="s">
        <v>424</v>
      </c>
      <c r="F152" s="16">
        <v>0.35416666666666669</v>
      </c>
      <c r="G152" s="15" t="s">
        <v>78</v>
      </c>
      <c r="H152" s="15" t="s">
        <v>127</v>
      </c>
      <c r="I152" s="15" t="s">
        <v>70</v>
      </c>
      <c r="J152" s="15" t="s">
        <v>71</v>
      </c>
      <c r="K152" s="15"/>
      <c r="L152" s="15"/>
      <c r="M152" s="15"/>
      <c r="N152" s="15"/>
      <c r="O152" s="15"/>
      <c r="P152" s="15"/>
      <c r="Q152" s="15"/>
      <c r="R152" s="15"/>
      <c r="S152" s="15"/>
      <c r="T152" s="15"/>
      <c r="U152" s="15"/>
      <c r="V152" s="15"/>
      <c r="W152" s="15"/>
      <c r="X152" s="15"/>
      <c r="Y152" s="15"/>
      <c r="Z152" s="15">
        <v>9</v>
      </c>
      <c r="AA152" s="15">
        <v>21</v>
      </c>
      <c r="AB152" s="15"/>
      <c r="AC152" s="15"/>
      <c r="AD152" s="15"/>
      <c r="AE152" s="15"/>
      <c r="AF152" s="15"/>
      <c r="AG152" s="15"/>
      <c r="AH152" s="15">
        <v>6</v>
      </c>
      <c r="AI152" s="15"/>
      <c r="AJ152" s="15"/>
      <c r="AK152" s="15"/>
      <c r="AL152" s="15"/>
      <c r="AM152" s="15"/>
      <c r="AN152" s="15"/>
      <c r="AO152" s="15"/>
      <c r="AP152" s="15">
        <v>1</v>
      </c>
      <c r="AQ152" s="15"/>
      <c r="AR152" s="15"/>
      <c r="AS152" s="15"/>
      <c r="AT152" s="15"/>
      <c r="AU152" s="15"/>
      <c r="AV152" s="15"/>
      <c r="AW152" s="15">
        <v>5</v>
      </c>
      <c r="AX152" s="15">
        <v>5</v>
      </c>
      <c r="AY152" s="15"/>
      <c r="AZ152" s="15">
        <v>5</v>
      </c>
      <c r="BA152" s="15">
        <v>15</v>
      </c>
      <c r="BB152" s="15"/>
      <c r="BC152" s="15"/>
      <c r="BD152" s="15"/>
      <c r="BE152" s="18" t="s">
        <v>430</v>
      </c>
    </row>
    <row r="153" spans="1:57" ht="39">
      <c r="A153" s="24" t="s">
        <v>431</v>
      </c>
      <c r="B153" s="24" t="s">
        <v>422</v>
      </c>
      <c r="C153" s="30">
        <v>44599</v>
      </c>
      <c r="D153" s="15" t="s">
        <v>432</v>
      </c>
      <c r="E153" s="15" t="s">
        <v>424</v>
      </c>
      <c r="F153" s="16">
        <v>0.30208333333333331</v>
      </c>
      <c r="G153" s="15" t="s">
        <v>78</v>
      </c>
      <c r="H153" s="15" t="s">
        <v>127</v>
      </c>
      <c r="I153" s="15" t="s">
        <v>70</v>
      </c>
      <c r="J153" s="15" t="s">
        <v>71</v>
      </c>
      <c r="K153" s="15"/>
      <c r="L153" s="15"/>
      <c r="M153" s="15"/>
      <c r="N153" s="15"/>
      <c r="O153" s="15"/>
      <c r="P153" s="15"/>
      <c r="Q153" s="15"/>
      <c r="R153" s="15"/>
      <c r="S153" s="15"/>
      <c r="T153" s="15"/>
      <c r="U153" s="15"/>
      <c r="V153" s="15"/>
      <c r="W153" s="15"/>
      <c r="X153" s="15"/>
      <c r="Y153" s="15"/>
      <c r="Z153" s="15">
        <v>16</v>
      </c>
      <c r="AA153" s="15">
        <v>116</v>
      </c>
      <c r="AB153" s="15"/>
      <c r="AC153" s="15"/>
      <c r="AD153" s="15"/>
      <c r="AE153" s="15"/>
      <c r="AF153" s="15"/>
      <c r="AG153" s="15"/>
      <c r="AH153" s="15">
        <v>9</v>
      </c>
      <c r="AI153" s="15"/>
      <c r="AJ153" s="15"/>
      <c r="AK153" s="15"/>
      <c r="AL153" s="15"/>
      <c r="AM153" s="15">
        <v>2</v>
      </c>
      <c r="AN153" s="15">
        <v>1</v>
      </c>
      <c r="AO153" s="15"/>
      <c r="AP153" s="15"/>
      <c r="AQ153" s="15"/>
      <c r="AR153" s="15"/>
      <c r="AS153" s="15"/>
      <c r="AT153" s="15"/>
      <c r="AU153" s="15"/>
      <c r="AV153" s="15"/>
      <c r="AW153" s="15"/>
      <c r="AX153" s="15">
        <v>30</v>
      </c>
      <c r="AY153" s="15"/>
      <c r="AZ153" s="15">
        <v>57</v>
      </c>
      <c r="BA153" s="15">
        <v>374</v>
      </c>
      <c r="BB153" s="15"/>
      <c r="BC153" s="15"/>
      <c r="BD153" s="15"/>
      <c r="BE153" s="18" t="s">
        <v>433</v>
      </c>
    </row>
    <row r="154" spans="1:57">
      <c r="A154" s="35" t="s">
        <v>434</v>
      </c>
      <c r="B154" s="35" t="s">
        <v>435</v>
      </c>
      <c r="C154" s="49"/>
      <c r="D154" s="45"/>
      <c r="E154" s="45"/>
      <c r="F154" s="46"/>
      <c r="G154" s="17"/>
      <c r="H154" s="17"/>
      <c r="I154" s="17"/>
      <c r="J154" s="17"/>
      <c r="K154" s="50"/>
      <c r="L154" s="48"/>
      <c r="M154" s="48"/>
      <c r="N154" s="48"/>
      <c r="O154" s="48"/>
      <c r="P154" s="48"/>
      <c r="Q154" s="48"/>
      <c r="R154" s="48"/>
      <c r="S154" s="48"/>
      <c r="T154" s="48"/>
      <c r="W154" s="48"/>
      <c r="X154" s="48"/>
      <c r="Y154" s="48"/>
      <c r="Z154" s="48"/>
      <c r="AA154" s="48"/>
      <c r="BE154" s="18"/>
    </row>
    <row r="155" spans="1:57">
      <c r="A155" s="20" t="s">
        <v>436</v>
      </c>
      <c r="B155" s="24" t="s">
        <v>437</v>
      </c>
      <c r="C155" s="14"/>
      <c r="F155" s="23"/>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51"/>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9"/>
    </row>
    <row r="156" spans="1:57">
      <c r="A156" s="29" t="s">
        <v>438</v>
      </c>
      <c r="B156" s="24" t="s">
        <v>437</v>
      </c>
      <c r="C156" s="14">
        <v>44598</v>
      </c>
      <c r="D156" s="15" t="s">
        <v>439</v>
      </c>
      <c r="E156" s="15" t="s">
        <v>440</v>
      </c>
      <c r="F156" s="16">
        <v>0.30763888888888891</v>
      </c>
      <c r="G156" s="15" t="s">
        <v>78</v>
      </c>
      <c r="H156" s="15"/>
      <c r="I156" s="15" t="s">
        <v>70</v>
      </c>
      <c r="J156" s="15" t="s">
        <v>71</v>
      </c>
      <c r="K156" s="15"/>
      <c r="L156" s="15"/>
      <c r="M156" s="15">
        <v>3</v>
      </c>
      <c r="N156" s="15">
        <v>1</v>
      </c>
      <c r="O156" s="15"/>
      <c r="P156" s="15"/>
      <c r="Q156" s="15">
        <v>2</v>
      </c>
      <c r="R156" s="15"/>
      <c r="S156" s="15"/>
      <c r="T156" s="15"/>
      <c r="U156" s="15"/>
      <c r="V156" s="15"/>
      <c r="W156" s="15"/>
      <c r="X156" s="15"/>
      <c r="Y156" s="15"/>
      <c r="Z156" s="15">
        <v>54</v>
      </c>
      <c r="AA156" s="15">
        <v>129</v>
      </c>
      <c r="AB156" s="15"/>
      <c r="AC156" s="15"/>
      <c r="AD156" s="15"/>
      <c r="AE156" s="15"/>
      <c r="AF156" s="15"/>
      <c r="AG156" s="15"/>
      <c r="AH156" s="15">
        <v>65</v>
      </c>
      <c r="AI156" s="15">
        <v>1</v>
      </c>
      <c r="AJ156" s="15"/>
      <c r="AK156" s="15"/>
      <c r="AL156" s="15"/>
      <c r="AM156" s="15"/>
      <c r="AN156" s="15"/>
      <c r="AO156" s="15"/>
      <c r="AP156" s="15">
        <v>3</v>
      </c>
      <c r="AQ156" s="15"/>
      <c r="AR156" s="15"/>
      <c r="AS156" s="15">
        <v>2</v>
      </c>
      <c r="AT156" s="15"/>
      <c r="AU156" s="15"/>
      <c r="AV156" s="15"/>
      <c r="AW156" s="15"/>
      <c r="AX156" s="15">
        <v>34</v>
      </c>
      <c r="AY156" s="15"/>
      <c r="AZ156" s="15">
        <v>10</v>
      </c>
      <c r="BA156" s="15">
        <v>16</v>
      </c>
      <c r="BB156" s="15"/>
      <c r="BC156" s="15"/>
      <c r="BD156" s="15"/>
      <c r="BE156" s="18">
        <v>0</v>
      </c>
    </row>
    <row r="157" spans="1:57">
      <c r="A157" s="20" t="s">
        <v>441</v>
      </c>
      <c r="B157" s="24" t="s">
        <v>437</v>
      </c>
      <c r="C157" s="38"/>
      <c r="F157" s="33"/>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9"/>
    </row>
    <row r="158" spans="1:57">
      <c r="A158" s="20" t="s">
        <v>442</v>
      </c>
      <c r="B158" s="13" t="s">
        <v>437</v>
      </c>
      <c r="C158" s="14">
        <v>44599</v>
      </c>
      <c r="D158" s="15" t="s">
        <v>443</v>
      </c>
      <c r="E158" s="15" t="s">
        <v>444</v>
      </c>
      <c r="F158" s="16">
        <v>0.37152777777777779</v>
      </c>
      <c r="G158" s="15" t="s">
        <v>83</v>
      </c>
      <c r="H158" s="15" t="s">
        <v>69</v>
      </c>
      <c r="I158" s="15" t="s">
        <v>70</v>
      </c>
      <c r="J158" s="15" t="s">
        <v>71</v>
      </c>
      <c r="K158" s="15"/>
      <c r="L158" s="15"/>
      <c r="M158" s="15"/>
      <c r="N158" s="15"/>
      <c r="O158" s="15">
        <v>6</v>
      </c>
      <c r="P158" s="15">
        <v>6</v>
      </c>
      <c r="Q158" s="15">
        <v>16</v>
      </c>
      <c r="R158" s="15">
        <v>10</v>
      </c>
      <c r="S158" s="15"/>
      <c r="T158" s="15"/>
      <c r="U158" s="15"/>
      <c r="V158" s="15">
        <v>1</v>
      </c>
      <c r="W158" s="15"/>
      <c r="X158" s="15"/>
      <c r="Y158" s="15"/>
      <c r="Z158" s="15"/>
      <c r="AA158" s="15"/>
      <c r="AB158" s="15"/>
      <c r="AC158" s="15"/>
      <c r="AD158" s="15"/>
      <c r="AE158" s="15"/>
      <c r="AF158" s="15"/>
      <c r="AG158" s="15"/>
      <c r="AH158" s="15"/>
      <c r="AI158" s="15"/>
      <c r="AJ158" s="15"/>
      <c r="AK158" s="15"/>
      <c r="AL158" s="15">
        <v>33</v>
      </c>
      <c r="AM158" s="15"/>
      <c r="AN158" s="15"/>
      <c r="AO158" s="15"/>
      <c r="AP158" s="15">
        <v>3</v>
      </c>
      <c r="AQ158" s="15"/>
      <c r="AR158" s="15"/>
      <c r="AS158" s="15"/>
      <c r="AT158" s="15"/>
      <c r="AU158" s="15"/>
      <c r="AV158" s="15"/>
      <c r="AW158" s="15"/>
      <c r="AX158" s="15"/>
      <c r="AY158" s="15"/>
      <c r="AZ158" s="15"/>
      <c r="BA158" s="15"/>
      <c r="BB158" s="15"/>
      <c r="BC158" s="15"/>
      <c r="BD158" s="15">
        <v>23</v>
      </c>
      <c r="BE158" s="18" t="s">
        <v>445</v>
      </c>
    </row>
    <row r="159" spans="1:57" ht="31.5">
      <c r="A159" s="13" t="s">
        <v>446</v>
      </c>
      <c r="B159" s="13" t="s">
        <v>437</v>
      </c>
      <c r="C159" s="32">
        <v>44602</v>
      </c>
      <c r="D159" s="15" t="s">
        <v>447</v>
      </c>
      <c r="E159" s="15" t="s">
        <v>448</v>
      </c>
      <c r="F159" s="16">
        <v>0.40555555555555556</v>
      </c>
      <c r="G159" s="15" t="s">
        <v>78</v>
      </c>
      <c r="H159" s="15" t="s">
        <v>123</v>
      </c>
      <c r="I159" s="15" t="s">
        <v>70</v>
      </c>
      <c r="J159" s="15" t="s">
        <v>71</v>
      </c>
      <c r="K159" s="15"/>
      <c r="L159" s="15"/>
      <c r="M159" s="15"/>
      <c r="N159" s="15"/>
      <c r="O159" s="15"/>
      <c r="P159" s="15"/>
      <c r="Q159" s="15"/>
      <c r="R159" s="15"/>
      <c r="S159" s="15"/>
      <c r="T159" s="15"/>
      <c r="U159" s="15"/>
      <c r="V159" s="15"/>
      <c r="W159" s="15"/>
      <c r="X159" s="15"/>
      <c r="Y159" s="15"/>
      <c r="Z159" s="15">
        <v>4</v>
      </c>
      <c r="AA159" s="15">
        <v>50</v>
      </c>
      <c r="AB159" s="15"/>
      <c r="AC159" s="15"/>
      <c r="AD159" s="15"/>
      <c r="AE159" s="15"/>
      <c r="AF159" s="15"/>
      <c r="AG159" s="15"/>
      <c r="AH159" s="15">
        <v>16</v>
      </c>
      <c r="AI159" s="15"/>
      <c r="AJ159" s="15"/>
      <c r="AK159" s="15"/>
      <c r="AL159" s="15"/>
      <c r="AM159" s="15"/>
      <c r="AN159" s="15"/>
      <c r="AO159" s="15"/>
      <c r="AP159" s="15"/>
      <c r="AQ159" s="15"/>
      <c r="AR159" s="15"/>
      <c r="AS159" s="15"/>
      <c r="AT159" s="15"/>
      <c r="AU159" s="15"/>
      <c r="AV159" s="15"/>
      <c r="AW159" s="15"/>
      <c r="AX159" s="15">
        <v>30</v>
      </c>
      <c r="AY159" s="15"/>
      <c r="AZ159" s="15">
        <v>3</v>
      </c>
      <c r="BA159" s="15">
        <v>29</v>
      </c>
      <c r="BB159" s="15">
        <v>58</v>
      </c>
      <c r="BC159" s="15"/>
      <c r="BD159" s="15"/>
    </row>
    <row r="160" spans="1:57" ht="31.5">
      <c r="A160" s="13" t="s">
        <v>449</v>
      </c>
      <c r="B160" s="13" t="s">
        <v>437</v>
      </c>
      <c r="C160" s="14">
        <v>44602</v>
      </c>
      <c r="D160" s="15" t="s">
        <v>447</v>
      </c>
      <c r="E160" s="15" t="s">
        <v>448</v>
      </c>
      <c r="F160" s="16">
        <v>0.35972222222222222</v>
      </c>
      <c r="G160" s="15" t="s">
        <v>78</v>
      </c>
      <c r="H160" s="15" t="s">
        <v>109</v>
      </c>
      <c r="I160" s="15" t="s">
        <v>70</v>
      </c>
      <c r="J160" s="15" t="s">
        <v>71</v>
      </c>
      <c r="K160" s="15"/>
      <c r="L160" s="15"/>
      <c r="M160" s="15">
        <v>5</v>
      </c>
      <c r="N160" s="15"/>
      <c r="O160" s="15"/>
      <c r="P160" s="15">
        <v>13</v>
      </c>
      <c r="Q160" s="15"/>
      <c r="R160" s="15"/>
      <c r="S160" s="15"/>
      <c r="T160" s="15"/>
      <c r="U160" s="15"/>
      <c r="V160" s="15"/>
      <c r="W160" s="15"/>
      <c r="X160" s="15"/>
      <c r="Y160" s="15"/>
      <c r="Z160" s="15"/>
      <c r="AA160" s="15">
        <v>3</v>
      </c>
      <c r="AB160" s="15"/>
      <c r="AC160" s="15"/>
      <c r="AD160" s="15"/>
      <c r="AE160" s="15"/>
      <c r="AF160" s="15"/>
      <c r="AG160" s="15"/>
      <c r="AH160" s="15">
        <v>15</v>
      </c>
      <c r="AI160" s="15"/>
      <c r="AJ160" s="15"/>
      <c r="AK160" s="15"/>
      <c r="AL160" s="15"/>
      <c r="AM160" s="15"/>
      <c r="AN160" s="15"/>
      <c r="AO160" s="15"/>
      <c r="AP160" s="15"/>
      <c r="AQ160" s="15"/>
      <c r="AR160" s="15"/>
      <c r="AS160" s="15"/>
      <c r="AT160" s="15"/>
      <c r="AU160" s="15"/>
      <c r="AV160" s="15"/>
      <c r="AW160" s="15"/>
      <c r="AX160" s="15">
        <v>18</v>
      </c>
      <c r="AY160" s="15"/>
      <c r="AZ160" s="15">
        <v>2</v>
      </c>
      <c r="BA160" s="15">
        <v>1</v>
      </c>
      <c r="BB160" s="15"/>
      <c r="BC160" s="15"/>
      <c r="BD160" s="15"/>
      <c r="BE160" s="18"/>
    </row>
    <row r="161" spans="1:57" ht="39">
      <c r="A161" s="13" t="s">
        <v>450</v>
      </c>
      <c r="B161" s="13" t="s">
        <v>437</v>
      </c>
      <c r="C161" s="14">
        <v>44596</v>
      </c>
      <c r="D161" s="15" t="s">
        <v>451</v>
      </c>
      <c r="E161" s="15" t="s">
        <v>452</v>
      </c>
      <c r="F161" s="16">
        <v>0.34236111111111112</v>
      </c>
      <c r="G161" s="15" t="s">
        <v>83</v>
      </c>
      <c r="H161" s="15" t="s">
        <v>127</v>
      </c>
      <c r="I161" s="15" t="s">
        <v>70</v>
      </c>
      <c r="J161" s="15" t="s">
        <v>71</v>
      </c>
      <c r="K161" s="15"/>
      <c r="L161" s="15"/>
      <c r="M161" s="15">
        <v>36</v>
      </c>
      <c r="N161" s="15"/>
      <c r="O161" s="15"/>
      <c r="P161" s="15"/>
      <c r="Q161" s="15"/>
      <c r="R161" s="15">
        <v>1</v>
      </c>
      <c r="S161" s="15"/>
      <c r="T161" s="15"/>
      <c r="U161" s="15"/>
      <c r="V161" s="15"/>
      <c r="W161" s="15"/>
      <c r="X161" s="15">
        <v>1</v>
      </c>
      <c r="Y161" s="15"/>
      <c r="Z161" s="15">
        <v>48</v>
      </c>
      <c r="AA161" s="15">
        <v>111</v>
      </c>
      <c r="AB161" s="15"/>
      <c r="AC161" s="15"/>
      <c r="AD161" s="15">
        <v>3</v>
      </c>
      <c r="AE161" s="15"/>
      <c r="AF161" s="15"/>
      <c r="AG161" s="15"/>
      <c r="AH161" s="15">
        <v>46</v>
      </c>
      <c r="AI161" s="15">
        <v>1</v>
      </c>
      <c r="AJ161" s="15"/>
      <c r="AK161" s="15"/>
      <c r="AL161" s="15"/>
      <c r="AM161" s="15"/>
      <c r="AN161" s="15"/>
      <c r="AO161" s="15"/>
      <c r="AP161" s="15">
        <v>5</v>
      </c>
      <c r="AQ161" s="15">
        <v>1</v>
      </c>
      <c r="AR161" s="15"/>
      <c r="AS161" s="15">
        <v>4</v>
      </c>
      <c r="AT161" s="15">
        <v>1</v>
      </c>
      <c r="AU161" s="15"/>
      <c r="AV161" s="15"/>
      <c r="AW161" s="15">
        <v>2</v>
      </c>
      <c r="AX161" s="15">
        <v>2</v>
      </c>
      <c r="AY161" s="15"/>
      <c r="AZ161" s="15">
        <v>7</v>
      </c>
      <c r="BA161" s="15">
        <v>115</v>
      </c>
      <c r="BB161" s="15"/>
      <c r="BC161" s="15"/>
      <c r="BD161" s="15">
        <v>1</v>
      </c>
      <c r="BE161" s="18" t="s">
        <v>453</v>
      </c>
    </row>
    <row r="162" spans="1:57" ht="31.5">
      <c r="A162" s="24" t="s">
        <v>454</v>
      </c>
      <c r="B162" s="24" t="s">
        <v>437</v>
      </c>
      <c r="C162" s="14">
        <v>44598</v>
      </c>
      <c r="D162" s="15" t="s">
        <v>455</v>
      </c>
      <c r="E162" s="15" t="s">
        <v>448</v>
      </c>
      <c r="F162" s="16">
        <v>0.33680555555555558</v>
      </c>
      <c r="G162" s="15" t="s">
        <v>83</v>
      </c>
      <c r="H162" s="15" t="s">
        <v>69</v>
      </c>
      <c r="I162" s="15" t="s">
        <v>70</v>
      </c>
      <c r="J162" s="15" t="s">
        <v>71</v>
      </c>
      <c r="K162" s="15"/>
      <c r="L162" s="15"/>
      <c r="M162" s="15">
        <v>26</v>
      </c>
      <c r="N162" s="15">
        <v>15</v>
      </c>
      <c r="O162" s="15">
        <v>2</v>
      </c>
      <c r="P162" s="15">
        <v>9</v>
      </c>
      <c r="Q162" s="15">
        <v>40</v>
      </c>
      <c r="R162" s="15"/>
      <c r="S162" s="15"/>
      <c r="T162" s="15"/>
      <c r="U162" s="15">
        <v>91</v>
      </c>
      <c r="V162" s="15"/>
      <c r="W162" s="15"/>
      <c r="X162" s="15"/>
      <c r="Y162" s="15"/>
      <c r="Z162" s="15"/>
      <c r="AA162" s="15"/>
      <c r="AB162" s="15">
        <v>8</v>
      </c>
      <c r="AC162" s="15"/>
      <c r="AD162" s="15"/>
      <c r="AE162" s="15"/>
      <c r="AF162" s="15">
        <v>26</v>
      </c>
      <c r="AG162" s="15"/>
      <c r="AH162" s="15">
        <v>4</v>
      </c>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8" t="s">
        <v>456</v>
      </c>
    </row>
    <row r="163" spans="1:57" ht="77.25">
      <c r="A163" s="13" t="s">
        <v>457</v>
      </c>
      <c r="B163" s="13" t="s">
        <v>437</v>
      </c>
      <c r="C163" s="14">
        <v>44600</v>
      </c>
      <c r="D163" s="15" t="s">
        <v>458</v>
      </c>
      <c r="E163" s="15" t="s">
        <v>459</v>
      </c>
      <c r="F163" s="16">
        <v>0.33333333333333331</v>
      </c>
      <c r="G163" s="15" t="s">
        <v>83</v>
      </c>
      <c r="H163" s="15" t="s">
        <v>123</v>
      </c>
      <c r="I163" s="15" t="s">
        <v>70</v>
      </c>
      <c r="J163" s="15" t="s">
        <v>71</v>
      </c>
      <c r="K163" s="17"/>
      <c r="L163" s="17"/>
      <c r="M163" s="15">
        <v>30</v>
      </c>
      <c r="N163" s="15"/>
      <c r="O163" s="15"/>
      <c r="P163" s="15"/>
      <c r="Q163" s="15"/>
      <c r="R163" s="15"/>
      <c r="S163" s="15"/>
      <c r="T163" s="15"/>
      <c r="U163" s="15">
        <v>1</v>
      </c>
      <c r="V163" s="15"/>
      <c r="W163" s="15"/>
      <c r="X163" s="15"/>
      <c r="Y163" s="15"/>
      <c r="Z163" s="15">
        <v>102</v>
      </c>
      <c r="AA163" s="15">
        <v>90</v>
      </c>
      <c r="AB163" s="15"/>
      <c r="AC163" s="15"/>
      <c r="AD163" s="15"/>
      <c r="AE163" s="15"/>
      <c r="AF163" s="15"/>
      <c r="AG163" s="15"/>
      <c r="AH163" s="15">
        <v>250</v>
      </c>
      <c r="AI163" s="15"/>
      <c r="AJ163" s="15"/>
      <c r="AK163" s="15"/>
      <c r="AL163" s="15"/>
      <c r="AM163" s="15"/>
      <c r="AN163" s="15"/>
      <c r="AO163" s="15"/>
      <c r="AP163" s="15">
        <v>8</v>
      </c>
      <c r="AQ163" s="15"/>
      <c r="AR163" s="15"/>
      <c r="AS163" s="15">
        <v>3</v>
      </c>
      <c r="AT163" s="15"/>
      <c r="AU163" s="15"/>
      <c r="AV163" s="15"/>
      <c r="AW163" s="15">
        <v>2</v>
      </c>
      <c r="AX163" s="15">
        <v>320</v>
      </c>
      <c r="AY163" s="15">
        <v>3</v>
      </c>
      <c r="AZ163" s="15">
        <v>30</v>
      </c>
      <c r="BA163" s="15">
        <v>60</v>
      </c>
      <c r="BB163" s="15"/>
      <c r="BC163" s="15"/>
      <c r="BD163" s="15"/>
      <c r="BE163" s="18" t="s">
        <v>460</v>
      </c>
    </row>
    <row r="164" spans="1:57" ht="31.5">
      <c r="A164" s="29" t="s">
        <v>461</v>
      </c>
      <c r="B164" s="13" t="s">
        <v>437</v>
      </c>
      <c r="C164" s="14"/>
      <c r="F164" s="16"/>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8"/>
    </row>
    <row r="165" spans="1:57">
      <c r="A165" s="13" t="s">
        <v>462</v>
      </c>
      <c r="B165" s="13" t="s">
        <v>437</v>
      </c>
      <c r="C165" s="14">
        <v>44602</v>
      </c>
      <c r="D165" s="15" t="s">
        <v>463</v>
      </c>
      <c r="E165" s="15" t="s">
        <v>203</v>
      </c>
      <c r="F165" s="16">
        <v>0.40486111111111112</v>
      </c>
      <c r="G165" s="15" t="s">
        <v>78</v>
      </c>
      <c r="H165" s="15" t="s">
        <v>109</v>
      </c>
      <c r="I165" s="15" t="s">
        <v>70</v>
      </c>
      <c r="J165" s="15" t="s">
        <v>71</v>
      </c>
      <c r="K165" s="15"/>
      <c r="L165" s="15"/>
      <c r="M165" s="15">
        <v>1</v>
      </c>
      <c r="N165" s="15"/>
      <c r="O165" s="15"/>
      <c r="P165" s="15"/>
      <c r="Q165" s="15"/>
      <c r="R165" s="15"/>
      <c r="S165" s="15"/>
      <c r="T165" s="15"/>
      <c r="U165" s="15"/>
      <c r="V165" s="15"/>
      <c r="W165" s="15"/>
      <c r="X165" s="15"/>
      <c r="Y165" s="15"/>
      <c r="Z165" s="15">
        <v>4</v>
      </c>
      <c r="AA165" s="15">
        <v>7</v>
      </c>
      <c r="AB165" s="15"/>
      <c r="AC165" s="15"/>
      <c r="AD165" s="15"/>
      <c r="AE165" s="15"/>
      <c r="AF165" s="15"/>
      <c r="AG165" s="15"/>
      <c r="AH165" s="15">
        <v>2</v>
      </c>
      <c r="AI165" s="15"/>
      <c r="AJ165" s="15"/>
      <c r="AK165" s="15"/>
      <c r="AL165" s="15"/>
      <c r="AM165" s="15"/>
      <c r="AN165" s="15"/>
      <c r="AO165" s="15"/>
      <c r="AP165" s="15">
        <v>14</v>
      </c>
      <c r="AQ165" s="15"/>
      <c r="AR165" s="15"/>
      <c r="AS165" s="15">
        <v>2</v>
      </c>
      <c r="AT165" s="15"/>
      <c r="AU165" s="15"/>
      <c r="AV165" s="15"/>
      <c r="AW165" s="15">
        <v>2</v>
      </c>
      <c r="AX165" s="15">
        <v>3</v>
      </c>
      <c r="AY165" s="15"/>
      <c r="AZ165" s="15"/>
      <c r="BA165" s="15">
        <v>27</v>
      </c>
      <c r="BB165" s="15"/>
      <c r="BC165" s="15"/>
      <c r="BD165" s="15"/>
      <c r="BE165" s="18"/>
    </row>
    <row r="166" spans="1:57" ht="31.5">
      <c r="A166" s="20" t="s">
        <v>464</v>
      </c>
      <c r="B166" s="24" t="s">
        <v>437</v>
      </c>
      <c r="C166" s="14">
        <v>44596</v>
      </c>
      <c r="D166" s="15" t="s">
        <v>458</v>
      </c>
      <c r="E166" s="15" t="s">
        <v>459</v>
      </c>
      <c r="F166" s="16">
        <v>0.35416666666666669</v>
      </c>
      <c r="G166" s="15" t="s">
        <v>156</v>
      </c>
      <c r="H166" s="15" t="s">
        <v>69</v>
      </c>
      <c r="I166" s="15" t="s">
        <v>70</v>
      </c>
      <c r="J166" s="15" t="s">
        <v>71</v>
      </c>
      <c r="K166" s="15"/>
      <c r="L166" s="15"/>
      <c r="M166" s="15">
        <v>28</v>
      </c>
      <c r="N166" s="15">
        <v>163</v>
      </c>
      <c r="O166" s="15"/>
      <c r="P166" s="15">
        <v>2</v>
      </c>
      <c r="Q166" s="15"/>
      <c r="R166" s="15"/>
      <c r="S166" s="15"/>
      <c r="T166" s="15"/>
      <c r="U166" s="15">
        <v>8</v>
      </c>
      <c r="V166" s="15"/>
      <c r="W166" s="15"/>
      <c r="X166" s="15"/>
      <c r="Y166" s="15"/>
      <c r="Z166" s="15">
        <v>15</v>
      </c>
      <c r="AA166" s="15">
        <v>380</v>
      </c>
      <c r="AB166" s="15">
        <v>24</v>
      </c>
      <c r="AC166" s="15"/>
      <c r="AD166" s="15">
        <v>10</v>
      </c>
      <c r="AE166" s="15"/>
      <c r="AF166" s="15">
        <v>18</v>
      </c>
      <c r="AG166" s="15"/>
      <c r="AH166" s="15">
        <v>35</v>
      </c>
      <c r="AI166" s="15">
        <v>9</v>
      </c>
      <c r="AJ166" s="15"/>
      <c r="AK166" s="15"/>
      <c r="AL166" s="15"/>
      <c r="AM166" s="15"/>
      <c r="AN166" s="15"/>
      <c r="AO166" s="15"/>
      <c r="AP166" s="15">
        <v>6</v>
      </c>
      <c r="AQ166" s="17"/>
      <c r="AR166" s="17"/>
      <c r="AS166" s="15">
        <v>1</v>
      </c>
      <c r="AT166" s="15"/>
      <c r="AU166" s="15"/>
      <c r="AV166" s="17"/>
      <c r="AW166" s="15">
        <v>2</v>
      </c>
      <c r="AX166" s="15">
        <v>16</v>
      </c>
      <c r="AY166" s="15"/>
      <c r="AZ166" s="15">
        <v>8</v>
      </c>
      <c r="BA166" s="15">
        <v>20</v>
      </c>
      <c r="BB166" s="15"/>
      <c r="BC166" s="15"/>
      <c r="BD166" s="15">
        <v>2</v>
      </c>
      <c r="BE166" s="18"/>
    </row>
    <row r="167" spans="1:57">
      <c r="A167" s="13" t="s">
        <v>465</v>
      </c>
      <c r="B167" s="13" t="s">
        <v>437</v>
      </c>
      <c r="C167" s="14">
        <v>44599</v>
      </c>
      <c r="D167" s="15" t="s">
        <v>466</v>
      </c>
      <c r="E167" s="15" t="s">
        <v>203</v>
      </c>
      <c r="F167" s="16">
        <v>0.52986111111111112</v>
      </c>
      <c r="G167" s="15" t="s">
        <v>83</v>
      </c>
      <c r="H167" s="15" t="s">
        <v>69</v>
      </c>
      <c r="I167" s="15" t="s">
        <v>70</v>
      </c>
      <c r="J167" s="15" t="s">
        <v>71</v>
      </c>
      <c r="K167" s="15"/>
      <c r="L167" s="15"/>
      <c r="M167" s="15">
        <v>28</v>
      </c>
      <c r="N167" s="15">
        <v>1</v>
      </c>
      <c r="O167" s="15"/>
      <c r="P167" s="15"/>
      <c r="Q167" s="15"/>
      <c r="R167" s="15"/>
      <c r="S167" s="15"/>
      <c r="T167" s="15"/>
      <c r="U167" s="15">
        <v>4</v>
      </c>
      <c r="V167" s="15"/>
      <c r="W167" s="15"/>
      <c r="X167" s="15"/>
      <c r="Y167" s="15"/>
      <c r="Z167" s="15">
        <v>1</v>
      </c>
      <c r="AA167" s="15">
        <v>135</v>
      </c>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v>1</v>
      </c>
      <c r="AX167" s="15">
        <v>32</v>
      </c>
      <c r="AY167" s="15"/>
      <c r="AZ167" s="15">
        <v>8</v>
      </c>
      <c r="BA167" s="15">
        <v>1</v>
      </c>
      <c r="BB167" s="15"/>
      <c r="BC167" s="15"/>
      <c r="BD167" s="15"/>
      <c r="BE167" s="18" t="s">
        <v>467</v>
      </c>
    </row>
    <row r="168" spans="1:57">
      <c r="A168" s="29" t="s">
        <v>468</v>
      </c>
      <c r="B168" s="24" t="s">
        <v>437</v>
      </c>
      <c r="C168" s="14"/>
      <c r="F168" s="16"/>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9"/>
    </row>
    <row r="169" spans="1:57">
      <c r="A169" s="13" t="s">
        <v>469</v>
      </c>
      <c r="B169" s="13" t="s">
        <v>437</v>
      </c>
      <c r="C169" s="14">
        <v>44601</v>
      </c>
      <c r="D169" s="15" t="s">
        <v>470</v>
      </c>
      <c r="E169" s="15" t="s">
        <v>448</v>
      </c>
      <c r="F169" s="16">
        <v>0.33750000000000002</v>
      </c>
      <c r="G169" s="15" t="s">
        <v>78</v>
      </c>
      <c r="H169" s="15" t="s">
        <v>123</v>
      </c>
      <c r="I169" s="15" t="s">
        <v>70</v>
      </c>
      <c r="J169" s="15" t="s">
        <v>71</v>
      </c>
      <c r="K169" s="15"/>
      <c r="L169" s="15"/>
      <c r="M169" s="15">
        <v>10</v>
      </c>
      <c r="N169" s="15">
        <v>1</v>
      </c>
      <c r="O169" s="15"/>
      <c r="P169" s="15"/>
      <c r="Q169" s="15"/>
      <c r="R169" s="15"/>
      <c r="S169" s="15"/>
      <c r="T169" s="15"/>
      <c r="U169" s="15"/>
      <c r="V169" s="15"/>
      <c r="W169" s="15"/>
      <c r="X169" s="15"/>
      <c r="Y169" s="15"/>
      <c r="Z169" s="15">
        <v>25</v>
      </c>
      <c r="AA169" s="15">
        <v>52</v>
      </c>
      <c r="AB169" s="15">
        <v>4</v>
      </c>
      <c r="AC169" s="15"/>
      <c r="AD169" s="15"/>
      <c r="AE169" s="15"/>
      <c r="AF169" s="15"/>
      <c r="AG169" s="15"/>
      <c r="AH169" s="15">
        <v>9</v>
      </c>
      <c r="AI169" s="15"/>
      <c r="AJ169" s="15"/>
      <c r="AK169" s="15"/>
      <c r="AL169" s="15"/>
      <c r="AM169" s="15"/>
      <c r="AN169" s="15"/>
      <c r="AO169" s="15"/>
      <c r="AP169" s="15">
        <v>11</v>
      </c>
      <c r="AQ169" s="15"/>
      <c r="AR169" s="15"/>
      <c r="AS169" s="15">
        <v>4</v>
      </c>
      <c r="AT169" s="15"/>
      <c r="AU169" s="15"/>
      <c r="AV169" s="15"/>
      <c r="AW169" s="15"/>
      <c r="AX169" s="15">
        <v>15</v>
      </c>
      <c r="AY169" s="15">
        <v>2</v>
      </c>
      <c r="AZ169" s="15">
        <v>2</v>
      </c>
      <c r="BA169" s="15">
        <v>26</v>
      </c>
      <c r="BB169" s="15">
        <v>55</v>
      </c>
      <c r="BC169" s="15"/>
      <c r="BD169" s="15"/>
      <c r="BE169" s="18"/>
    </row>
    <row r="170" spans="1:57" ht="31.5">
      <c r="A170" s="13" t="s">
        <v>471</v>
      </c>
      <c r="B170" s="13" t="s">
        <v>437</v>
      </c>
      <c r="C170" s="14">
        <v>44599</v>
      </c>
      <c r="D170" s="15" t="s">
        <v>472</v>
      </c>
      <c r="E170" s="15" t="s">
        <v>448</v>
      </c>
      <c r="F170" s="16">
        <v>0.31388888888888888</v>
      </c>
      <c r="G170" s="15" t="s">
        <v>78</v>
      </c>
      <c r="H170" s="15" t="s">
        <v>69</v>
      </c>
      <c r="I170" s="15" t="s">
        <v>70</v>
      </c>
      <c r="J170" s="15" t="s">
        <v>71</v>
      </c>
      <c r="K170" s="15"/>
      <c r="L170" s="15"/>
      <c r="M170" s="15">
        <v>50</v>
      </c>
      <c r="N170" s="15"/>
      <c r="O170" s="15"/>
      <c r="P170" s="15"/>
      <c r="Q170" s="15"/>
      <c r="R170" s="15"/>
      <c r="S170" s="15"/>
      <c r="T170" s="15"/>
      <c r="U170" s="15"/>
      <c r="V170" s="15"/>
      <c r="W170" s="15"/>
      <c r="X170" s="15"/>
      <c r="Y170" s="15">
        <v>95</v>
      </c>
      <c r="Z170" s="15">
        <v>89</v>
      </c>
      <c r="AA170" s="15">
        <v>279</v>
      </c>
      <c r="AB170" s="15"/>
      <c r="AC170" s="15"/>
      <c r="AD170" s="15">
        <v>6</v>
      </c>
      <c r="AE170" s="15"/>
      <c r="AF170" s="15"/>
      <c r="AG170" s="15"/>
      <c r="AH170" s="15">
        <v>71</v>
      </c>
      <c r="AI170" s="15"/>
      <c r="AJ170" s="15"/>
      <c r="AK170" s="15"/>
      <c r="AL170" s="15"/>
      <c r="AM170" s="15">
        <v>2</v>
      </c>
      <c r="AN170" s="15"/>
      <c r="AO170" s="15"/>
      <c r="AP170" s="15">
        <v>86</v>
      </c>
      <c r="AQ170" s="15"/>
      <c r="AR170" s="15"/>
      <c r="AS170" s="15">
        <v>6</v>
      </c>
      <c r="AT170" s="15">
        <v>3</v>
      </c>
      <c r="AU170" s="15"/>
      <c r="AV170" s="15"/>
      <c r="AW170" s="15">
        <v>11</v>
      </c>
      <c r="AX170" s="15">
        <v>274</v>
      </c>
      <c r="AY170" s="15">
        <v>104</v>
      </c>
      <c r="AZ170" s="15">
        <v>76</v>
      </c>
      <c r="BA170" s="15">
        <v>27</v>
      </c>
      <c r="BB170" s="15">
        <v>2</v>
      </c>
      <c r="BC170" s="15"/>
      <c r="BD170" s="15"/>
      <c r="BE170" s="18"/>
    </row>
    <row r="171" spans="1:57" ht="31.5">
      <c r="A171" s="13" t="s">
        <v>473</v>
      </c>
      <c r="B171" s="13" t="s">
        <v>437</v>
      </c>
      <c r="C171" s="14">
        <v>44600</v>
      </c>
      <c r="D171" s="15" t="s">
        <v>470</v>
      </c>
      <c r="E171" s="15" t="s">
        <v>448</v>
      </c>
      <c r="F171" s="16">
        <v>0.33055555555555555</v>
      </c>
      <c r="G171" s="15" t="s">
        <v>78</v>
      </c>
      <c r="H171" s="15" t="s">
        <v>109</v>
      </c>
      <c r="I171" s="15" t="s">
        <v>70</v>
      </c>
      <c r="J171" s="15" t="s">
        <v>71</v>
      </c>
      <c r="K171" s="15"/>
      <c r="L171" s="15"/>
      <c r="M171" s="15">
        <v>45</v>
      </c>
      <c r="N171" s="15"/>
      <c r="O171" s="15"/>
      <c r="P171" s="15"/>
      <c r="Q171" s="15"/>
      <c r="R171" s="15"/>
      <c r="S171" s="15"/>
      <c r="T171" s="15"/>
      <c r="U171" s="15"/>
      <c r="V171" s="15"/>
      <c r="W171" s="15"/>
      <c r="X171" s="15"/>
      <c r="Y171" s="15">
        <v>1</v>
      </c>
      <c r="Z171" s="15">
        <v>54</v>
      </c>
      <c r="AA171" s="15">
        <v>218</v>
      </c>
      <c r="AB171" s="15"/>
      <c r="AC171" s="15"/>
      <c r="AD171" s="15"/>
      <c r="AE171" s="15"/>
      <c r="AF171" s="15"/>
      <c r="AG171" s="15"/>
      <c r="AH171" s="15">
        <v>37</v>
      </c>
      <c r="AI171" s="15"/>
      <c r="AJ171" s="15"/>
      <c r="AK171" s="15"/>
      <c r="AL171" s="15"/>
      <c r="AM171" s="15"/>
      <c r="AN171" s="15">
        <v>1</v>
      </c>
      <c r="AO171" s="15"/>
      <c r="AP171" s="15">
        <v>9</v>
      </c>
      <c r="AQ171" s="15"/>
      <c r="AR171" s="15"/>
      <c r="AS171" s="15">
        <v>5</v>
      </c>
      <c r="AT171" s="15"/>
      <c r="AU171" s="15"/>
      <c r="AV171" s="15"/>
      <c r="AW171" s="15"/>
      <c r="AX171" s="15">
        <v>37</v>
      </c>
      <c r="AY171" s="15">
        <v>29</v>
      </c>
      <c r="AZ171" s="15">
        <v>26</v>
      </c>
      <c r="BA171" s="15">
        <v>2</v>
      </c>
      <c r="BB171" s="15">
        <v>1</v>
      </c>
      <c r="BC171" s="15"/>
      <c r="BD171" s="15"/>
      <c r="BE171" s="19"/>
    </row>
    <row r="172" spans="1:57">
      <c r="A172" s="13" t="s">
        <v>474</v>
      </c>
      <c r="B172" s="13" t="s">
        <v>475</v>
      </c>
      <c r="C172" s="14">
        <v>44234</v>
      </c>
      <c r="D172" s="15" t="s">
        <v>476</v>
      </c>
      <c r="E172" s="15" t="s">
        <v>477</v>
      </c>
      <c r="F172" s="16">
        <v>0.64930555555555558</v>
      </c>
      <c r="G172" s="17"/>
      <c r="H172" s="15" t="s">
        <v>123</v>
      </c>
      <c r="I172" s="15" t="s">
        <v>70</v>
      </c>
      <c r="J172" s="15" t="s">
        <v>128</v>
      </c>
      <c r="K172" s="15">
        <v>1014</v>
      </c>
      <c r="L172" s="17"/>
      <c r="M172" s="17"/>
      <c r="N172" s="17"/>
      <c r="O172" s="17"/>
      <c r="P172" s="17"/>
      <c r="Q172" s="17"/>
      <c r="R172" s="17"/>
      <c r="S172" s="17"/>
      <c r="T172" s="17"/>
      <c r="U172" s="17"/>
      <c r="V172" s="17"/>
      <c r="W172" s="17"/>
      <c r="X172" s="15">
        <v>2</v>
      </c>
      <c r="Y172" s="15"/>
      <c r="Z172" s="17"/>
      <c r="AA172" s="17"/>
      <c r="AB172" s="17"/>
      <c r="AC172" s="17"/>
      <c r="AD172" s="15"/>
      <c r="AE172" s="17"/>
      <c r="AF172" s="17"/>
      <c r="AG172" s="17"/>
      <c r="AH172" s="17"/>
      <c r="AI172" s="15"/>
      <c r="AJ172" s="17"/>
      <c r="AK172" s="17"/>
      <c r="AL172" s="17"/>
      <c r="AM172" s="15">
        <v>278</v>
      </c>
      <c r="AN172" s="17"/>
      <c r="AO172" s="17"/>
      <c r="AP172" s="17"/>
      <c r="AQ172" s="17"/>
      <c r="AR172" s="17"/>
      <c r="AS172" s="17"/>
      <c r="AT172" s="17"/>
      <c r="AU172" s="17"/>
      <c r="AV172" s="17"/>
      <c r="AW172" s="17"/>
      <c r="AX172" s="17"/>
      <c r="AY172" s="17"/>
      <c r="AZ172" s="17"/>
      <c r="BA172" s="17"/>
      <c r="BB172" s="17"/>
      <c r="BC172" s="17"/>
      <c r="BD172" s="17"/>
      <c r="BE172" s="19"/>
    </row>
    <row r="173" spans="1:57">
      <c r="A173" s="13" t="s">
        <v>478</v>
      </c>
      <c r="B173" s="13" t="s">
        <v>475</v>
      </c>
      <c r="C173" s="14">
        <v>44234</v>
      </c>
      <c r="D173" s="52" t="s">
        <v>479</v>
      </c>
      <c r="E173" s="15" t="s">
        <v>480</v>
      </c>
      <c r="F173" s="16">
        <v>0.65277777777777779</v>
      </c>
      <c r="G173" s="17"/>
      <c r="H173" s="15" t="s">
        <v>123</v>
      </c>
      <c r="I173" s="15" t="s">
        <v>70</v>
      </c>
      <c r="J173" s="15" t="s">
        <v>128</v>
      </c>
      <c r="K173" s="15">
        <v>316</v>
      </c>
      <c r="L173" s="17"/>
      <c r="M173" s="17"/>
      <c r="N173" s="17"/>
      <c r="O173" s="17"/>
      <c r="P173" s="17"/>
      <c r="Q173" s="17"/>
      <c r="R173" s="17"/>
      <c r="S173" s="17"/>
      <c r="T173" s="17"/>
      <c r="U173" s="17"/>
      <c r="V173" s="17"/>
      <c r="W173" s="17"/>
      <c r="X173" s="15"/>
      <c r="Y173" s="15"/>
      <c r="Z173" s="17"/>
      <c r="AA173" s="17"/>
      <c r="AB173" s="17"/>
      <c r="AC173" s="17"/>
      <c r="AD173" s="15"/>
      <c r="AE173" s="17"/>
      <c r="AF173" s="17"/>
      <c r="AG173" s="17"/>
      <c r="AH173" s="17"/>
      <c r="AI173" s="15"/>
      <c r="AJ173" s="17"/>
      <c r="AK173" s="17"/>
      <c r="AL173" s="17"/>
      <c r="AM173" s="15">
        <v>69</v>
      </c>
      <c r="AN173" s="17"/>
      <c r="AO173" s="17"/>
      <c r="AP173" s="17"/>
      <c r="AQ173" s="17"/>
      <c r="AR173" s="17"/>
      <c r="AS173" s="17"/>
      <c r="AT173" s="17"/>
      <c r="AU173" s="17"/>
      <c r="AV173" s="17"/>
      <c r="AW173" s="17"/>
      <c r="AX173" s="17"/>
      <c r="AY173" s="17"/>
      <c r="AZ173" s="17"/>
      <c r="BA173" s="17"/>
      <c r="BB173" s="17"/>
      <c r="BC173" s="17"/>
      <c r="BD173" s="17"/>
      <c r="BE173" s="18"/>
    </row>
    <row r="174" spans="1:57">
      <c r="A174" s="53" t="s">
        <v>481</v>
      </c>
      <c r="B174" s="24" t="s">
        <v>475</v>
      </c>
      <c r="C174" s="14"/>
      <c r="F174" s="16"/>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8"/>
    </row>
    <row r="175" spans="1:57">
      <c r="A175" s="13" t="s">
        <v>482</v>
      </c>
      <c r="B175" s="13" t="s">
        <v>483</v>
      </c>
      <c r="C175" s="14"/>
      <c r="F175" s="16"/>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8"/>
    </row>
    <row r="176" spans="1:57">
      <c r="A176" s="13" t="s">
        <v>484</v>
      </c>
      <c r="B176" s="13" t="s">
        <v>483</v>
      </c>
      <c r="C176" s="14"/>
      <c r="F176" s="16"/>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8"/>
    </row>
    <row r="177" spans="1:57" ht="31.5">
      <c r="A177" s="13" t="s">
        <v>485</v>
      </c>
      <c r="B177" s="13" t="s">
        <v>486</v>
      </c>
      <c r="C177" s="14"/>
      <c r="F177" s="16"/>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8"/>
    </row>
    <row r="178" spans="1:57" ht="47.25">
      <c r="A178" s="13" t="s">
        <v>487</v>
      </c>
      <c r="B178" s="13" t="s">
        <v>488</v>
      </c>
      <c r="C178" s="14"/>
      <c r="F178" s="16"/>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9"/>
    </row>
    <row r="179" spans="1:57">
      <c r="A179" s="13" t="s">
        <v>489</v>
      </c>
      <c r="B179" s="13" t="s">
        <v>488</v>
      </c>
      <c r="C179" s="14"/>
      <c r="F179" s="16"/>
      <c r="G179" s="17"/>
      <c r="H179" s="17"/>
      <c r="I179" s="17"/>
      <c r="J179" s="17"/>
      <c r="K179" s="17"/>
      <c r="L179" s="17"/>
      <c r="M179" s="17"/>
      <c r="N179" s="17"/>
      <c r="O179" s="15"/>
      <c r="P179" s="15"/>
      <c r="Q179" s="15"/>
      <c r="R179" s="15"/>
      <c r="S179" s="15"/>
      <c r="T179" s="15"/>
      <c r="U179" s="15"/>
      <c r="V179" s="15"/>
      <c r="W179" s="15"/>
      <c r="X179" s="15"/>
      <c r="Y179" s="15"/>
      <c r="Z179" s="15">
        <v>14</v>
      </c>
      <c r="AA179" s="15">
        <v>50</v>
      </c>
      <c r="AB179" s="15"/>
      <c r="AC179" s="15"/>
      <c r="AD179" s="15"/>
      <c r="AE179" s="15"/>
      <c r="AF179" s="15"/>
      <c r="AG179" s="15"/>
      <c r="AH179" s="15">
        <v>6</v>
      </c>
      <c r="AI179" s="15"/>
      <c r="AJ179" s="15"/>
      <c r="AK179" s="15"/>
      <c r="AL179" s="15"/>
      <c r="AM179" s="15"/>
      <c r="AN179" s="15"/>
      <c r="AO179" s="15"/>
      <c r="AP179" s="15"/>
      <c r="AQ179" s="15"/>
      <c r="AR179" s="15"/>
      <c r="AS179" s="15"/>
      <c r="AT179" s="15"/>
      <c r="AU179" s="15"/>
      <c r="AV179" s="15"/>
      <c r="AW179" s="15">
        <v>1</v>
      </c>
      <c r="AX179" s="15"/>
      <c r="AY179" s="15"/>
      <c r="AZ179" s="15">
        <v>145</v>
      </c>
      <c r="BA179" s="15">
        <v>44</v>
      </c>
      <c r="BB179" s="15"/>
      <c r="BC179" s="15"/>
      <c r="BD179" s="15"/>
      <c r="BE179" s="18" t="s">
        <v>490</v>
      </c>
    </row>
    <row r="180" spans="1:57">
      <c r="A180" s="20" t="s">
        <v>491</v>
      </c>
      <c r="B180" s="24" t="s">
        <v>488</v>
      </c>
      <c r="C180" s="14"/>
      <c r="F180" s="16"/>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8"/>
    </row>
    <row r="181" spans="1:57">
      <c r="A181" s="13" t="s">
        <v>492</v>
      </c>
      <c r="B181" s="13" t="s">
        <v>488</v>
      </c>
      <c r="C181" s="14">
        <v>44599</v>
      </c>
      <c r="D181" s="15" t="s">
        <v>493</v>
      </c>
      <c r="E181" s="15" t="s">
        <v>494</v>
      </c>
      <c r="F181" s="16">
        <v>0.375</v>
      </c>
      <c r="G181" s="15" t="s">
        <v>83</v>
      </c>
      <c r="H181" s="15" t="s">
        <v>109</v>
      </c>
      <c r="I181" s="15" t="s">
        <v>70</v>
      </c>
      <c r="J181" s="15" t="s">
        <v>71</v>
      </c>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5">
        <v>42</v>
      </c>
      <c r="AR181" s="17"/>
      <c r="AS181" s="15">
        <v>108</v>
      </c>
      <c r="AT181" s="17"/>
      <c r="AU181" s="17"/>
      <c r="AV181" s="17"/>
      <c r="AW181" s="17"/>
      <c r="AX181" s="17"/>
      <c r="AY181" s="17"/>
      <c r="AZ181" s="15">
        <v>5</v>
      </c>
      <c r="BA181" s="17"/>
      <c r="BB181" s="17"/>
      <c r="BC181" s="17"/>
      <c r="BD181" s="15">
        <v>2</v>
      </c>
      <c r="BE181" s="19"/>
    </row>
    <row r="182" spans="1:57" ht="31.5">
      <c r="A182" s="13" t="s">
        <v>495</v>
      </c>
      <c r="B182" s="13" t="s">
        <v>488</v>
      </c>
      <c r="C182" s="14"/>
      <c r="F182" s="16"/>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8"/>
    </row>
    <row r="183" spans="1:57" ht="47.25">
      <c r="A183" s="13" t="s">
        <v>496</v>
      </c>
      <c r="B183" s="13" t="s">
        <v>488</v>
      </c>
      <c r="C183" s="14"/>
      <c r="F183" s="16"/>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8"/>
    </row>
    <row r="184" spans="1:57" ht="47.25">
      <c r="A184" s="13" t="s">
        <v>497</v>
      </c>
      <c r="B184" s="13" t="s">
        <v>488</v>
      </c>
      <c r="C184" s="32">
        <v>44600</v>
      </c>
      <c r="D184" s="15" t="s">
        <v>498</v>
      </c>
      <c r="E184" s="15" t="s">
        <v>424</v>
      </c>
      <c r="F184" s="16">
        <v>0.29166666666666669</v>
      </c>
      <c r="G184" s="15" t="s">
        <v>83</v>
      </c>
      <c r="H184" s="15" t="s">
        <v>69</v>
      </c>
      <c r="I184" s="15" t="s">
        <v>118</v>
      </c>
      <c r="J184" s="15" t="s">
        <v>71</v>
      </c>
      <c r="K184" s="15"/>
      <c r="L184" s="15"/>
      <c r="M184" s="15">
        <v>2</v>
      </c>
      <c r="N184" s="15"/>
      <c r="O184" s="15"/>
      <c r="P184" s="15"/>
      <c r="Q184" s="15"/>
      <c r="R184" s="15"/>
      <c r="S184" s="15"/>
      <c r="T184" s="15"/>
      <c r="U184" s="15"/>
      <c r="V184" s="15"/>
      <c r="W184" s="15"/>
      <c r="X184" s="15"/>
      <c r="Y184" s="15"/>
      <c r="Z184" s="15">
        <v>47</v>
      </c>
      <c r="AA184" s="15">
        <v>111</v>
      </c>
      <c r="AB184" s="15"/>
      <c r="AC184" s="15"/>
      <c r="AD184" s="15"/>
      <c r="AE184" s="15"/>
      <c r="AF184" s="15"/>
      <c r="AG184" s="15"/>
      <c r="AH184" s="15">
        <v>16</v>
      </c>
      <c r="AI184" s="15"/>
      <c r="AJ184" s="15"/>
      <c r="AK184" s="15"/>
      <c r="AL184" s="15"/>
      <c r="AM184" s="15"/>
      <c r="AN184" s="15"/>
      <c r="AO184" s="15"/>
      <c r="AP184" s="15">
        <v>7</v>
      </c>
      <c r="AQ184" s="15"/>
      <c r="AR184" s="15"/>
      <c r="AS184" s="15"/>
      <c r="AT184" s="15"/>
      <c r="AU184" s="15"/>
      <c r="AV184" s="15"/>
      <c r="AW184" s="15"/>
      <c r="AX184" s="15">
        <v>8</v>
      </c>
      <c r="AY184" s="15"/>
      <c r="AZ184" s="15">
        <v>75</v>
      </c>
      <c r="BA184" s="15">
        <v>11</v>
      </c>
      <c r="BB184" s="15"/>
      <c r="BC184" s="15"/>
      <c r="BD184" s="15"/>
      <c r="BE184" s="18" t="s">
        <v>499</v>
      </c>
    </row>
    <row r="185" spans="1:57" ht="63">
      <c r="A185" s="13" t="s">
        <v>500</v>
      </c>
      <c r="B185" s="13" t="s">
        <v>488</v>
      </c>
      <c r="C185" s="14">
        <v>44601</v>
      </c>
      <c r="D185" s="15" t="s">
        <v>501</v>
      </c>
      <c r="E185" s="15" t="s">
        <v>502</v>
      </c>
      <c r="F185" s="16">
        <v>0.41666666666666669</v>
      </c>
      <c r="G185" s="15" t="s">
        <v>78</v>
      </c>
      <c r="H185" s="15" t="s">
        <v>123</v>
      </c>
      <c r="I185" s="15" t="s">
        <v>118</v>
      </c>
      <c r="J185" s="15" t="s">
        <v>71</v>
      </c>
      <c r="K185" s="17"/>
      <c r="L185" s="17"/>
      <c r="M185" s="17"/>
      <c r="N185" s="17"/>
      <c r="O185" s="17"/>
      <c r="P185" s="17"/>
      <c r="Q185" s="17"/>
      <c r="R185" s="17"/>
      <c r="S185" s="17"/>
      <c r="T185" s="17"/>
      <c r="U185" s="17"/>
      <c r="V185" s="17"/>
      <c r="W185" s="17"/>
      <c r="X185" s="17"/>
      <c r="Y185" s="17"/>
      <c r="Z185" s="17"/>
      <c r="AA185" s="15">
        <v>13</v>
      </c>
      <c r="AB185" s="17"/>
      <c r="AC185" s="17"/>
      <c r="AD185" s="17"/>
      <c r="AE185" s="17"/>
      <c r="AF185" s="17"/>
      <c r="AG185" s="17"/>
      <c r="AH185" s="15">
        <v>7</v>
      </c>
      <c r="AI185" s="17"/>
      <c r="AJ185" s="17"/>
      <c r="AK185" s="17"/>
      <c r="AL185" s="17"/>
      <c r="AM185" s="17"/>
      <c r="AN185" s="17"/>
      <c r="AO185" s="17"/>
      <c r="AP185" s="15">
        <v>4</v>
      </c>
      <c r="AQ185" s="17"/>
      <c r="AR185" s="17"/>
      <c r="AS185" s="15">
        <v>1</v>
      </c>
      <c r="AT185" s="17"/>
      <c r="AU185" s="17"/>
      <c r="AV185" s="17"/>
      <c r="AW185" s="17"/>
      <c r="AX185" s="17"/>
      <c r="AY185" s="17"/>
      <c r="AZ185" s="17"/>
      <c r="BA185" s="17"/>
      <c r="BB185" s="17"/>
      <c r="BC185" s="17"/>
      <c r="BD185" s="17"/>
      <c r="BE185" s="18" t="s">
        <v>503</v>
      </c>
    </row>
    <row r="186" spans="1:57">
      <c r="A186" s="24" t="s">
        <v>504</v>
      </c>
      <c r="B186" s="24" t="s">
        <v>505</v>
      </c>
      <c r="C186" s="14">
        <v>44602</v>
      </c>
      <c r="D186" s="15" t="s">
        <v>493</v>
      </c>
      <c r="E186" s="15" t="s">
        <v>494</v>
      </c>
      <c r="F186" s="16">
        <v>0.5625</v>
      </c>
      <c r="G186" s="15" t="s">
        <v>156</v>
      </c>
      <c r="H186" s="15" t="s">
        <v>123</v>
      </c>
      <c r="I186" s="15" t="s">
        <v>70</v>
      </c>
      <c r="J186" s="15" t="s">
        <v>71</v>
      </c>
      <c r="K186" s="17"/>
      <c r="L186" s="17"/>
      <c r="M186" s="17"/>
      <c r="N186" s="15">
        <v>18</v>
      </c>
      <c r="O186" s="15">
        <v>190</v>
      </c>
      <c r="P186" s="15">
        <v>77</v>
      </c>
      <c r="Q186" s="15">
        <v>2</v>
      </c>
      <c r="R186" s="15">
        <v>132</v>
      </c>
      <c r="S186" s="17"/>
      <c r="T186" s="15">
        <v>26</v>
      </c>
      <c r="U186" s="17"/>
      <c r="V186" s="17"/>
      <c r="W186" s="17"/>
      <c r="X186" s="17"/>
      <c r="Y186" s="17"/>
      <c r="Z186" s="17"/>
      <c r="AA186" s="15">
        <v>35</v>
      </c>
      <c r="AB186" s="17"/>
      <c r="AC186" s="17"/>
      <c r="AD186" s="17"/>
      <c r="AE186" s="15">
        <v>1</v>
      </c>
      <c r="AF186" s="15">
        <v>2</v>
      </c>
      <c r="AG186" s="17"/>
      <c r="AH186" s="15">
        <v>32</v>
      </c>
      <c r="AI186" s="17"/>
      <c r="AJ186" s="15">
        <v>1</v>
      </c>
      <c r="AK186" s="17"/>
      <c r="AL186" s="17"/>
      <c r="AM186" s="17"/>
      <c r="AN186" s="17"/>
      <c r="AO186" s="17"/>
      <c r="AP186" s="17"/>
      <c r="AQ186" s="15">
        <v>39</v>
      </c>
      <c r="AR186" s="17"/>
      <c r="AS186" s="15">
        <v>162</v>
      </c>
      <c r="AT186" s="15">
        <v>3</v>
      </c>
      <c r="AU186" s="17"/>
      <c r="AV186" s="17"/>
      <c r="AW186" s="17"/>
      <c r="AX186" s="17"/>
      <c r="AY186" s="17"/>
      <c r="AZ186" s="17"/>
      <c r="BA186" s="17"/>
      <c r="BB186" s="17"/>
      <c r="BC186" s="17"/>
      <c r="BD186" s="15">
        <v>97</v>
      </c>
      <c r="BE186" s="19"/>
    </row>
    <row r="187" spans="1:57" ht="31.5">
      <c r="A187" s="13" t="s">
        <v>506</v>
      </c>
      <c r="B187" s="13" t="s">
        <v>507</v>
      </c>
      <c r="C187" s="14">
        <v>44600</v>
      </c>
      <c r="D187" s="15" t="s">
        <v>508</v>
      </c>
      <c r="E187" s="15" t="s">
        <v>509</v>
      </c>
      <c r="F187" s="16">
        <v>0.30208333333333331</v>
      </c>
      <c r="G187" s="15" t="s">
        <v>83</v>
      </c>
      <c r="H187" s="15" t="s">
        <v>69</v>
      </c>
      <c r="I187" s="15" t="s">
        <v>70</v>
      </c>
      <c r="J187" s="15" t="s">
        <v>71</v>
      </c>
      <c r="K187" s="17"/>
      <c r="L187" s="17"/>
      <c r="M187" s="15">
        <v>1</v>
      </c>
      <c r="N187" s="17"/>
      <c r="O187" s="17"/>
      <c r="P187" s="17"/>
      <c r="Q187" s="17"/>
      <c r="R187" s="17"/>
      <c r="S187" s="17"/>
      <c r="T187" s="17"/>
      <c r="U187" s="17"/>
      <c r="V187" s="17"/>
      <c r="W187" s="17"/>
      <c r="X187" s="17"/>
      <c r="Y187" s="17"/>
      <c r="Z187" s="17"/>
      <c r="AA187" s="15">
        <v>40</v>
      </c>
      <c r="AB187" s="15">
        <v>3</v>
      </c>
      <c r="AC187" s="17"/>
      <c r="AD187" s="17"/>
      <c r="AE187" s="17"/>
      <c r="AF187" s="17"/>
      <c r="AG187" s="17"/>
      <c r="AH187" s="17"/>
      <c r="AI187" s="17"/>
      <c r="AJ187" s="17"/>
      <c r="AK187" s="17"/>
      <c r="AL187" s="17"/>
      <c r="AM187" s="17"/>
      <c r="AN187" s="17"/>
      <c r="AO187" s="17"/>
      <c r="AP187" s="17"/>
      <c r="AQ187" s="17"/>
      <c r="AR187" s="17"/>
      <c r="AS187" s="15">
        <v>1</v>
      </c>
      <c r="AT187" s="17"/>
      <c r="AU187" s="17"/>
      <c r="AV187" s="17"/>
      <c r="AW187" s="17"/>
      <c r="AX187" s="17"/>
      <c r="AY187" s="15">
        <v>1</v>
      </c>
      <c r="AZ187" s="15">
        <v>3</v>
      </c>
      <c r="BA187" s="15">
        <v>1</v>
      </c>
      <c r="BB187" s="17"/>
      <c r="BC187" s="17"/>
      <c r="BD187" s="17"/>
      <c r="BE187" s="19"/>
    </row>
    <row r="188" spans="1:57" ht="63">
      <c r="A188" s="29" t="s">
        <v>510</v>
      </c>
      <c r="B188" s="24" t="s">
        <v>507</v>
      </c>
      <c r="C188" s="14">
        <v>44602</v>
      </c>
      <c r="D188" s="15" t="s">
        <v>511</v>
      </c>
      <c r="E188" s="15" t="s">
        <v>512</v>
      </c>
      <c r="F188" s="16">
        <v>0.375</v>
      </c>
      <c r="G188" s="15" t="s">
        <v>83</v>
      </c>
      <c r="H188" s="15" t="s">
        <v>109</v>
      </c>
      <c r="I188" s="15" t="s">
        <v>70</v>
      </c>
      <c r="J188" s="15" t="s">
        <v>71</v>
      </c>
      <c r="K188" s="15"/>
      <c r="L188" s="15"/>
      <c r="M188" s="15">
        <v>12</v>
      </c>
      <c r="N188" s="15"/>
      <c r="O188" s="15"/>
      <c r="P188" s="15"/>
      <c r="Q188" s="15"/>
      <c r="R188" s="15"/>
      <c r="S188" s="15"/>
      <c r="T188" s="15"/>
      <c r="U188" s="17"/>
      <c r="V188" s="15"/>
      <c r="W188" s="15"/>
      <c r="X188" s="15">
        <v>1</v>
      </c>
      <c r="Y188" s="15"/>
      <c r="Z188" s="15">
        <v>19</v>
      </c>
      <c r="AA188" s="15">
        <v>74</v>
      </c>
      <c r="AB188" s="15">
        <v>2</v>
      </c>
      <c r="AC188" s="15"/>
      <c r="AD188" s="15"/>
      <c r="AE188" s="15"/>
      <c r="AF188" s="15"/>
      <c r="AG188" s="15"/>
      <c r="AH188" s="15"/>
      <c r="AI188" s="15"/>
      <c r="AJ188" s="15"/>
      <c r="AK188" s="15"/>
      <c r="AL188" s="15"/>
      <c r="AM188" s="15"/>
      <c r="AN188" s="15"/>
      <c r="AO188" s="15"/>
      <c r="AP188" s="15">
        <v>3</v>
      </c>
      <c r="AQ188" s="15"/>
      <c r="AR188" s="15"/>
      <c r="AS188" s="15">
        <v>68</v>
      </c>
      <c r="AT188" s="15"/>
      <c r="AU188" s="15"/>
      <c r="AV188" s="15"/>
      <c r="AW188" s="15">
        <v>7</v>
      </c>
      <c r="AX188" s="15">
        <v>9</v>
      </c>
      <c r="AY188" s="15"/>
      <c r="AZ188" s="15">
        <v>39</v>
      </c>
      <c r="BA188" s="15">
        <v>125</v>
      </c>
      <c r="BB188" s="15"/>
      <c r="BC188" s="15"/>
      <c r="BD188" s="15"/>
      <c r="BE188" s="18" t="s">
        <v>513</v>
      </c>
    </row>
    <row r="189" spans="1:57">
      <c r="A189" s="13" t="s">
        <v>514</v>
      </c>
      <c r="B189" s="13" t="s">
        <v>507</v>
      </c>
      <c r="C189" s="14">
        <v>44600</v>
      </c>
      <c r="D189" s="15" t="s">
        <v>515</v>
      </c>
      <c r="E189" s="15" t="s">
        <v>516</v>
      </c>
      <c r="F189" s="16">
        <v>0.29166666666666669</v>
      </c>
      <c r="G189" s="15" t="s">
        <v>83</v>
      </c>
      <c r="H189" s="15" t="s">
        <v>69</v>
      </c>
      <c r="I189" s="15" t="s">
        <v>70</v>
      </c>
      <c r="J189" s="15" t="s">
        <v>71</v>
      </c>
      <c r="K189" s="15"/>
      <c r="L189" s="15"/>
      <c r="M189" s="15">
        <v>33</v>
      </c>
      <c r="N189" s="15"/>
      <c r="O189" s="15"/>
      <c r="P189" s="15"/>
      <c r="Q189" s="15">
        <v>1</v>
      </c>
      <c r="R189" s="15"/>
      <c r="S189" s="15"/>
      <c r="T189" s="15"/>
      <c r="U189" s="15"/>
      <c r="V189" s="15"/>
      <c r="W189" s="15"/>
      <c r="X189" s="15">
        <v>12</v>
      </c>
      <c r="Y189" s="15"/>
      <c r="Z189" s="15"/>
      <c r="AA189" s="15">
        <v>45</v>
      </c>
      <c r="AB189" s="15">
        <v>15</v>
      </c>
      <c r="AC189" s="15"/>
      <c r="AD189" s="15"/>
      <c r="AE189" s="15"/>
      <c r="AF189" s="15"/>
      <c r="AG189" s="15"/>
      <c r="AH189" s="15"/>
      <c r="AI189" s="15"/>
      <c r="AJ189" s="15"/>
      <c r="AK189" s="15"/>
      <c r="AL189" s="15"/>
      <c r="AM189" s="15"/>
      <c r="AN189" s="15"/>
      <c r="AO189" s="15"/>
      <c r="AP189" s="15"/>
      <c r="AQ189" s="15"/>
      <c r="AR189" s="15"/>
      <c r="AS189" s="15">
        <v>3</v>
      </c>
      <c r="AT189" s="15"/>
      <c r="AU189" s="15"/>
      <c r="AV189" s="15"/>
      <c r="AW189" s="15"/>
      <c r="AX189" s="15">
        <v>73</v>
      </c>
      <c r="AY189" s="15">
        <v>13</v>
      </c>
      <c r="AZ189" s="15">
        <v>6</v>
      </c>
      <c r="BA189" s="15">
        <v>17</v>
      </c>
      <c r="BB189" s="15"/>
      <c r="BC189" s="15"/>
      <c r="BD189" s="15"/>
      <c r="BE189" s="18"/>
    </row>
    <row r="190" spans="1:57">
      <c r="A190" s="13" t="s">
        <v>517</v>
      </c>
      <c r="B190" s="13" t="s">
        <v>507</v>
      </c>
      <c r="C190" s="14"/>
      <c r="F190" s="16"/>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9"/>
    </row>
    <row r="191" spans="1:57">
      <c r="A191" s="13" t="s">
        <v>518</v>
      </c>
      <c r="B191" s="13" t="s">
        <v>507</v>
      </c>
      <c r="C191" s="14">
        <v>44599</v>
      </c>
      <c r="D191" s="18" t="s">
        <v>519</v>
      </c>
      <c r="E191" s="15" t="s">
        <v>520</v>
      </c>
      <c r="F191" s="16">
        <v>0.32708333333333334</v>
      </c>
      <c r="G191" s="15" t="s">
        <v>156</v>
      </c>
      <c r="H191" s="15" t="s">
        <v>69</v>
      </c>
      <c r="I191" s="15" t="s">
        <v>70</v>
      </c>
      <c r="J191" s="15" t="s">
        <v>71</v>
      </c>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9"/>
    </row>
    <row r="192" spans="1:57" ht="26.25">
      <c r="A192" s="13" t="s">
        <v>521</v>
      </c>
      <c r="B192" s="13" t="s">
        <v>507</v>
      </c>
      <c r="C192" s="14">
        <v>44600</v>
      </c>
      <c r="D192" s="15" t="s">
        <v>508</v>
      </c>
      <c r="E192" s="15" t="s">
        <v>509</v>
      </c>
      <c r="F192" s="21">
        <v>0.32291666666666669</v>
      </c>
      <c r="G192" s="15" t="s">
        <v>83</v>
      </c>
      <c r="H192" s="15" t="s">
        <v>69</v>
      </c>
      <c r="I192" s="15" t="s">
        <v>70</v>
      </c>
      <c r="J192" s="15" t="s">
        <v>71</v>
      </c>
      <c r="K192" s="17"/>
      <c r="L192" s="17"/>
      <c r="M192" s="17"/>
      <c r="N192" s="17"/>
      <c r="O192" s="17"/>
      <c r="P192" s="17"/>
      <c r="Q192" s="17"/>
      <c r="R192" s="17"/>
      <c r="S192" s="17"/>
      <c r="T192" s="17"/>
      <c r="U192" s="17"/>
      <c r="V192" s="17"/>
      <c r="W192" s="17"/>
      <c r="X192" s="17"/>
      <c r="Y192" s="17"/>
      <c r="Z192" s="17"/>
      <c r="AA192" s="15">
        <v>25</v>
      </c>
      <c r="AB192" s="17"/>
      <c r="AC192" s="17"/>
      <c r="AD192" s="17"/>
      <c r="AE192" s="17"/>
      <c r="AF192" s="17"/>
      <c r="AG192" s="17"/>
      <c r="AH192" s="17"/>
      <c r="AI192" s="17"/>
      <c r="AJ192" s="17"/>
      <c r="AK192" s="17"/>
      <c r="AL192" s="17"/>
      <c r="AM192" s="17"/>
      <c r="AN192" s="17"/>
      <c r="AO192" s="17"/>
      <c r="AP192" s="15">
        <v>7</v>
      </c>
      <c r="AQ192" s="17"/>
      <c r="AR192" s="17"/>
      <c r="AS192" s="15">
        <v>10</v>
      </c>
      <c r="AT192" s="17"/>
      <c r="AU192" s="17"/>
      <c r="AV192" s="17"/>
      <c r="AW192" s="17"/>
      <c r="AX192" s="15">
        <v>3</v>
      </c>
      <c r="AY192" s="17"/>
      <c r="AZ192" s="15">
        <v>26</v>
      </c>
      <c r="BA192" s="17"/>
      <c r="BB192" s="17"/>
      <c r="BC192" s="17"/>
      <c r="BD192" s="17"/>
      <c r="BE192" s="18" t="s">
        <v>522</v>
      </c>
    </row>
    <row r="193" spans="1:57" ht="26.25">
      <c r="A193" s="13" t="s">
        <v>523</v>
      </c>
      <c r="B193" s="13" t="s">
        <v>507</v>
      </c>
      <c r="C193" s="14">
        <v>44596</v>
      </c>
      <c r="D193" s="15" t="s">
        <v>524</v>
      </c>
      <c r="E193" s="15" t="s">
        <v>525</v>
      </c>
      <c r="F193" s="16">
        <v>0.4375</v>
      </c>
      <c r="G193" s="15" t="s">
        <v>156</v>
      </c>
      <c r="H193" s="15" t="s">
        <v>69</v>
      </c>
      <c r="I193" s="15" t="s">
        <v>70</v>
      </c>
      <c r="J193" s="15" t="s">
        <v>71</v>
      </c>
      <c r="K193" s="17"/>
      <c r="L193" s="17"/>
      <c r="M193" s="15">
        <v>183</v>
      </c>
      <c r="N193" s="17"/>
      <c r="O193" s="17"/>
      <c r="P193" s="17"/>
      <c r="Q193" s="17"/>
      <c r="R193" s="17"/>
      <c r="S193" s="17"/>
      <c r="T193" s="17"/>
      <c r="U193" s="17"/>
      <c r="V193" s="17"/>
      <c r="W193" s="17"/>
      <c r="X193" s="17"/>
      <c r="Y193" s="17"/>
      <c r="Z193" s="17"/>
      <c r="AA193" s="17"/>
      <c r="AB193" s="17"/>
      <c r="AC193" s="17"/>
      <c r="AD193" s="17"/>
      <c r="AE193" s="15">
        <v>1</v>
      </c>
      <c r="AF193" s="17"/>
      <c r="AG193" s="17"/>
      <c r="AH193" s="17"/>
      <c r="AI193" s="17"/>
      <c r="AJ193" s="17"/>
      <c r="AK193" s="17"/>
      <c r="AL193" s="17"/>
      <c r="AM193" s="15">
        <v>272</v>
      </c>
      <c r="AN193" s="17"/>
      <c r="AO193" s="17"/>
      <c r="AP193" s="15">
        <v>38</v>
      </c>
      <c r="AQ193" s="17"/>
      <c r="AR193" s="17"/>
      <c r="AS193" s="15">
        <v>131</v>
      </c>
      <c r="AT193" s="17"/>
      <c r="AU193" s="17"/>
      <c r="AV193" s="17"/>
      <c r="AW193" s="15">
        <v>5</v>
      </c>
      <c r="AX193" s="15">
        <v>191</v>
      </c>
      <c r="AY193" s="17"/>
      <c r="AZ193" s="17"/>
      <c r="BA193" s="15">
        <v>105</v>
      </c>
      <c r="BB193" s="17"/>
      <c r="BC193" s="17"/>
      <c r="BD193" s="17"/>
      <c r="BE193" s="18" t="s">
        <v>526</v>
      </c>
    </row>
    <row r="194" spans="1:57">
      <c r="A194" s="13" t="s">
        <v>527</v>
      </c>
      <c r="B194" s="13" t="s">
        <v>528</v>
      </c>
      <c r="C194" s="14">
        <v>44596</v>
      </c>
      <c r="D194" s="15" t="s">
        <v>529</v>
      </c>
      <c r="E194" s="15" t="s">
        <v>530</v>
      </c>
      <c r="F194" s="16">
        <v>0.48194444444444445</v>
      </c>
      <c r="G194" s="15" t="s">
        <v>156</v>
      </c>
      <c r="H194" s="15" t="s">
        <v>109</v>
      </c>
      <c r="I194" s="15" t="s">
        <v>70</v>
      </c>
      <c r="J194" s="15" t="s">
        <v>71</v>
      </c>
      <c r="K194" s="17"/>
      <c r="L194" s="17"/>
      <c r="M194" s="15">
        <v>7</v>
      </c>
      <c r="N194" s="17"/>
      <c r="O194" s="17"/>
      <c r="P194" s="17"/>
      <c r="Q194" s="17"/>
      <c r="R194" s="17"/>
      <c r="S194" s="17"/>
      <c r="T194" s="17"/>
      <c r="U194" s="15">
        <v>1</v>
      </c>
      <c r="V194" s="17"/>
      <c r="W194" s="17"/>
      <c r="X194" s="17"/>
      <c r="Y194" s="17"/>
      <c r="Z194" s="15">
        <v>61</v>
      </c>
      <c r="AA194" s="15">
        <v>209</v>
      </c>
      <c r="AB194" s="17"/>
      <c r="AC194" s="15">
        <v>7</v>
      </c>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8"/>
    </row>
    <row r="195" spans="1:57">
      <c r="A195" s="24" t="s">
        <v>531</v>
      </c>
      <c r="B195" s="24" t="s">
        <v>528</v>
      </c>
      <c r="C195" s="14">
        <v>44597</v>
      </c>
      <c r="D195" s="15" t="s">
        <v>532</v>
      </c>
      <c r="E195" s="15" t="s">
        <v>533</v>
      </c>
      <c r="F195" s="21">
        <v>0.4236111111111111</v>
      </c>
      <c r="G195" s="15" t="s">
        <v>156</v>
      </c>
      <c r="H195" s="15" t="s">
        <v>109</v>
      </c>
      <c r="I195" s="15" t="s">
        <v>70</v>
      </c>
      <c r="J195" s="15" t="s">
        <v>71</v>
      </c>
      <c r="K195" s="15"/>
      <c r="L195" s="15"/>
      <c r="M195" s="15">
        <v>6</v>
      </c>
      <c r="N195" s="15"/>
      <c r="O195" s="15">
        <v>1</v>
      </c>
      <c r="P195" s="15">
        <v>1</v>
      </c>
      <c r="Q195" s="15">
        <v>158</v>
      </c>
      <c r="R195" s="15"/>
      <c r="S195" s="15"/>
      <c r="T195" s="15"/>
      <c r="U195" s="15">
        <v>111</v>
      </c>
      <c r="V195" s="15"/>
      <c r="W195" s="15"/>
      <c r="X195" s="15"/>
      <c r="Y195" s="15"/>
      <c r="Z195" s="15">
        <v>1</v>
      </c>
      <c r="AA195" s="15">
        <v>17</v>
      </c>
      <c r="AB195" s="15">
        <v>79</v>
      </c>
      <c r="AC195" s="15"/>
      <c r="AD195" s="15"/>
      <c r="AE195" s="15">
        <v>2</v>
      </c>
      <c r="AF195" s="15">
        <v>4</v>
      </c>
      <c r="AG195" s="15"/>
      <c r="AH195" s="15">
        <v>2</v>
      </c>
      <c r="AI195" s="15"/>
      <c r="AJ195" s="15"/>
      <c r="AK195" s="15"/>
      <c r="AL195" s="15"/>
      <c r="AM195" s="15"/>
      <c r="AN195" s="15"/>
      <c r="AO195" s="15"/>
      <c r="AP195" s="15">
        <v>6</v>
      </c>
      <c r="AQ195" s="15"/>
      <c r="AR195" s="15"/>
      <c r="AS195" s="15">
        <v>12</v>
      </c>
      <c r="AT195" s="15"/>
      <c r="AU195" s="15"/>
      <c r="AV195" s="15"/>
      <c r="AW195" s="15"/>
      <c r="AX195" s="15"/>
      <c r="AY195" s="15">
        <v>1</v>
      </c>
      <c r="AZ195" s="15">
        <v>1</v>
      </c>
      <c r="BA195" s="15">
        <v>37</v>
      </c>
      <c r="BB195" s="15"/>
      <c r="BC195" s="15"/>
      <c r="BD195" s="15"/>
      <c r="BE195" s="18" t="s">
        <v>534</v>
      </c>
    </row>
    <row r="196" spans="1:57" ht="26.25">
      <c r="A196" s="24" t="s">
        <v>535</v>
      </c>
      <c r="B196" s="24" t="s">
        <v>528</v>
      </c>
      <c r="C196" s="14">
        <v>44598</v>
      </c>
      <c r="D196" s="18" t="s">
        <v>536</v>
      </c>
      <c r="E196" s="15" t="s">
        <v>533</v>
      </c>
      <c r="F196" s="16">
        <v>0.47916666666666669</v>
      </c>
      <c r="G196" s="15" t="s">
        <v>156</v>
      </c>
      <c r="H196" s="15" t="s">
        <v>69</v>
      </c>
      <c r="I196" s="15" t="s">
        <v>70</v>
      </c>
      <c r="J196" s="15" t="s">
        <v>71</v>
      </c>
      <c r="K196" s="15"/>
      <c r="L196" s="15"/>
      <c r="M196" s="15"/>
      <c r="N196" s="15"/>
      <c r="O196" s="15"/>
      <c r="P196" s="15"/>
      <c r="Q196" s="15"/>
      <c r="R196" s="15"/>
      <c r="S196" s="15"/>
      <c r="T196" s="15"/>
      <c r="U196" s="15"/>
      <c r="V196" s="15"/>
      <c r="W196" s="15"/>
      <c r="X196" s="15"/>
      <c r="Y196" s="15"/>
      <c r="Z196" s="15"/>
      <c r="AA196" s="15"/>
      <c r="AB196" s="15"/>
      <c r="AC196" s="15"/>
      <c r="AD196" s="15"/>
      <c r="AE196" s="15">
        <v>1</v>
      </c>
      <c r="AF196" s="15"/>
      <c r="AG196" s="15"/>
      <c r="AH196" s="15"/>
      <c r="AI196" s="15"/>
      <c r="AJ196" s="15"/>
      <c r="AK196" s="15"/>
      <c r="AL196" s="15"/>
      <c r="AM196" s="15"/>
      <c r="AN196" s="15">
        <v>1</v>
      </c>
      <c r="AO196" s="15"/>
      <c r="AP196" s="15">
        <v>7</v>
      </c>
      <c r="AQ196" s="15"/>
      <c r="AR196" s="15"/>
      <c r="AS196" s="15">
        <v>23</v>
      </c>
      <c r="AT196" s="15"/>
      <c r="AU196" s="15"/>
      <c r="AV196" s="15"/>
      <c r="AW196" s="15"/>
      <c r="AX196" s="15">
        <v>1</v>
      </c>
      <c r="AY196" s="15"/>
      <c r="AZ196" s="15"/>
      <c r="BA196" s="15">
        <v>1</v>
      </c>
      <c r="BB196" s="15"/>
      <c r="BC196" s="15"/>
      <c r="BD196" s="15"/>
      <c r="BE196" s="18" t="s">
        <v>537</v>
      </c>
    </row>
    <row r="197" spans="1:57">
      <c r="A197" s="35" t="s">
        <v>538</v>
      </c>
      <c r="B197" s="35" t="s">
        <v>528</v>
      </c>
      <c r="C197" s="32">
        <v>44596</v>
      </c>
      <c r="D197" s="15" t="s">
        <v>539</v>
      </c>
      <c r="E197" s="15" t="s">
        <v>530</v>
      </c>
      <c r="F197" s="16">
        <v>0.42916666666666664</v>
      </c>
      <c r="G197" s="15" t="s">
        <v>156</v>
      </c>
      <c r="H197" s="15" t="s">
        <v>109</v>
      </c>
      <c r="I197" s="15" t="s">
        <v>70</v>
      </c>
      <c r="J197" s="15" t="s">
        <v>71</v>
      </c>
      <c r="X197" s="15">
        <v>1</v>
      </c>
      <c r="AA197" s="15">
        <v>15</v>
      </c>
      <c r="BE197" s="18"/>
    </row>
    <row r="198" spans="1:57" ht="31.5">
      <c r="A198" s="13" t="s">
        <v>540</v>
      </c>
      <c r="B198" s="13" t="s">
        <v>528</v>
      </c>
      <c r="C198" s="14"/>
      <c r="F198" s="16"/>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9"/>
    </row>
    <row r="199" spans="1:57" ht="31.5">
      <c r="A199" s="35" t="s">
        <v>541</v>
      </c>
      <c r="B199" s="35" t="s">
        <v>528</v>
      </c>
      <c r="C199" s="32"/>
      <c r="F199" s="16"/>
      <c r="G199" s="17"/>
      <c r="H199" s="17"/>
      <c r="I199" s="17"/>
      <c r="J199" s="17"/>
      <c r="BE199" s="18"/>
    </row>
    <row r="200" spans="1:57" ht="31.5">
      <c r="A200" s="35" t="s">
        <v>542</v>
      </c>
      <c r="B200" s="35" t="s">
        <v>528</v>
      </c>
      <c r="C200" s="32"/>
      <c r="F200" s="16"/>
      <c r="G200" s="17"/>
      <c r="H200" s="17"/>
      <c r="I200" s="17"/>
      <c r="J200" s="17"/>
      <c r="BE200" s="18"/>
    </row>
    <row r="201" spans="1:57" ht="31.5">
      <c r="A201" s="35" t="s">
        <v>543</v>
      </c>
      <c r="B201" s="35" t="s">
        <v>528</v>
      </c>
      <c r="C201" s="32"/>
      <c r="F201" s="16"/>
      <c r="G201" s="17"/>
      <c r="H201" s="17"/>
      <c r="I201" s="17"/>
      <c r="J201" s="17"/>
      <c r="BE201" s="18"/>
    </row>
    <row r="202" spans="1:57">
      <c r="A202" s="29" t="s">
        <v>544</v>
      </c>
      <c r="B202" s="13" t="s">
        <v>528</v>
      </c>
      <c r="C202" s="32"/>
      <c r="F202" s="16"/>
      <c r="G202" s="17"/>
      <c r="H202" s="17"/>
      <c r="I202" s="17"/>
      <c r="J202" s="17"/>
      <c r="BE202" s="18"/>
    </row>
    <row r="203" spans="1:57" ht="31.5">
      <c r="A203" s="13" t="s">
        <v>545</v>
      </c>
      <c r="B203" s="13" t="s">
        <v>528</v>
      </c>
      <c r="C203" s="14"/>
      <c r="F203" s="16"/>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8"/>
    </row>
    <row r="204" spans="1:57">
      <c r="A204" s="13" t="s">
        <v>546</v>
      </c>
      <c r="B204" s="13" t="s">
        <v>528</v>
      </c>
      <c r="C204" s="14">
        <v>44599</v>
      </c>
      <c r="D204" s="15" t="s">
        <v>539</v>
      </c>
      <c r="E204" s="15" t="s">
        <v>530</v>
      </c>
      <c r="F204" s="16">
        <v>0.41041666666666665</v>
      </c>
      <c r="G204" s="15" t="s">
        <v>156</v>
      </c>
      <c r="H204" s="15" t="s">
        <v>127</v>
      </c>
      <c r="I204" s="15" t="s">
        <v>70</v>
      </c>
      <c r="J204" s="15" t="s">
        <v>71</v>
      </c>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5">
        <v>5</v>
      </c>
      <c r="AQ204" s="17"/>
      <c r="AR204" s="17"/>
      <c r="AS204" s="17"/>
      <c r="AT204" s="17"/>
      <c r="AU204" s="17"/>
      <c r="AV204" s="17"/>
      <c r="AW204" s="17"/>
      <c r="AX204" s="15">
        <v>411</v>
      </c>
      <c r="AY204" s="17"/>
      <c r="AZ204" s="15">
        <v>1</v>
      </c>
      <c r="BA204" s="17"/>
      <c r="BB204" s="17"/>
      <c r="BC204" s="17"/>
      <c r="BD204" s="17"/>
      <c r="BE204" s="18"/>
    </row>
    <row r="205" spans="1:57">
      <c r="A205" s="24" t="s">
        <v>547</v>
      </c>
      <c r="B205" s="24" t="s">
        <v>528</v>
      </c>
      <c r="C205" s="14">
        <v>44598</v>
      </c>
      <c r="D205" s="15" t="s">
        <v>536</v>
      </c>
      <c r="E205" s="15" t="s">
        <v>533</v>
      </c>
      <c r="F205" s="16">
        <v>0.42152777777777778</v>
      </c>
      <c r="G205" s="15" t="s">
        <v>156</v>
      </c>
      <c r="H205" s="15" t="s">
        <v>69</v>
      </c>
      <c r="I205" s="15" t="s">
        <v>70</v>
      </c>
      <c r="J205" s="15" t="s">
        <v>71</v>
      </c>
      <c r="K205" s="15"/>
      <c r="L205" s="15"/>
      <c r="M205" s="15">
        <v>2</v>
      </c>
      <c r="N205" s="15"/>
      <c r="O205" s="15"/>
      <c r="P205" s="15"/>
      <c r="Q205" s="15"/>
      <c r="R205" s="15"/>
      <c r="S205" s="15"/>
      <c r="T205" s="15"/>
      <c r="U205" s="15">
        <v>50</v>
      </c>
      <c r="V205" s="15"/>
      <c r="W205" s="15"/>
      <c r="X205" s="15"/>
      <c r="Y205" s="15"/>
      <c r="Z205" s="15">
        <v>1</v>
      </c>
      <c r="AA205" s="15"/>
      <c r="AB205" s="15"/>
      <c r="AC205" s="15"/>
      <c r="AD205" s="15"/>
      <c r="AE205" s="15"/>
      <c r="AF205" s="15"/>
      <c r="AG205" s="15"/>
      <c r="AH205" s="15">
        <v>23</v>
      </c>
      <c r="AI205" s="15"/>
      <c r="AJ205" s="15"/>
      <c r="AK205" s="15"/>
      <c r="AL205" s="15"/>
      <c r="AM205" s="15"/>
      <c r="AN205" s="15"/>
      <c r="AO205" s="15"/>
      <c r="AP205" s="15">
        <v>32</v>
      </c>
      <c r="AQ205" s="15"/>
      <c r="AR205" s="15"/>
      <c r="AS205" s="15">
        <v>42</v>
      </c>
      <c r="AT205" s="15"/>
      <c r="AU205" s="15"/>
      <c r="AV205" s="15"/>
      <c r="AW205" s="15"/>
      <c r="AX205" s="15">
        <v>1</v>
      </c>
      <c r="AY205" s="15"/>
      <c r="AZ205" s="15">
        <v>2</v>
      </c>
      <c r="BA205" s="15">
        <v>100</v>
      </c>
      <c r="BB205" s="15"/>
      <c r="BC205" s="15"/>
      <c r="BD205" s="15"/>
      <c r="BE205" s="18"/>
    </row>
    <row r="206" spans="1:57">
      <c r="A206" s="35" t="s">
        <v>548</v>
      </c>
      <c r="B206" s="35" t="s">
        <v>528</v>
      </c>
      <c r="C206" s="32"/>
      <c r="F206" s="16"/>
      <c r="G206" s="17"/>
      <c r="H206" s="17"/>
      <c r="I206" s="17"/>
      <c r="J206" s="17"/>
      <c r="BE206" s="18"/>
    </row>
    <row r="207" spans="1:57" ht="31.5">
      <c r="A207" s="35" t="s">
        <v>549</v>
      </c>
      <c r="B207" s="35" t="s">
        <v>528</v>
      </c>
      <c r="C207" s="32"/>
      <c r="F207" s="16"/>
      <c r="G207" s="17"/>
      <c r="H207" s="17"/>
      <c r="I207" s="17"/>
      <c r="J207" s="17"/>
      <c r="BE207" s="54"/>
    </row>
    <row r="208" spans="1:57" ht="31.5">
      <c r="A208" s="13" t="s">
        <v>550</v>
      </c>
      <c r="B208" s="13" t="s">
        <v>528</v>
      </c>
      <c r="C208" s="14"/>
      <c r="F208" s="16"/>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8"/>
    </row>
    <row r="209" spans="1:57" ht="47.25">
      <c r="A209" s="35" t="s">
        <v>551</v>
      </c>
      <c r="B209" s="35" t="s">
        <v>528</v>
      </c>
      <c r="C209" s="32">
        <v>44601</v>
      </c>
      <c r="D209" s="15" t="s">
        <v>552</v>
      </c>
      <c r="E209" s="15" t="s">
        <v>525</v>
      </c>
      <c r="F209" s="16">
        <v>0.29305555555555557</v>
      </c>
      <c r="G209" s="15" t="s">
        <v>83</v>
      </c>
      <c r="H209" s="15" t="s">
        <v>123</v>
      </c>
      <c r="I209" s="15" t="s">
        <v>118</v>
      </c>
      <c r="J209" s="15" t="s">
        <v>71</v>
      </c>
      <c r="M209" s="15">
        <v>32</v>
      </c>
      <c r="P209" s="15">
        <v>1</v>
      </c>
      <c r="X209" s="15">
        <v>6</v>
      </c>
      <c r="AA209" s="15">
        <v>31</v>
      </c>
      <c r="AP209" s="15">
        <v>88</v>
      </c>
      <c r="AS209" s="15">
        <v>93</v>
      </c>
      <c r="AW209" s="15">
        <v>5</v>
      </c>
      <c r="AX209" s="15">
        <v>1</v>
      </c>
      <c r="AZ209" s="15">
        <v>7</v>
      </c>
      <c r="BA209" s="15">
        <v>140</v>
      </c>
      <c r="BD209" s="15">
        <v>138</v>
      </c>
      <c r="BE209" s="18" t="s">
        <v>553</v>
      </c>
    </row>
    <row r="210" spans="1:57" ht="31.5">
      <c r="A210" s="13" t="s">
        <v>554</v>
      </c>
      <c r="B210" s="13" t="s">
        <v>528</v>
      </c>
      <c r="C210" s="14"/>
      <c r="F210" s="16"/>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8"/>
    </row>
    <row r="211" spans="1:57" ht="31.5">
      <c r="A211" s="24" t="s">
        <v>555</v>
      </c>
      <c r="B211" s="24" t="s">
        <v>528</v>
      </c>
      <c r="C211" s="14">
        <v>44597</v>
      </c>
      <c r="D211" s="15" t="s">
        <v>532</v>
      </c>
      <c r="E211" s="15" t="s">
        <v>533</v>
      </c>
      <c r="F211" s="16">
        <v>0.56527777777777777</v>
      </c>
      <c r="G211" s="15" t="s">
        <v>156</v>
      </c>
      <c r="H211" s="15" t="s">
        <v>69</v>
      </c>
      <c r="I211" s="15" t="s">
        <v>70</v>
      </c>
      <c r="J211" s="15" t="s">
        <v>71</v>
      </c>
      <c r="K211" s="15"/>
      <c r="L211" s="15"/>
      <c r="M211" s="15">
        <v>1</v>
      </c>
      <c r="N211" s="15"/>
      <c r="O211" s="15"/>
      <c r="P211" s="15"/>
      <c r="Q211" s="15">
        <v>9</v>
      </c>
      <c r="R211" s="15"/>
      <c r="S211" s="15"/>
      <c r="T211" s="15"/>
      <c r="U211" s="15">
        <v>240</v>
      </c>
      <c r="V211" s="15"/>
      <c r="W211" s="15"/>
      <c r="X211" s="15"/>
      <c r="Y211" s="15"/>
      <c r="Z211" s="15">
        <v>2</v>
      </c>
      <c r="AA211" s="15">
        <v>100</v>
      </c>
      <c r="AB211" s="15">
        <v>1</v>
      </c>
      <c r="AC211" s="15"/>
      <c r="AD211" s="15"/>
      <c r="AE211" s="15">
        <v>1</v>
      </c>
      <c r="AF211" s="15"/>
      <c r="AG211" s="15"/>
      <c r="AH211" s="15"/>
      <c r="AI211" s="15"/>
      <c r="AJ211" s="15"/>
      <c r="AK211" s="15"/>
      <c r="AL211" s="15"/>
      <c r="AM211" s="15"/>
      <c r="AN211" s="15"/>
      <c r="AO211" s="15"/>
      <c r="AP211" s="15">
        <v>1</v>
      </c>
      <c r="AQ211" s="15"/>
      <c r="AR211" s="15"/>
      <c r="AS211" s="15">
        <v>37</v>
      </c>
      <c r="AT211" s="15">
        <v>2</v>
      </c>
      <c r="AU211" s="15"/>
      <c r="AV211" s="15"/>
      <c r="AW211" s="15"/>
      <c r="AX211" s="15"/>
      <c r="AY211" s="15"/>
      <c r="AZ211" s="15"/>
      <c r="BA211" s="15">
        <v>33</v>
      </c>
      <c r="BB211" s="15"/>
      <c r="BC211" s="15"/>
      <c r="BD211" s="15"/>
      <c r="BE211" s="18" t="s">
        <v>556</v>
      </c>
    </row>
    <row r="212" spans="1:57">
      <c r="A212" s="13" t="s">
        <v>557</v>
      </c>
      <c r="B212" s="13" t="s">
        <v>528</v>
      </c>
      <c r="C212" s="14">
        <v>44596</v>
      </c>
      <c r="D212" s="15" t="s">
        <v>558</v>
      </c>
      <c r="E212" s="15" t="s">
        <v>530</v>
      </c>
      <c r="F212" s="16">
        <v>0.34722222222222221</v>
      </c>
      <c r="G212" s="15" t="s">
        <v>83</v>
      </c>
      <c r="H212" s="15" t="s">
        <v>109</v>
      </c>
      <c r="I212" s="15" t="s">
        <v>70</v>
      </c>
      <c r="J212" s="15" t="s">
        <v>71</v>
      </c>
      <c r="K212" s="17"/>
      <c r="L212" s="17"/>
      <c r="M212" s="17"/>
      <c r="N212" s="17"/>
      <c r="O212" s="17"/>
      <c r="P212" s="17"/>
      <c r="Q212" s="17"/>
      <c r="R212" s="17"/>
      <c r="S212" s="17"/>
      <c r="T212" s="17"/>
      <c r="U212" s="17"/>
      <c r="V212" s="17"/>
      <c r="W212" s="17"/>
      <c r="X212" s="15">
        <v>1</v>
      </c>
      <c r="Y212" s="17"/>
      <c r="Z212" s="17"/>
      <c r="AA212" s="15">
        <v>38</v>
      </c>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9"/>
    </row>
    <row r="213" spans="1:57">
      <c r="A213" s="24" t="s">
        <v>559</v>
      </c>
      <c r="B213" s="24" t="s">
        <v>528</v>
      </c>
      <c r="C213" s="14"/>
      <c r="F213" s="16"/>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9"/>
    </row>
    <row r="214" spans="1:57">
      <c r="A214" s="24" t="s">
        <v>560</v>
      </c>
      <c r="B214" s="24" t="s">
        <v>528</v>
      </c>
      <c r="C214" s="14">
        <v>44597</v>
      </c>
      <c r="D214" s="15" t="s">
        <v>532</v>
      </c>
      <c r="E214" s="15" t="s">
        <v>533</v>
      </c>
      <c r="F214" s="16">
        <v>0.53263888888888888</v>
      </c>
      <c r="G214" s="15" t="s">
        <v>156</v>
      </c>
      <c r="H214" s="15" t="s">
        <v>69</v>
      </c>
      <c r="I214" s="15" t="s">
        <v>70</v>
      </c>
      <c r="J214" s="15" t="s">
        <v>71</v>
      </c>
      <c r="K214" s="15"/>
      <c r="L214" s="15"/>
      <c r="M214" s="15">
        <v>1</v>
      </c>
      <c r="N214" s="15"/>
      <c r="O214" s="15"/>
      <c r="P214" s="15"/>
      <c r="Q214" s="15"/>
      <c r="R214" s="15"/>
      <c r="S214" s="15"/>
      <c r="T214" s="15"/>
      <c r="U214" s="15"/>
      <c r="V214" s="15"/>
      <c r="W214" s="15"/>
      <c r="X214" s="15"/>
      <c r="Y214" s="15"/>
      <c r="Z214" s="15"/>
      <c r="AA214" s="15"/>
      <c r="AB214" s="15"/>
      <c r="AC214" s="15"/>
      <c r="AD214" s="15"/>
      <c r="AE214" s="15"/>
      <c r="AF214" s="15"/>
      <c r="AG214" s="15"/>
      <c r="AH214" s="15"/>
      <c r="AI214" s="15">
        <v>4</v>
      </c>
      <c r="AJ214" s="15"/>
      <c r="AK214" s="15"/>
      <c r="AL214" s="15"/>
      <c r="AM214" s="15"/>
      <c r="AN214" s="15"/>
      <c r="AO214" s="15"/>
      <c r="AP214" s="15"/>
      <c r="AQ214" s="15"/>
      <c r="AR214" s="15"/>
      <c r="AS214" s="15"/>
      <c r="AT214" s="15"/>
      <c r="AU214" s="15"/>
      <c r="AV214" s="15"/>
      <c r="AW214" s="15"/>
      <c r="AX214" s="15"/>
      <c r="AY214" s="15"/>
      <c r="AZ214" s="15"/>
      <c r="BA214" s="15"/>
      <c r="BB214" s="15"/>
      <c r="BC214" s="15"/>
      <c r="BD214" s="15">
        <v>1</v>
      </c>
      <c r="BE214" s="18" t="s">
        <v>561</v>
      </c>
    </row>
    <row r="215" spans="1:57">
      <c r="A215" s="24" t="s">
        <v>562</v>
      </c>
      <c r="B215" s="24" t="s">
        <v>528</v>
      </c>
      <c r="C215" s="14">
        <v>44597</v>
      </c>
      <c r="D215" s="15" t="s">
        <v>532</v>
      </c>
      <c r="E215" s="15" t="s">
        <v>533</v>
      </c>
      <c r="F215" s="16">
        <v>0.62222222222222223</v>
      </c>
      <c r="G215" s="15" t="s">
        <v>156</v>
      </c>
      <c r="H215" s="15" t="s">
        <v>69</v>
      </c>
      <c r="I215" s="15" t="s">
        <v>70</v>
      </c>
      <c r="J215" s="15" t="s">
        <v>71</v>
      </c>
      <c r="K215" s="15"/>
      <c r="L215" s="15"/>
      <c r="M215" s="15">
        <v>13</v>
      </c>
      <c r="N215" s="15"/>
      <c r="O215" s="15"/>
      <c r="P215" s="15"/>
      <c r="Q215" s="15">
        <v>2</v>
      </c>
      <c r="R215" s="15"/>
      <c r="S215" s="15"/>
      <c r="T215" s="15"/>
      <c r="U215" s="15">
        <v>183</v>
      </c>
      <c r="V215" s="15"/>
      <c r="W215" s="15"/>
      <c r="X215" s="15">
        <v>18</v>
      </c>
      <c r="Y215" s="15"/>
      <c r="Z215" s="15">
        <v>20</v>
      </c>
      <c r="AA215" s="15">
        <v>26</v>
      </c>
      <c r="AB215" s="15">
        <v>8</v>
      </c>
      <c r="AC215" s="15"/>
      <c r="AD215" s="15"/>
      <c r="AE215" s="15"/>
      <c r="AF215" s="15"/>
      <c r="AG215" s="15"/>
      <c r="AH215" s="15">
        <v>14</v>
      </c>
      <c r="AI215" s="15"/>
      <c r="AJ215" s="15"/>
      <c r="AK215" s="15"/>
      <c r="AL215" s="15"/>
      <c r="AM215" s="15"/>
      <c r="AN215" s="15"/>
      <c r="AO215" s="15"/>
      <c r="AP215" s="15"/>
      <c r="AQ215" s="15"/>
      <c r="AR215" s="15"/>
      <c r="AS215" s="15">
        <v>2</v>
      </c>
      <c r="AT215" s="15"/>
      <c r="AU215" s="15"/>
      <c r="AV215" s="15"/>
      <c r="AW215" s="15"/>
      <c r="AX215" s="15"/>
      <c r="AY215" s="15">
        <v>1</v>
      </c>
      <c r="AZ215" s="15"/>
      <c r="BA215" s="15">
        <v>21</v>
      </c>
      <c r="BB215" s="15"/>
      <c r="BC215" s="15"/>
      <c r="BD215" s="15"/>
      <c r="BE215" s="18" t="s">
        <v>563</v>
      </c>
    </row>
    <row r="216" spans="1:57" ht="31.5">
      <c r="A216" s="13" t="s">
        <v>564</v>
      </c>
      <c r="B216" s="13" t="s">
        <v>528</v>
      </c>
      <c r="C216" s="14"/>
      <c r="D216" s="18"/>
      <c r="F216" s="16"/>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8"/>
    </row>
    <row r="217" spans="1:57" ht="51.75">
      <c r="A217" s="13" t="s">
        <v>565</v>
      </c>
      <c r="B217" s="55" t="s">
        <v>566</v>
      </c>
      <c r="C217" s="14">
        <v>44599</v>
      </c>
      <c r="D217" s="15" t="s">
        <v>220</v>
      </c>
      <c r="E217" s="15" t="s">
        <v>221</v>
      </c>
      <c r="F217" s="16">
        <v>0.56736111111111109</v>
      </c>
      <c r="G217" s="15" t="s">
        <v>78</v>
      </c>
      <c r="H217" s="15" t="s">
        <v>109</v>
      </c>
      <c r="I217" s="15" t="s">
        <v>70</v>
      </c>
      <c r="J217" s="15" t="s">
        <v>71</v>
      </c>
      <c r="K217" s="15"/>
      <c r="L217" s="15"/>
      <c r="M217" s="15"/>
      <c r="N217" s="15"/>
      <c r="O217" s="15"/>
      <c r="P217" s="15"/>
      <c r="Q217" s="15">
        <v>1</v>
      </c>
      <c r="R217" s="15"/>
      <c r="S217" s="15"/>
      <c r="T217" s="15"/>
      <c r="U217" s="15"/>
      <c r="V217" s="15"/>
      <c r="W217" s="15"/>
      <c r="X217" s="15">
        <v>6</v>
      </c>
      <c r="Y217" s="15"/>
      <c r="Z217" s="15">
        <v>38</v>
      </c>
      <c r="AA217" s="15">
        <v>38</v>
      </c>
      <c r="AB217" s="15">
        <v>92</v>
      </c>
      <c r="AC217" s="15"/>
      <c r="AD217" s="15"/>
      <c r="AE217" s="15"/>
      <c r="AF217" s="15">
        <v>64</v>
      </c>
      <c r="AG217" s="15"/>
      <c r="AH217" s="15">
        <v>5</v>
      </c>
      <c r="AI217" s="15">
        <v>29</v>
      </c>
      <c r="AJ217" s="15"/>
      <c r="AK217" s="15"/>
      <c r="AL217" s="15"/>
      <c r="AM217" s="15"/>
      <c r="AN217" s="15">
        <v>5</v>
      </c>
      <c r="AO217" s="15"/>
      <c r="AP217" s="15">
        <v>4</v>
      </c>
      <c r="AQ217" s="15"/>
      <c r="AR217" s="15"/>
      <c r="AS217" s="15"/>
      <c r="AT217" s="15">
        <v>33</v>
      </c>
      <c r="AU217" s="15"/>
      <c r="AV217" s="15"/>
      <c r="AW217" s="15"/>
      <c r="AX217" s="15">
        <v>24</v>
      </c>
      <c r="AY217" s="15"/>
      <c r="AZ217" s="15">
        <v>4</v>
      </c>
      <c r="BA217" s="15">
        <v>15</v>
      </c>
      <c r="BB217" s="15"/>
      <c r="BC217" s="15"/>
      <c r="BD217" s="15"/>
      <c r="BE217" s="18" t="s">
        <v>567</v>
      </c>
    </row>
    <row r="218" spans="1:57" ht="39">
      <c r="A218" s="13" t="s">
        <v>568</v>
      </c>
      <c r="B218" s="55" t="s">
        <v>566</v>
      </c>
      <c r="C218" s="14">
        <v>44602</v>
      </c>
      <c r="D218" s="15" t="s">
        <v>236</v>
      </c>
      <c r="E218" s="15" t="s">
        <v>237</v>
      </c>
      <c r="F218" s="23">
        <v>1330</v>
      </c>
      <c r="G218" s="15" t="s">
        <v>83</v>
      </c>
      <c r="H218" s="15" t="s">
        <v>69</v>
      </c>
      <c r="I218" s="15" t="s">
        <v>70</v>
      </c>
      <c r="J218" s="15" t="s">
        <v>71</v>
      </c>
      <c r="K218" s="15">
        <v>72</v>
      </c>
      <c r="L218" s="17"/>
      <c r="M218" s="15">
        <v>25</v>
      </c>
      <c r="N218" s="15">
        <v>68</v>
      </c>
      <c r="O218" s="15">
        <v>2</v>
      </c>
      <c r="P218" s="17"/>
      <c r="Q218" s="17"/>
      <c r="R218" s="17"/>
      <c r="S218" s="17"/>
      <c r="T218" s="17"/>
      <c r="U218" s="15">
        <v>122</v>
      </c>
      <c r="V218" s="17"/>
      <c r="W218" s="17"/>
      <c r="X218" s="17"/>
      <c r="Y218" s="17"/>
      <c r="Z218" s="15">
        <v>49</v>
      </c>
      <c r="AA218" s="17"/>
      <c r="AB218" s="17"/>
      <c r="AC218" s="17"/>
      <c r="AD218" s="17"/>
      <c r="AE218" s="15">
        <v>1</v>
      </c>
      <c r="AF218" s="17"/>
      <c r="AG218" s="17"/>
      <c r="AH218" s="15">
        <v>37</v>
      </c>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5">
        <v>66</v>
      </c>
      <c r="BE218" s="18" t="s">
        <v>569</v>
      </c>
    </row>
    <row r="219" spans="1:57" ht="26.25">
      <c r="A219" s="13" t="s">
        <v>570</v>
      </c>
      <c r="B219" s="13" t="s">
        <v>566</v>
      </c>
      <c r="C219" s="14">
        <v>44599</v>
      </c>
      <c r="D219" s="15" t="s">
        <v>571</v>
      </c>
      <c r="E219" s="15" t="s">
        <v>572</v>
      </c>
      <c r="F219" s="16">
        <v>0.44236111111111109</v>
      </c>
      <c r="G219" s="15" t="s">
        <v>68</v>
      </c>
      <c r="H219" s="15" t="s">
        <v>109</v>
      </c>
      <c r="I219" s="15" t="s">
        <v>118</v>
      </c>
      <c r="J219" s="15" t="s">
        <v>71</v>
      </c>
      <c r="K219" s="17"/>
      <c r="L219" s="17"/>
      <c r="M219" s="17"/>
      <c r="N219" s="17"/>
      <c r="O219" s="17"/>
      <c r="P219" s="17"/>
      <c r="Q219" s="17"/>
      <c r="R219" s="17"/>
      <c r="S219" s="17"/>
      <c r="T219" s="17"/>
      <c r="U219" s="17"/>
      <c r="V219" s="17"/>
      <c r="W219" s="17"/>
      <c r="X219" s="17"/>
      <c r="Y219" s="17"/>
      <c r="Z219" s="17"/>
      <c r="AA219" s="15">
        <v>3</v>
      </c>
      <c r="AB219" s="17"/>
      <c r="AC219" s="17"/>
      <c r="AD219" s="17"/>
      <c r="AE219" s="17"/>
      <c r="AF219" s="17"/>
      <c r="AG219" s="17"/>
      <c r="AH219" s="17"/>
      <c r="AI219" s="15">
        <v>3</v>
      </c>
      <c r="AJ219" s="17"/>
      <c r="AK219" s="17"/>
      <c r="AL219" s="17"/>
      <c r="AM219" s="15">
        <v>57</v>
      </c>
      <c r="AN219" s="17"/>
      <c r="AO219" s="17"/>
      <c r="AP219" s="15">
        <v>2</v>
      </c>
      <c r="AQ219" s="17"/>
      <c r="AR219" s="17"/>
      <c r="AS219" s="17"/>
      <c r="AT219" s="17"/>
      <c r="AU219" s="17"/>
      <c r="AV219" s="17"/>
      <c r="AW219" s="17"/>
      <c r="AX219" s="17"/>
      <c r="AY219" s="17"/>
      <c r="AZ219" s="15">
        <v>53</v>
      </c>
      <c r="BA219" s="15">
        <v>15</v>
      </c>
      <c r="BB219" s="17"/>
      <c r="BC219" s="17"/>
      <c r="BD219" s="17"/>
      <c r="BE219" s="18" t="s">
        <v>573</v>
      </c>
    </row>
    <row r="220" spans="1:57">
      <c r="A220" s="13" t="s">
        <v>574</v>
      </c>
      <c r="B220" s="13" t="s">
        <v>566</v>
      </c>
      <c r="C220" s="14">
        <v>44601</v>
      </c>
      <c r="D220" s="15" t="s">
        <v>575</v>
      </c>
      <c r="E220" s="15" t="s">
        <v>576</v>
      </c>
      <c r="F220" s="16">
        <v>0.35416666666666669</v>
      </c>
      <c r="G220" s="15" t="s">
        <v>68</v>
      </c>
      <c r="H220" s="15" t="s">
        <v>109</v>
      </c>
      <c r="I220" s="15" t="s">
        <v>70</v>
      </c>
      <c r="J220" s="15" t="s">
        <v>128</v>
      </c>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8"/>
    </row>
    <row r="221" spans="1:57" ht="47.25">
      <c r="A221" s="29" t="s">
        <v>577</v>
      </c>
      <c r="B221" s="24" t="s">
        <v>578</v>
      </c>
      <c r="C221" s="14"/>
      <c r="F221" s="16"/>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9"/>
    </row>
    <row r="222" spans="1:57">
      <c r="A222" s="13" t="s">
        <v>579</v>
      </c>
      <c r="B222" s="13" t="s">
        <v>580</v>
      </c>
      <c r="C222" s="14">
        <v>44601</v>
      </c>
      <c r="D222" s="15" t="s">
        <v>581</v>
      </c>
      <c r="E222" s="15" t="s">
        <v>582</v>
      </c>
      <c r="F222" s="16">
        <v>0.48749999999999999</v>
      </c>
      <c r="G222" s="15" t="s">
        <v>78</v>
      </c>
      <c r="H222" s="15" t="s">
        <v>109</v>
      </c>
      <c r="I222" s="15" t="s">
        <v>70</v>
      </c>
      <c r="J222" s="15" t="s">
        <v>71</v>
      </c>
      <c r="K222" s="15"/>
      <c r="L222" s="15"/>
      <c r="M222" s="15">
        <v>7</v>
      </c>
      <c r="N222" s="17"/>
      <c r="O222" s="17"/>
      <c r="P222" s="17"/>
      <c r="Q222" s="17"/>
      <c r="R222" s="17"/>
      <c r="S222" s="17"/>
      <c r="T222" s="17"/>
      <c r="U222" s="17"/>
      <c r="V222" s="17"/>
      <c r="W222" s="17"/>
      <c r="X222" s="17"/>
      <c r="Y222" s="17"/>
      <c r="Z222" s="15">
        <v>5</v>
      </c>
      <c r="AA222" s="15">
        <v>264</v>
      </c>
      <c r="AB222" s="17"/>
      <c r="AC222" s="17"/>
      <c r="AD222" s="15">
        <v>34</v>
      </c>
      <c r="AE222" s="17"/>
      <c r="AF222" s="17"/>
      <c r="AG222" s="17"/>
      <c r="AH222" s="15">
        <v>50</v>
      </c>
      <c r="AI222" s="17"/>
      <c r="AJ222" s="17"/>
      <c r="AK222" s="17"/>
      <c r="AL222" s="17"/>
      <c r="AM222" s="17"/>
      <c r="AN222" s="15">
        <v>11</v>
      </c>
      <c r="AO222" s="17"/>
      <c r="AP222" s="15">
        <v>9</v>
      </c>
      <c r="AQ222" s="17"/>
      <c r="AR222" s="17"/>
      <c r="AS222" s="17"/>
      <c r="AT222" s="17"/>
      <c r="AU222" s="17"/>
      <c r="AV222" s="17"/>
      <c r="AW222" s="17"/>
      <c r="AX222" s="15">
        <v>1</v>
      </c>
      <c r="AY222" s="17"/>
      <c r="AZ222" s="15">
        <v>1</v>
      </c>
      <c r="BA222" s="17"/>
      <c r="BB222" s="17"/>
      <c r="BC222" s="17"/>
      <c r="BD222" s="17"/>
      <c r="BE222" s="18"/>
    </row>
    <row r="223" spans="1:57">
      <c r="A223" s="13" t="s">
        <v>583</v>
      </c>
      <c r="B223" s="13" t="s">
        <v>580</v>
      </c>
      <c r="C223" s="14">
        <v>44602</v>
      </c>
      <c r="D223" s="15" t="s">
        <v>584</v>
      </c>
      <c r="E223" s="15" t="s">
        <v>585</v>
      </c>
      <c r="F223" s="16">
        <v>0.33680555555555558</v>
      </c>
      <c r="G223" s="15" t="s">
        <v>68</v>
      </c>
      <c r="H223" s="15" t="s">
        <v>69</v>
      </c>
      <c r="I223" s="15" t="s">
        <v>70</v>
      </c>
      <c r="J223" s="15" t="s">
        <v>71</v>
      </c>
      <c r="K223" s="17"/>
      <c r="L223" s="17"/>
      <c r="M223" s="15">
        <v>1</v>
      </c>
      <c r="N223" s="17"/>
      <c r="O223" s="17"/>
      <c r="P223" s="17"/>
      <c r="Q223" s="17"/>
      <c r="R223" s="17"/>
      <c r="S223" s="17"/>
      <c r="T223" s="17"/>
      <c r="U223" s="17"/>
      <c r="V223" s="17"/>
      <c r="W223" s="17"/>
      <c r="X223" s="17"/>
      <c r="Y223" s="17"/>
      <c r="Z223" s="17"/>
      <c r="AA223" s="15">
        <v>35</v>
      </c>
      <c r="AB223" s="17"/>
      <c r="AC223" s="17"/>
      <c r="AD223" s="15">
        <v>12</v>
      </c>
      <c r="AE223" s="17"/>
      <c r="AF223" s="17"/>
      <c r="AG223" s="17"/>
      <c r="AH223" s="15">
        <v>2</v>
      </c>
      <c r="AI223" s="17"/>
      <c r="AJ223" s="17"/>
      <c r="AK223" s="17"/>
      <c r="AL223" s="17"/>
      <c r="AM223" s="17"/>
      <c r="AN223" s="15">
        <v>141</v>
      </c>
      <c r="AO223" s="17"/>
      <c r="AP223" s="15">
        <v>2</v>
      </c>
      <c r="AQ223" s="17"/>
      <c r="AR223" s="17"/>
      <c r="AS223" s="17"/>
      <c r="AT223" s="15">
        <v>52</v>
      </c>
      <c r="AU223" s="17"/>
      <c r="AV223" s="17"/>
      <c r="AW223" s="15">
        <v>3</v>
      </c>
      <c r="AX223" s="15">
        <v>61</v>
      </c>
      <c r="AY223" s="17"/>
      <c r="AZ223" s="15">
        <v>4</v>
      </c>
      <c r="BA223" s="15">
        <v>10</v>
      </c>
      <c r="BB223" s="17"/>
      <c r="BC223" s="17"/>
      <c r="BD223" s="17"/>
      <c r="BE223" s="19"/>
    </row>
    <row r="224" spans="1:57">
      <c r="A224" s="13" t="s">
        <v>586</v>
      </c>
      <c r="B224" s="13" t="s">
        <v>580</v>
      </c>
      <c r="C224" s="14">
        <v>44602</v>
      </c>
      <c r="D224" s="15" t="s">
        <v>584</v>
      </c>
      <c r="E224" s="15" t="s">
        <v>585</v>
      </c>
      <c r="F224" s="16">
        <v>0.43402777777777779</v>
      </c>
      <c r="G224" s="15" t="s">
        <v>78</v>
      </c>
      <c r="H224" s="15" t="s">
        <v>69</v>
      </c>
      <c r="I224" s="15" t="s">
        <v>70</v>
      </c>
      <c r="J224" s="15" t="s">
        <v>71</v>
      </c>
      <c r="K224" s="17"/>
      <c r="L224" s="17"/>
      <c r="M224" s="15">
        <v>2</v>
      </c>
      <c r="N224" s="17"/>
      <c r="O224" s="17"/>
      <c r="P224" s="15">
        <v>4</v>
      </c>
      <c r="Q224" s="17"/>
      <c r="R224" s="17"/>
      <c r="S224" s="17"/>
      <c r="T224" s="17"/>
      <c r="U224" s="17"/>
      <c r="V224" s="17"/>
      <c r="W224" s="17"/>
      <c r="X224" s="15">
        <v>1</v>
      </c>
      <c r="Y224" s="17"/>
      <c r="Z224" s="17"/>
      <c r="AA224" s="15">
        <v>29</v>
      </c>
      <c r="AB224" s="17"/>
      <c r="AC224" s="17"/>
      <c r="AD224" s="17"/>
      <c r="AE224" s="17"/>
      <c r="AF224" s="17"/>
      <c r="AG224" s="17"/>
      <c r="AH224" s="15">
        <v>2</v>
      </c>
      <c r="AI224" s="17"/>
      <c r="AJ224" s="17"/>
      <c r="AK224" s="17"/>
      <c r="AL224" s="17"/>
      <c r="AM224" s="17"/>
      <c r="AN224" s="15">
        <v>10</v>
      </c>
      <c r="AO224" s="17"/>
      <c r="AP224" s="15">
        <v>2</v>
      </c>
      <c r="AQ224" s="17"/>
      <c r="AR224" s="17"/>
      <c r="AS224" s="17"/>
      <c r="AT224" s="17"/>
      <c r="AU224" s="17"/>
      <c r="AV224" s="17"/>
      <c r="AW224" s="17"/>
      <c r="AX224" s="17"/>
      <c r="AY224" s="17"/>
      <c r="AZ224" s="17"/>
      <c r="BA224" s="17"/>
      <c r="BB224" s="17"/>
      <c r="BC224" s="17"/>
      <c r="BD224" s="17"/>
      <c r="BE224" s="18"/>
    </row>
    <row r="225" spans="1:57">
      <c r="A225" s="13" t="s">
        <v>587</v>
      </c>
      <c r="B225" s="13" t="s">
        <v>580</v>
      </c>
      <c r="C225" s="14">
        <v>44597</v>
      </c>
      <c r="D225" s="15" t="s">
        <v>76</v>
      </c>
      <c r="E225" s="15" t="s">
        <v>77</v>
      </c>
      <c r="F225" s="16">
        <v>0.46944444444444444</v>
      </c>
      <c r="G225" s="15" t="s">
        <v>68</v>
      </c>
      <c r="H225" s="15" t="s">
        <v>69</v>
      </c>
      <c r="I225" s="15" t="s">
        <v>70</v>
      </c>
      <c r="J225" s="15" t="s">
        <v>71</v>
      </c>
      <c r="K225" s="17"/>
      <c r="L225" s="17"/>
      <c r="M225" s="17"/>
      <c r="N225" s="17"/>
      <c r="O225" s="17"/>
      <c r="P225" s="17"/>
      <c r="Q225" s="17"/>
      <c r="R225" s="17"/>
      <c r="S225" s="17"/>
      <c r="T225" s="17"/>
      <c r="U225" s="17"/>
      <c r="V225" s="17"/>
      <c r="W225" s="17"/>
      <c r="X225" s="17"/>
      <c r="Y225" s="17"/>
      <c r="Z225" s="17"/>
      <c r="AA225" s="15">
        <v>15</v>
      </c>
      <c r="AB225" s="17"/>
      <c r="AC225" s="17"/>
      <c r="AD225" s="17"/>
      <c r="AE225" s="17"/>
      <c r="AF225" s="17"/>
      <c r="AG225" s="17"/>
      <c r="AH225" s="17"/>
      <c r="AI225" s="17"/>
      <c r="AJ225" s="17"/>
      <c r="AK225" s="17"/>
      <c r="AL225" s="17"/>
      <c r="AM225" s="17"/>
      <c r="AN225" s="17"/>
      <c r="AO225" s="17"/>
      <c r="AP225" s="15">
        <v>1</v>
      </c>
      <c r="AQ225" s="17"/>
      <c r="AR225" s="17"/>
      <c r="AS225" s="17"/>
      <c r="AT225" s="17"/>
      <c r="AU225" s="17"/>
      <c r="AV225" s="17"/>
      <c r="AW225" s="17"/>
      <c r="AX225" s="15">
        <v>10</v>
      </c>
      <c r="AY225" s="17"/>
      <c r="AZ225" s="15">
        <v>8</v>
      </c>
      <c r="BA225" s="17"/>
      <c r="BB225" s="17"/>
      <c r="BC225" s="17"/>
      <c r="BD225" s="17"/>
      <c r="BE225" s="19"/>
    </row>
    <row r="226" spans="1:57">
      <c r="A226" s="56" t="s">
        <v>588</v>
      </c>
      <c r="B226" s="13" t="s">
        <v>589</v>
      </c>
      <c r="C226" s="14">
        <v>44601</v>
      </c>
      <c r="D226" s="15" t="s">
        <v>590</v>
      </c>
      <c r="E226" s="15" t="s">
        <v>362</v>
      </c>
      <c r="F226" s="16">
        <v>0.59375</v>
      </c>
      <c r="G226" s="17"/>
      <c r="H226" s="17"/>
      <c r="I226" s="17"/>
      <c r="J226" s="15" t="s">
        <v>71</v>
      </c>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5">
        <v>255</v>
      </c>
      <c r="AN226" s="17"/>
      <c r="AO226" s="17"/>
      <c r="AP226" s="15">
        <v>4</v>
      </c>
      <c r="AQ226" s="15">
        <v>35</v>
      </c>
      <c r="AR226" s="17"/>
      <c r="AS226" s="15">
        <v>10</v>
      </c>
      <c r="AT226" s="15">
        <v>3</v>
      </c>
      <c r="AU226" s="17"/>
      <c r="AV226" s="17"/>
      <c r="AW226" s="17"/>
      <c r="AX226" s="15">
        <v>295</v>
      </c>
      <c r="AY226" s="17"/>
      <c r="AZ226" s="15">
        <v>120</v>
      </c>
      <c r="BA226" s="17"/>
      <c r="BB226" s="17"/>
      <c r="BC226" s="17"/>
      <c r="BD226" s="17"/>
      <c r="BE226" s="18"/>
    </row>
    <row r="227" spans="1:57" ht="47.25">
      <c r="A227" s="13" t="s">
        <v>591</v>
      </c>
      <c r="B227" s="13" t="s">
        <v>589</v>
      </c>
      <c r="C227" s="14">
        <v>44601</v>
      </c>
      <c r="D227" s="15" t="s">
        <v>361</v>
      </c>
      <c r="E227" s="15" t="s">
        <v>362</v>
      </c>
      <c r="F227" s="16">
        <v>0.47569444444444442</v>
      </c>
      <c r="G227" s="17"/>
      <c r="H227" s="17"/>
      <c r="I227" s="17"/>
      <c r="J227" s="15" t="s">
        <v>71</v>
      </c>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5">
        <v>1</v>
      </c>
      <c r="AK227" s="17"/>
      <c r="AL227" s="17"/>
      <c r="AM227" s="17"/>
      <c r="AN227" s="17"/>
      <c r="AO227" s="17"/>
      <c r="AP227" s="15">
        <v>3</v>
      </c>
      <c r="AQ227" s="15">
        <v>8</v>
      </c>
      <c r="AR227" s="17"/>
      <c r="AS227" s="15">
        <v>11</v>
      </c>
      <c r="AT227" s="15">
        <v>9</v>
      </c>
      <c r="AU227" s="17"/>
      <c r="AV227" s="17"/>
      <c r="AW227" s="17"/>
      <c r="AX227" s="15">
        <v>41</v>
      </c>
      <c r="AY227" s="17"/>
      <c r="AZ227" s="15">
        <v>7</v>
      </c>
      <c r="BA227" s="17"/>
      <c r="BB227" s="17"/>
      <c r="BC227" s="17"/>
      <c r="BD227" s="17"/>
      <c r="BE227" s="18"/>
    </row>
    <row r="228" spans="1:57" ht="31.5">
      <c r="A228" s="13" t="s">
        <v>592</v>
      </c>
      <c r="B228" s="13" t="s">
        <v>589</v>
      </c>
      <c r="C228" s="14">
        <v>44601</v>
      </c>
      <c r="D228" s="15" t="s">
        <v>361</v>
      </c>
      <c r="E228" s="15" t="s">
        <v>362</v>
      </c>
      <c r="F228" s="16">
        <v>0.46527777777777779</v>
      </c>
      <c r="G228" s="17"/>
      <c r="H228" s="17"/>
      <c r="I228" s="17"/>
      <c r="J228" s="15" t="s">
        <v>71</v>
      </c>
      <c r="K228" s="17"/>
      <c r="L228" s="17"/>
      <c r="M228" s="17"/>
      <c r="N228" s="17"/>
      <c r="O228" s="17"/>
      <c r="P228" s="17"/>
      <c r="Q228" s="15">
        <v>5</v>
      </c>
      <c r="R228" s="17"/>
      <c r="S228" s="17"/>
      <c r="T228" s="17"/>
      <c r="U228" s="17"/>
      <c r="V228" s="17"/>
      <c r="W228" s="17"/>
      <c r="X228" s="17"/>
      <c r="Y228" s="17"/>
      <c r="Z228" s="17"/>
      <c r="AA228" s="17"/>
      <c r="AB228" s="17"/>
      <c r="AC228" s="17"/>
      <c r="AD228" s="17"/>
      <c r="AE228" s="17"/>
      <c r="AF228" s="17"/>
      <c r="AG228" s="17"/>
      <c r="AH228" s="17"/>
      <c r="AI228" s="17"/>
      <c r="AJ228" s="15">
        <v>3</v>
      </c>
      <c r="AK228" s="17"/>
      <c r="AL228" s="17"/>
      <c r="AM228" s="17"/>
      <c r="AN228" s="17"/>
      <c r="AO228" s="17"/>
      <c r="AP228" s="15">
        <v>2</v>
      </c>
      <c r="AQ228" s="17"/>
      <c r="AR228" s="17"/>
      <c r="AS228" s="15">
        <v>1</v>
      </c>
      <c r="AT228" s="17"/>
      <c r="AU228" s="17"/>
      <c r="AV228" s="17"/>
      <c r="AW228" s="17"/>
      <c r="AX228" s="17"/>
      <c r="AY228" s="17"/>
      <c r="AZ228" s="17"/>
      <c r="BA228" s="17"/>
      <c r="BB228" s="17"/>
      <c r="BC228" s="17"/>
      <c r="BD228" s="17"/>
      <c r="BE228" s="19"/>
    </row>
    <row r="229" spans="1:57">
      <c r="A229" s="13" t="s">
        <v>593</v>
      </c>
      <c r="B229" s="13" t="s">
        <v>589</v>
      </c>
      <c r="C229" s="30">
        <v>44599</v>
      </c>
      <c r="D229" s="15" t="s">
        <v>493</v>
      </c>
      <c r="E229" s="15" t="s">
        <v>494</v>
      </c>
      <c r="F229" s="57">
        <v>0.55555555555555558</v>
      </c>
      <c r="G229" s="15" t="s">
        <v>156</v>
      </c>
      <c r="H229" s="15" t="s">
        <v>109</v>
      </c>
      <c r="I229" s="15" t="s">
        <v>70</v>
      </c>
      <c r="J229" s="15" t="s">
        <v>71</v>
      </c>
      <c r="N229" s="15">
        <v>1</v>
      </c>
      <c r="O229" s="15">
        <v>4</v>
      </c>
      <c r="P229" s="15">
        <v>6</v>
      </c>
      <c r="Q229" s="15">
        <v>5</v>
      </c>
      <c r="AJ229" s="15">
        <v>2</v>
      </c>
      <c r="AS229" s="15">
        <v>9</v>
      </c>
      <c r="AT229" s="17"/>
      <c r="AU229" s="17"/>
      <c r="AV229" s="17"/>
      <c r="AW229" s="17"/>
      <c r="AX229" s="17"/>
      <c r="AY229" s="17"/>
      <c r="AZ229" s="17"/>
      <c r="BA229" s="17"/>
      <c r="BB229" s="17"/>
      <c r="BC229" s="17"/>
      <c r="BD229" s="17"/>
      <c r="BE229" s="19"/>
    </row>
    <row r="230" spans="1:57">
      <c r="A230" s="13" t="s">
        <v>594</v>
      </c>
      <c r="B230" s="13" t="s">
        <v>589</v>
      </c>
      <c r="C230" s="14">
        <v>44599</v>
      </c>
      <c r="D230" s="15" t="s">
        <v>493</v>
      </c>
      <c r="E230" s="15" t="s">
        <v>494</v>
      </c>
      <c r="F230" s="16">
        <v>0.52083333333333337</v>
      </c>
      <c r="G230" s="15" t="s">
        <v>156</v>
      </c>
      <c r="H230" s="15" t="s">
        <v>109</v>
      </c>
      <c r="I230" s="15" t="s">
        <v>70</v>
      </c>
      <c r="J230" s="15" t="s">
        <v>71</v>
      </c>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5">
        <v>10</v>
      </c>
      <c r="AT230" s="17"/>
      <c r="AU230" s="17"/>
      <c r="AV230" s="17"/>
      <c r="AW230" s="17"/>
      <c r="AX230" s="17"/>
      <c r="AY230" s="17"/>
      <c r="AZ230" s="17"/>
      <c r="BA230" s="17"/>
      <c r="BB230" s="17"/>
      <c r="BC230" s="17"/>
      <c r="BD230" s="17"/>
      <c r="BE230" s="19"/>
    </row>
    <row r="231" spans="1:57">
      <c r="A231" s="13" t="s">
        <v>595</v>
      </c>
      <c r="B231" s="13" t="s">
        <v>596</v>
      </c>
      <c r="C231" s="14">
        <v>44601</v>
      </c>
      <c r="D231" s="15" t="s">
        <v>493</v>
      </c>
      <c r="E231" s="15" t="s">
        <v>494</v>
      </c>
      <c r="F231" s="16">
        <v>0.44444444444444442</v>
      </c>
      <c r="G231" s="15" t="s">
        <v>78</v>
      </c>
      <c r="H231" s="15" t="s">
        <v>109</v>
      </c>
      <c r="I231" s="15" t="s">
        <v>118</v>
      </c>
      <c r="J231" s="15" t="s">
        <v>71</v>
      </c>
      <c r="K231" s="17"/>
      <c r="L231" s="17"/>
      <c r="M231" s="17"/>
      <c r="N231" s="17"/>
      <c r="O231" s="15">
        <v>3</v>
      </c>
      <c r="P231" s="15">
        <v>23</v>
      </c>
      <c r="Q231" s="17"/>
      <c r="R231" s="15">
        <v>4</v>
      </c>
      <c r="S231" s="17"/>
      <c r="T231" s="17"/>
      <c r="U231" s="17"/>
      <c r="V231" s="17"/>
      <c r="W231" s="17"/>
      <c r="X231" s="17"/>
      <c r="Y231" s="17"/>
      <c r="Z231" s="17"/>
      <c r="AA231" s="17"/>
      <c r="AB231" s="17"/>
      <c r="AC231" s="17"/>
      <c r="AD231" s="17"/>
      <c r="AE231" s="17"/>
      <c r="AF231" s="17"/>
      <c r="AG231" s="17"/>
      <c r="AH231" s="17"/>
      <c r="AI231" s="17"/>
      <c r="AJ231" s="15">
        <v>1</v>
      </c>
      <c r="AK231" s="17"/>
      <c r="AL231" s="17"/>
      <c r="AM231" s="17"/>
      <c r="AN231" s="17"/>
      <c r="AO231" s="17"/>
      <c r="AP231" s="17"/>
      <c r="AQ231" s="15">
        <v>43</v>
      </c>
      <c r="AR231" s="17"/>
      <c r="AS231" s="15">
        <v>108</v>
      </c>
      <c r="AT231" s="17"/>
      <c r="AU231" s="17"/>
      <c r="AV231" s="17"/>
      <c r="AW231" s="17"/>
      <c r="AX231" s="17"/>
      <c r="AY231" s="17"/>
      <c r="AZ231" s="17"/>
      <c r="BA231" s="17"/>
      <c r="BB231" s="17"/>
      <c r="BC231" s="17"/>
      <c r="BD231" s="17"/>
      <c r="BE231" s="18"/>
    </row>
    <row r="232" spans="1:57" ht="31.5">
      <c r="A232" s="13" t="s">
        <v>597</v>
      </c>
      <c r="B232" s="13" t="s">
        <v>596</v>
      </c>
      <c r="C232" s="14">
        <v>44600</v>
      </c>
      <c r="D232" s="15" t="s">
        <v>598</v>
      </c>
      <c r="E232" s="15" t="s">
        <v>599</v>
      </c>
      <c r="F232" s="16">
        <v>0.30555555555555558</v>
      </c>
      <c r="G232" s="15" t="s">
        <v>83</v>
      </c>
      <c r="H232" s="15" t="s">
        <v>127</v>
      </c>
      <c r="I232" s="15" t="s">
        <v>70</v>
      </c>
      <c r="J232" s="15" t="s">
        <v>71</v>
      </c>
      <c r="K232" s="17"/>
      <c r="L232" s="17"/>
      <c r="M232" s="15">
        <v>1</v>
      </c>
      <c r="N232" s="17"/>
      <c r="O232" s="17"/>
      <c r="P232" s="17"/>
      <c r="Q232" s="17"/>
      <c r="R232" s="17"/>
      <c r="S232" s="17"/>
      <c r="T232" s="17"/>
      <c r="U232" s="17"/>
      <c r="V232" s="17"/>
      <c r="W232" s="17"/>
      <c r="X232" s="17"/>
      <c r="Y232" s="17"/>
      <c r="Z232" s="15">
        <v>61</v>
      </c>
      <c r="AA232" s="15">
        <v>154</v>
      </c>
      <c r="AB232" s="17"/>
      <c r="AC232" s="17"/>
      <c r="AD232" s="17"/>
      <c r="AE232" s="17"/>
      <c r="AF232" s="17"/>
      <c r="AG232" s="17"/>
      <c r="AH232" s="15">
        <v>13</v>
      </c>
      <c r="AI232" s="17"/>
      <c r="AJ232" s="17"/>
      <c r="AK232" s="17"/>
      <c r="AL232" s="17"/>
      <c r="AM232" s="15">
        <v>1</v>
      </c>
      <c r="AN232" s="17"/>
      <c r="AO232" s="17"/>
      <c r="AP232" s="17"/>
      <c r="AQ232" s="17"/>
      <c r="AR232" s="15">
        <v>1</v>
      </c>
      <c r="AS232" s="17"/>
      <c r="AT232" s="17"/>
      <c r="AU232" s="17"/>
      <c r="AV232" s="17"/>
      <c r="AW232" s="15">
        <v>3</v>
      </c>
      <c r="AX232" s="15">
        <v>153</v>
      </c>
      <c r="AY232" s="15">
        <v>1</v>
      </c>
      <c r="AZ232" s="15">
        <v>81</v>
      </c>
      <c r="BA232" s="15">
        <v>68</v>
      </c>
      <c r="BB232" s="15">
        <v>10</v>
      </c>
      <c r="BC232" s="17"/>
      <c r="BD232" s="17"/>
      <c r="BE232" s="18"/>
    </row>
    <row r="233" spans="1:57" ht="31.5">
      <c r="A233" s="20" t="s">
        <v>600</v>
      </c>
      <c r="B233" s="24" t="s">
        <v>596</v>
      </c>
      <c r="C233" s="14"/>
      <c r="F233" s="16"/>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8"/>
    </row>
    <row r="234" spans="1:57">
      <c r="A234" s="13" t="s">
        <v>601</v>
      </c>
      <c r="B234" s="13" t="s">
        <v>596</v>
      </c>
      <c r="C234" s="14">
        <v>44600</v>
      </c>
      <c r="D234" s="15" t="s">
        <v>602</v>
      </c>
      <c r="E234" s="15" t="s">
        <v>603</v>
      </c>
      <c r="F234" s="16">
        <v>0.45833333333333331</v>
      </c>
      <c r="G234" s="15" t="s">
        <v>83</v>
      </c>
      <c r="H234" s="15" t="s">
        <v>127</v>
      </c>
      <c r="I234" s="15" t="s">
        <v>70</v>
      </c>
      <c r="J234" s="15" t="s">
        <v>71</v>
      </c>
      <c r="K234" s="17"/>
      <c r="L234" s="17"/>
      <c r="M234" s="17"/>
      <c r="N234" s="17"/>
      <c r="O234" s="17"/>
      <c r="P234" s="17"/>
      <c r="Q234" s="17"/>
      <c r="R234" s="17"/>
      <c r="S234" s="17"/>
      <c r="T234" s="17"/>
      <c r="U234" s="17"/>
      <c r="V234" s="17"/>
      <c r="W234" s="17"/>
      <c r="X234" s="17"/>
      <c r="Y234" s="17"/>
      <c r="Z234" s="17"/>
      <c r="AA234" s="58">
        <v>67</v>
      </c>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5">
        <v>5</v>
      </c>
      <c r="AX234" s="15">
        <v>43</v>
      </c>
      <c r="AY234" s="15">
        <v>7</v>
      </c>
      <c r="AZ234" s="15">
        <v>47</v>
      </c>
      <c r="BA234" s="15">
        <v>51</v>
      </c>
      <c r="BB234" s="15">
        <v>2</v>
      </c>
      <c r="BC234" s="17"/>
      <c r="BD234" s="17"/>
      <c r="BE234" s="18"/>
    </row>
    <row r="235" spans="1:57">
      <c r="A235" s="13" t="s">
        <v>604</v>
      </c>
      <c r="B235" s="13" t="s">
        <v>596</v>
      </c>
      <c r="C235" s="14">
        <v>44602</v>
      </c>
      <c r="D235" s="15" t="s">
        <v>602</v>
      </c>
      <c r="E235" s="15" t="s">
        <v>603</v>
      </c>
      <c r="F235" s="16">
        <v>0.36458333333333331</v>
      </c>
      <c r="G235" s="15" t="s">
        <v>83</v>
      </c>
      <c r="H235" s="15" t="s">
        <v>69</v>
      </c>
      <c r="I235" s="15" t="s">
        <v>70</v>
      </c>
      <c r="J235" s="15" t="s">
        <v>71</v>
      </c>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9"/>
    </row>
    <row r="236" spans="1:57" ht="31.5">
      <c r="A236" s="13" t="s">
        <v>605</v>
      </c>
      <c r="B236" s="13" t="s">
        <v>596</v>
      </c>
      <c r="C236" s="14"/>
      <c r="F236" s="16"/>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9"/>
    </row>
    <row r="237" spans="1:57" ht="47.25">
      <c r="A237" s="24" t="s">
        <v>606</v>
      </c>
      <c r="B237" s="24" t="s">
        <v>596</v>
      </c>
      <c r="C237" s="14"/>
      <c r="F237" s="16"/>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58"/>
      <c r="BA237" s="17"/>
      <c r="BB237" s="17"/>
      <c r="BC237" s="17"/>
      <c r="BD237" s="17"/>
      <c r="BE237" s="59"/>
    </row>
    <row r="238" spans="1:57" ht="31.5">
      <c r="A238" s="13" t="s">
        <v>607</v>
      </c>
      <c r="B238" s="13" t="s">
        <v>596</v>
      </c>
      <c r="C238" s="60">
        <v>44602</v>
      </c>
      <c r="D238" s="15" t="s">
        <v>608</v>
      </c>
      <c r="F238" s="16">
        <v>0.39583333333333331</v>
      </c>
      <c r="G238" s="17"/>
      <c r="H238" s="17"/>
      <c r="I238" s="17"/>
      <c r="J238" s="15" t="s">
        <v>71</v>
      </c>
      <c r="K238" s="15">
        <v>10</v>
      </c>
      <c r="L238" s="17"/>
      <c r="M238" s="15">
        <v>89</v>
      </c>
      <c r="N238" s="17"/>
      <c r="O238" s="17"/>
      <c r="P238" s="15">
        <v>20</v>
      </c>
      <c r="Q238" s="17"/>
      <c r="R238" s="17"/>
      <c r="S238" s="17"/>
      <c r="T238" s="17"/>
      <c r="U238" s="17"/>
      <c r="V238" s="17"/>
      <c r="W238" s="17"/>
      <c r="X238" s="17"/>
      <c r="Y238" s="17"/>
      <c r="Z238" s="15">
        <v>10</v>
      </c>
      <c r="AA238" s="17"/>
      <c r="AB238" s="15">
        <v>12</v>
      </c>
      <c r="AC238" s="17"/>
      <c r="AD238" s="17"/>
      <c r="AE238" s="15">
        <v>10</v>
      </c>
      <c r="AF238" s="17"/>
      <c r="AG238" s="17"/>
      <c r="AH238" s="15">
        <v>1</v>
      </c>
      <c r="AI238" s="17"/>
      <c r="AJ238" s="17"/>
      <c r="AK238" s="17"/>
      <c r="AL238" s="17"/>
      <c r="AM238" s="17"/>
      <c r="AN238" s="17"/>
      <c r="AO238" s="17"/>
      <c r="AP238" s="17"/>
      <c r="AQ238" s="17"/>
      <c r="AR238" s="17"/>
      <c r="AS238" s="17"/>
      <c r="AT238" s="17"/>
      <c r="AU238" s="17"/>
      <c r="AV238" s="17"/>
      <c r="AW238" s="17"/>
      <c r="AX238" s="17"/>
      <c r="AY238" s="17"/>
      <c r="AZ238" s="17"/>
      <c r="BA238" s="15">
        <v>10</v>
      </c>
      <c r="BB238" s="17"/>
      <c r="BC238" s="17"/>
      <c r="BD238" s="17"/>
      <c r="BE238" s="18"/>
    </row>
    <row r="239" spans="1:57">
      <c r="A239" s="13" t="s">
        <v>609</v>
      </c>
      <c r="B239" s="13" t="s">
        <v>596</v>
      </c>
      <c r="C239" s="14"/>
      <c r="F239" s="16"/>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9"/>
    </row>
    <row r="240" spans="1:57" ht="31.5">
      <c r="A240" s="13" t="s">
        <v>610</v>
      </c>
      <c r="B240" s="13" t="s">
        <v>596</v>
      </c>
      <c r="C240" s="14">
        <v>44602</v>
      </c>
      <c r="D240" s="15" t="s">
        <v>611</v>
      </c>
      <c r="E240" s="59" t="s">
        <v>502</v>
      </c>
      <c r="F240" s="16">
        <v>0.41666666666666669</v>
      </c>
      <c r="G240" s="15" t="s">
        <v>156</v>
      </c>
      <c r="H240" s="15" t="s">
        <v>109</v>
      </c>
      <c r="I240" s="15" t="s">
        <v>70</v>
      </c>
      <c r="J240" s="15" t="s">
        <v>71</v>
      </c>
      <c r="K240" s="17"/>
      <c r="L240" s="17"/>
      <c r="M240" s="17"/>
      <c r="N240" s="17"/>
      <c r="O240" s="17"/>
      <c r="P240" s="17"/>
      <c r="Q240" s="17"/>
      <c r="R240" s="17"/>
      <c r="S240" s="17"/>
      <c r="T240" s="17"/>
      <c r="U240" s="17"/>
      <c r="V240" s="17"/>
      <c r="W240" s="17"/>
      <c r="X240" s="17"/>
      <c r="Y240" s="17"/>
      <c r="Z240" s="17"/>
      <c r="AA240" s="15">
        <v>3</v>
      </c>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5">
        <v>35</v>
      </c>
      <c r="AX240" s="17"/>
      <c r="AY240" s="17"/>
      <c r="AZ240" s="15">
        <v>6</v>
      </c>
      <c r="BA240" s="15">
        <v>4</v>
      </c>
      <c r="BB240" s="17"/>
      <c r="BC240" s="17"/>
      <c r="BD240" s="17"/>
      <c r="BE240" s="19"/>
    </row>
    <row r="241" spans="1:57" ht="63">
      <c r="A241" s="13" t="s">
        <v>612</v>
      </c>
      <c r="B241" s="13" t="s">
        <v>596</v>
      </c>
      <c r="C241" s="14">
        <v>44596</v>
      </c>
      <c r="D241" s="15" t="s">
        <v>613</v>
      </c>
      <c r="E241" s="15" t="s">
        <v>614</v>
      </c>
      <c r="F241" s="16">
        <v>0.32083333333333336</v>
      </c>
      <c r="G241" s="15" t="s">
        <v>156</v>
      </c>
      <c r="H241" s="15" t="s">
        <v>69</v>
      </c>
      <c r="I241" s="15" t="s">
        <v>70</v>
      </c>
      <c r="J241" s="15" t="s">
        <v>71</v>
      </c>
      <c r="K241" s="17"/>
      <c r="L241" s="17"/>
      <c r="M241" s="15">
        <v>6</v>
      </c>
      <c r="N241" s="17"/>
      <c r="O241" s="17"/>
      <c r="P241" s="17"/>
      <c r="Q241" s="17"/>
      <c r="R241" s="17"/>
      <c r="S241" s="17"/>
      <c r="T241" s="17"/>
      <c r="U241" s="17"/>
      <c r="V241" s="17"/>
      <c r="W241" s="17"/>
      <c r="X241" s="17"/>
      <c r="Y241" s="17"/>
      <c r="Z241" s="15">
        <v>48</v>
      </c>
      <c r="AA241" s="15">
        <v>87</v>
      </c>
      <c r="AB241" s="17"/>
      <c r="AC241" s="17"/>
      <c r="AD241" s="17"/>
      <c r="AE241" s="17"/>
      <c r="AF241" s="17"/>
      <c r="AG241" s="17"/>
      <c r="AH241" s="15">
        <v>2</v>
      </c>
      <c r="AI241" s="17"/>
      <c r="AJ241" s="17"/>
      <c r="AK241" s="17"/>
      <c r="AL241" s="17"/>
      <c r="AM241" s="17"/>
      <c r="AN241" s="17"/>
      <c r="AO241" s="17"/>
      <c r="AP241" s="15">
        <v>15</v>
      </c>
      <c r="AQ241" s="17"/>
      <c r="AR241" s="17"/>
      <c r="AS241" s="17"/>
      <c r="AT241" s="17"/>
      <c r="AU241" s="17"/>
      <c r="AV241" s="17"/>
      <c r="AW241" s="15">
        <v>1</v>
      </c>
      <c r="AX241" s="15">
        <v>1</v>
      </c>
      <c r="AY241" s="17"/>
      <c r="AZ241" s="15">
        <v>46</v>
      </c>
      <c r="BA241" s="17"/>
      <c r="BB241" s="17"/>
      <c r="BC241" s="17"/>
      <c r="BD241" s="17"/>
      <c r="BE241" s="18"/>
    </row>
    <row r="242" spans="1:57" ht="12.75">
      <c r="A242" s="61" t="s">
        <v>615</v>
      </c>
      <c r="B242" s="61" t="s">
        <v>596</v>
      </c>
      <c r="C242" s="14"/>
      <c r="D242" s="18"/>
      <c r="F242" s="16"/>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9"/>
    </row>
    <row r="243" spans="1:57" ht="31.5">
      <c r="A243" s="13" t="s">
        <v>616</v>
      </c>
      <c r="B243" s="13" t="s">
        <v>596</v>
      </c>
      <c r="C243" s="14">
        <v>44601</v>
      </c>
      <c r="D243" s="15" t="s">
        <v>617</v>
      </c>
      <c r="E243" s="15" t="s">
        <v>618</v>
      </c>
      <c r="F243" s="16">
        <v>0.56597222222222221</v>
      </c>
      <c r="G243" s="15" t="s">
        <v>83</v>
      </c>
      <c r="H243" s="15" t="s">
        <v>123</v>
      </c>
      <c r="I243" s="15" t="s">
        <v>118</v>
      </c>
      <c r="J243" s="15" t="s">
        <v>71</v>
      </c>
      <c r="K243" s="17"/>
      <c r="L243" s="17"/>
      <c r="M243" s="17"/>
      <c r="N243" s="17"/>
      <c r="O243" s="17"/>
      <c r="P243" s="17"/>
      <c r="Q243" s="17"/>
      <c r="R243" s="17"/>
      <c r="S243" s="17"/>
      <c r="T243" s="17"/>
      <c r="U243" s="17"/>
      <c r="V243" s="17"/>
      <c r="W243" s="17"/>
      <c r="X243" s="17"/>
      <c r="Y243" s="17"/>
      <c r="Z243" s="15">
        <v>9</v>
      </c>
      <c r="AA243" s="17"/>
      <c r="AB243" s="17"/>
      <c r="AC243" s="17"/>
      <c r="AD243" s="17"/>
      <c r="AE243" s="17"/>
      <c r="AF243" s="17"/>
      <c r="AG243" s="17"/>
      <c r="AH243" s="17"/>
      <c r="AI243" s="17"/>
      <c r="AJ243" s="17"/>
      <c r="AK243" s="17"/>
      <c r="AL243" s="17"/>
      <c r="AM243" s="17"/>
      <c r="AN243" s="17"/>
      <c r="AO243" s="17"/>
      <c r="AP243" s="15">
        <v>6</v>
      </c>
      <c r="AQ243" s="17"/>
      <c r="AR243" s="15">
        <v>3</v>
      </c>
      <c r="AS243" s="17"/>
      <c r="AT243" s="17"/>
      <c r="AU243" s="17"/>
      <c r="AV243" s="15">
        <v>12</v>
      </c>
      <c r="AW243" s="15">
        <v>4</v>
      </c>
      <c r="AX243" s="15">
        <v>2</v>
      </c>
      <c r="AY243" s="15">
        <v>13</v>
      </c>
      <c r="AZ243" s="15">
        <v>3</v>
      </c>
      <c r="BA243" s="15">
        <v>7</v>
      </c>
      <c r="BB243" s="17"/>
      <c r="BC243" s="17"/>
      <c r="BD243" s="17"/>
      <c r="BE243" s="19"/>
    </row>
    <row r="244" spans="1:57" ht="31.5">
      <c r="A244" s="35" t="s">
        <v>619</v>
      </c>
      <c r="B244" s="35" t="s">
        <v>596</v>
      </c>
      <c r="C244" s="14">
        <v>44601</v>
      </c>
      <c r="D244" s="15" t="s">
        <v>617</v>
      </c>
      <c r="E244" s="15" t="s">
        <v>618</v>
      </c>
      <c r="F244" s="16">
        <v>0.64583333333333337</v>
      </c>
      <c r="G244" s="15" t="s">
        <v>83</v>
      </c>
      <c r="H244" s="15" t="s">
        <v>123</v>
      </c>
      <c r="I244" s="15" t="s">
        <v>118</v>
      </c>
      <c r="J244" s="15" t="s">
        <v>71</v>
      </c>
      <c r="AP244" s="15">
        <v>19</v>
      </c>
      <c r="AS244" s="15">
        <v>10</v>
      </c>
      <c r="AV244" s="15">
        <v>22</v>
      </c>
      <c r="AW244" s="15">
        <v>11</v>
      </c>
      <c r="AY244" s="15">
        <v>31</v>
      </c>
      <c r="AZ244" s="15">
        <v>2</v>
      </c>
      <c r="BA244" s="15">
        <v>5</v>
      </c>
      <c r="BE244" s="18"/>
    </row>
    <row r="245" spans="1:57" ht="31.5">
      <c r="A245" s="24" t="s">
        <v>620</v>
      </c>
      <c r="B245" s="24" t="s">
        <v>596</v>
      </c>
      <c r="C245" s="32">
        <v>44597</v>
      </c>
      <c r="D245" s="15" t="s">
        <v>621</v>
      </c>
      <c r="E245" s="15" t="s">
        <v>622</v>
      </c>
      <c r="F245" s="16">
        <v>0.35416666666666669</v>
      </c>
      <c r="G245" s="15" t="s">
        <v>156</v>
      </c>
      <c r="H245" s="15" t="s">
        <v>69</v>
      </c>
      <c r="I245" s="15" t="s">
        <v>70</v>
      </c>
      <c r="J245" s="15" t="s">
        <v>71</v>
      </c>
      <c r="Z245" s="15">
        <v>10</v>
      </c>
      <c r="AP245" s="15">
        <v>36</v>
      </c>
      <c r="AX245" s="15">
        <v>27</v>
      </c>
      <c r="BA245" s="15">
        <v>1</v>
      </c>
      <c r="BE245" s="19"/>
    </row>
    <row r="246" spans="1:57" ht="31.5">
      <c r="A246" s="13" t="s">
        <v>623</v>
      </c>
      <c r="B246" s="13" t="s">
        <v>596</v>
      </c>
      <c r="C246" s="14">
        <v>44600</v>
      </c>
      <c r="D246" s="15" t="s">
        <v>624</v>
      </c>
      <c r="E246" s="15" t="s">
        <v>599</v>
      </c>
      <c r="F246" s="16">
        <v>0.38611111111111113</v>
      </c>
      <c r="G246" s="15" t="s">
        <v>83</v>
      </c>
      <c r="H246" s="15" t="s">
        <v>127</v>
      </c>
      <c r="I246" s="15" t="s">
        <v>70</v>
      </c>
      <c r="J246" s="15" t="s">
        <v>71</v>
      </c>
      <c r="K246" s="17"/>
      <c r="L246" s="17"/>
      <c r="M246" s="17"/>
      <c r="N246" s="17"/>
      <c r="O246" s="17"/>
      <c r="P246" s="17"/>
      <c r="Q246" s="17"/>
      <c r="R246" s="17"/>
      <c r="S246" s="17"/>
      <c r="T246" s="17"/>
      <c r="U246" s="17"/>
      <c r="V246" s="17"/>
      <c r="W246" s="17"/>
      <c r="X246" s="17"/>
      <c r="Y246" s="17"/>
      <c r="Z246" s="15">
        <v>33</v>
      </c>
      <c r="AA246" s="15">
        <v>82</v>
      </c>
      <c r="AB246" s="15">
        <v>8</v>
      </c>
      <c r="AC246" s="17"/>
      <c r="AD246" s="17"/>
      <c r="AE246" s="17"/>
      <c r="AF246" s="17"/>
      <c r="AG246" s="17"/>
      <c r="AH246" s="15">
        <v>5</v>
      </c>
      <c r="AI246" s="17"/>
      <c r="AJ246" s="17"/>
      <c r="AK246" s="17"/>
      <c r="AL246" s="17"/>
      <c r="AM246" s="17"/>
      <c r="AN246" s="17"/>
      <c r="AO246" s="17"/>
      <c r="AP246" s="17"/>
      <c r="AQ246" s="17"/>
      <c r="AR246" s="17"/>
      <c r="AS246" s="17"/>
      <c r="AT246" s="17"/>
      <c r="AU246" s="17"/>
      <c r="AV246" s="17"/>
      <c r="AW246" s="15">
        <v>27</v>
      </c>
      <c r="AX246" s="15">
        <v>11</v>
      </c>
      <c r="AY246" s="15">
        <v>9</v>
      </c>
      <c r="AZ246" s="15">
        <v>32</v>
      </c>
      <c r="BA246" s="15">
        <v>6</v>
      </c>
      <c r="BB246" s="17"/>
      <c r="BC246" s="17"/>
      <c r="BD246" s="17"/>
      <c r="BE246" s="18"/>
    </row>
    <row r="247" spans="1:57" ht="63">
      <c r="A247" s="29" t="s">
        <v>625</v>
      </c>
      <c r="B247" s="13" t="s">
        <v>596</v>
      </c>
      <c r="C247" s="14">
        <v>44601</v>
      </c>
      <c r="D247" s="15" t="s">
        <v>624</v>
      </c>
      <c r="E247" s="15" t="s">
        <v>599</v>
      </c>
      <c r="F247" s="16">
        <v>0.31666666666666665</v>
      </c>
      <c r="G247" s="15" t="s">
        <v>78</v>
      </c>
      <c r="H247" s="15" t="s">
        <v>69</v>
      </c>
      <c r="I247" s="15" t="s">
        <v>118</v>
      </c>
      <c r="J247" s="15" t="s">
        <v>71</v>
      </c>
      <c r="K247" s="17"/>
      <c r="L247" s="17"/>
      <c r="M247" s="17"/>
      <c r="N247" s="17"/>
      <c r="O247" s="17"/>
      <c r="P247" s="17"/>
      <c r="Q247" s="17"/>
      <c r="R247" s="17"/>
      <c r="S247" s="15"/>
      <c r="T247" s="15"/>
      <c r="U247" s="17"/>
      <c r="V247" s="17"/>
      <c r="W247" s="15"/>
      <c r="X247" s="15"/>
      <c r="Y247" s="17"/>
      <c r="Z247" s="15">
        <v>2</v>
      </c>
      <c r="AA247" s="15">
        <v>28</v>
      </c>
      <c r="AB247" s="17"/>
      <c r="AC247" s="17"/>
      <c r="AD247" s="17"/>
      <c r="AE247" s="17"/>
      <c r="AF247" s="17"/>
      <c r="AG247" s="17"/>
      <c r="AH247" s="17"/>
      <c r="AI247" s="17"/>
      <c r="AJ247" s="17"/>
      <c r="AK247" s="17"/>
      <c r="AL247" s="17"/>
      <c r="AM247" s="15">
        <v>65</v>
      </c>
      <c r="AN247" s="17"/>
      <c r="AO247" s="17"/>
      <c r="AP247" s="17"/>
      <c r="AQ247" s="17"/>
      <c r="AR247" s="17"/>
      <c r="AS247" s="17"/>
      <c r="AT247" s="17"/>
      <c r="AU247" s="17"/>
      <c r="AV247" s="17"/>
      <c r="AW247" s="17"/>
      <c r="AX247" s="15">
        <v>14</v>
      </c>
      <c r="AY247" s="15">
        <v>2</v>
      </c>
      <c r="AZ247" s="15">
        <v>22</v>
      </c>
      <c r="BA247" s="15">
        <v>13</v>
      </c>
      <c r="BB247" s="17"/>
      <c r="BC247" s="17"/>
      <c r="BD247" s="17"/>
      <c r="BE247" s="18"/>
    </row>
    <row r="248" spans="1:57">
      <c r="A248" s="29" t="s">
        <v>626</v>
      </c>
      <c r="B248" s="24" t="s">
        <v>596</v>
      </c>
      <c r="C248" s="14">
        <v>44597</v>
      </c>
      <c r="D248" s="15" t="s">
        <v>627</v>
      </c>
      <c r="E248" s="15" t="s">
        <v>152</v>
      </c>
      <c r="F248" s="16">
        <v>0.42708333333333331</v>
      </c>
      <c r="G248" s="15" t="s">
        <v>156</v>
      </c>
      <c r="H248" s="15" t="s">
        <v>69</v>
      </c>
      <c r="I248" s="15" t="s">
        <v>70</v>
      </c>
      <c r="J248" s="15" t="s">
        <v>71</v>
      </c>
      <c r="K248" s="15"/>
      <c r="L248" s="15"/>
      <c r="M248" s="15"/>
      <c r="N248" s="15"/>
      <c r="O248" s="15"/>
      <c r="P248" s="15"/>
      <c r="Q248" s="15"/>
      <c r="R248" s="15"/>
      <c r="S248" s="15"/>
      <c r="T248" s="15"/>
      <c r="U248" s="15"/>
      <c r="V248" s="15"/>
      <c r="W248" s="15"/>
      <c r="X248" s="15"/>
      <c r="Y248" s="15"/>
      <c r="Z248" s="15">
        <v>3</v>
      </c>
      <c r="AA248" s="15">
        <v>8</v>
      </c>
      <c r="AB248" s="15"/>
      <c r="AC248" s="15"/>
      <c r="AD248" s="15"/>
      <c r="AE248" s="15"/>
      <c r="AF248" s="15"/>
      <c r="AG248" s="15"/>
      <c r="AH248" s="15"/>
      <c r="AI248" s="15"/>
      <c r="AJ248" s="15"/>
      <c r="AK248" s="15"/>
      <c r="AL248" s="15"/>
      <c r="AM248" s="15"/>
      <c r="AN248" s="15"/>
      <c r="AO248" s="15"/>
      <c r="AP248" s="15">
        <v>2</v>
      </c>
      <c r="AQ248" s="15"/>
      <c r="AR248" s="15"/>
      <c r="AS248" s="15">
        <v>1</v>
      </c>
      <c r="AT248" s="15"/>
      <c r="AU248" s="15"/>
      <c r="AV248" s="15"/>
      <c r="AW248" s="15">
        <v>3</v>
      </c>
      <c r="AX248" s="15">
        <v>9</v>
      </c>
      <c r="AY248" s="15"/>
      <c r="AZ248" s="15">
        <v>2</v>
      </c>
      <c r="BA248" s="15"/>
      <c r="BB248" s="15"/>
      <c r="BC248" s="15"/>
      <c r="BD248" s="15"/>
      <c r="BE248" s="18"/>
    </row>
    <row r="249" spans="1:57">
      <c r="A249" s="20" t="s">
        <v>628</v>
      </c>
      <c r="B249" s="24" t="s">
        <v>596</v>
      </c>
      <c r="C249" s="14"/>
      <c r="D249" s="18"/>
      <c r="F249" s="16"/>
      <c r="G249" s="17"/>
      <c r="H249" s="17"/>
      <c r="I249" s="17"/>
      <c r="J249" s="17"/>
      <c r="K249" s="17"/>
      <c r="L249" s="17"/>
      <c r="M249" s="17"/>
      <c r="N249" s="17"/>
      <c r="O249" s="17"/>
      <c r="P249" s="17"/>
      <c r="Q249" s="17"/>
      <c r="R249" s="17"/>
      <c r="S249" s="17"/>
      <c r="T249" s="17"/>
      <c r="U249" s="17"/>
      <c r="V249" s="17"/>
      <c r="W249" s="17"/>
      <c r="X249" s="17"/>
      <c r="Y249" s="15"/>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5"/>
      <c r="BD249" s="17"/>
      <c r="BE249" s="18"/>
    </row>
    <row r="250" spans="1:57">
      <c r="A250" s="13" t="s">
        <v>629</v>
      </c>
      <c r="B250" s="13" t="s">
        <v>596</v>
      </c>
      <c r="C250" s="14">
        <v>44596</v>
      </c>
      <c r="D250" s="15" t="s">
        <v>381</v>
      </c>
      <c r="E250" s="15" t="s">
        <v>382</v>
      </c>
      <c r="F250" s="16">
        <v>0.35416666666666669</v>
      </c>
      <c r="G250" s="15" t="s">
        <v>156</v>
      </c>
      <c r="H250" s="15" t="s">
        <v>127</v>
      </c>
      <c r="I250" s="15" t="s">
        <v>70</v>
      </c>
      <c r="J250" s="15" t="s">
        <v>71</v>
      </c>
      <c r="M250" s="15">
        <v>63</v>
      </c>
      <c r="N250" s="15">
        <v>30</v>
      </c>
      <c r="O250" s="15">
        <v>15</v>
      </c>
      <c r="P250" s="15">
        <v>12</v>
      </c>
      <c r="Q250" s="15">
        <v>475</v>
      </c>
      <c r="R250" s="15">
        <v>20</v>
      </c>
      <c r="T250" s="15">
        <v>365</v>
      </c>
      <c r="AB250" s="15">
        <v>3</v>
      </c>
      <c r="AK250" s="15">
        <v>590</v>
      </c>
      <c r="AL250" s="15">
        <v>3</v>
      </c>
      <c r="AM250" s="15">
        <v>100</v>
      </c>
      <c r="AP250" s="15">
        <v>1</v>
      </c>
      <c r="AQ250" s="15">
        <v>65</v>
      </c>
      <c r="AS250" s="15">
        <v>101</v>
      </c>
      <c r="AT250" s="15">
        <v>8</v>
      </c>
      <c r="BD250" s="15">
        <v>39</v>
      </c>
      <c r="BE250" s="18"/>
    </row>
    <row r="251" spans="1:57">
      <c r="A251" s="13" t="s">
        <v>630</v>
      </c>
      <c r="B251" s="13" t="s">
        <v>596</v>
      </c>
      <c r="C251" s="14">
        <v>44596</v>
      </c>
      <c r="D251" s="18" t="s">
        <v>381</v>
      </c>
      <c r="E251" s="15" t="s">
        <v>382</v>
      </c>
      <c r="F251" s="16">
        <v>0.55208333333333337</v>
      </c>
      <c r="G251" s="15" t="s">
        <v>148</v>
      </c>
      <c r="H251" s="17"/>
      <c r="I251" s="17"/>
      <c r="J251" s="15" t="s">
        <v>71</v>
      </c>
      <c r="K251" s="17"/>
      <c r="L251" s="17"/>
      <c r="M251" s="17"/>
      <c r="N251" s="17"/>
      <c r="O251" s="15">
        <v>2</v>
      </c>
      <c r="P251" s="15">
        <v>26</v>
      </c>
      <c r="Q251" s="15">
        <v>47</v>
      </c>
      <c r="R251" s="15">
        <v>34</v>
      </c>
      <c r="S251" s="17"/>
      <c r="T251" s="15">
        <v>56</v>
      </c>
      <c r="U251" s="17"/>
      <c r="V251" s="17"/>
      <c r="W251" s="17"/>
      <c r="X251" s="17"/>
      <c r="Y251" s="17"/>
      <c r="Z251" s="17"/>
      <c r="AA251" s="17"/>
      <c r="AB251" s="17"/>
      <c r="AC251" s="17"/>
      <c r="AD251" s="17"/>
      <c r="AE251" s="17"/>
      <c r="AF251" s="17"/>
      <c r="AG251" s="17"/>
      <c r="AH251" s="17"/>
      <c r="AI251" s="17"/>
      <c r="AJ251" s="17"/>
      <c r="AK251" s="17"/>
      <c r="AL251" s="17"/>
      <c r="AM251" s="15">
        <v>59</v>
      </c>
      <c r="AN251" s="17"/>
      <c r="AO251" s="17"/>
      <c r="AP251" s="17"/>
      <c r="AQ251" s="15">
        <v>27</v>
      </c>
      <c r="AR251" s="17"/>
      <c r="AS251" s="15">
        <v>71</v>
      </c>
      <c r="AT251" s="15">
        <v>4</v>
      </c>
      <c r="AU251" s="17"/>
      <c r="AV251" s="17"/>
      <c r="AW251" s="17"/>
      <c r="AX251" s="17"/>
      <c r="AY251" s="17"/>
      <c r="AZ251" s="17"/>
      <c r="BA251" s="17"/>
      <c r="BB251" s="17"/>
      <c r="BC251" s="17"/>
      <c r="BD251" s="15">
        <v>82</v>
      </c>
      <c r="BE251" s="18"/>
    </row>
    <row r="252" spans="1:57">
      <c r="A252" s="13" t="s">
        <v>631</v>
      </c>
      <c r="B252" s="13" t="s">
        <v>596</v>
      </c>
      <c r="C252" s="14">
        <v>44600</v>
      </c>
      <c r="D252" s="18" t="s">
        <v>381</v>
      </c>
      <c r="E252" s="15" t="s">
        <v>382</v>
      </c>
      <c r="F252" s="16">
        <v>0.57291666666666663</v>
      </c>
      <c r="G252" s="15" t="s">
        <v>148</v>
      </c>
      <c r="H252" s="15" t="s">
        <v>69</v>
      </c>
      <c r="I252" s="15" t="s">
        <v>70</v>
      </c>
      <c r="J252" s="15" t="s">
        <v>71</v>
      </c>
      <c r="K252" s="17"/>
      <c r="L252" s="15">
        <v>36</v>
      </c>
      <c r="M252" s="15">
        <v>465</v>
      </c>
      <c r="N252" s="15">
        <v>72</v>
      </c>
      <c r="O252" s="15">
        <v>13</v>
      </c>
      <c r="P252" s="15">
        <v>1</v>
      </c>
      <c r="Q252" s="17"/>
      <c r="R252" s="15">
        <v>47</v>
      </c>
      <c r="S252" s="17"/>
      <c r="T252" s="15">
        <v>220</v>
      </c>
      <c r="U252" s="17"/>
      <c r="V252" s="17"/>
      <c r="W252" s="17"/>
      <c r="X252" s="17"/>
      <c r="Y252" s="17"/>
      <c r="Z252" s="15">
        <v>60</v>
      </c>
      <c r="AA252" s="17"/>
      <c r="AB252" s="17"/>
      <c r="AC252" s="15">
        <v>60</v>
      </c>
      <c r="AD252" s="17"/>
      <c r="AE252" s="17"/>
      <c r="AF252" s="17"/>
      <c r="AG252" s="17"/>
      <c r="AH252" s="17"/>
      <c r="AI252" s="17"/>
      <c r="AJ252" s="17"/>
      <c r="AK252" s="17"/>
      <c r="AL252" s="17"/>
      <c r="AM252" s="15">
        <v>173</v>
      </c>
      <c r="AN252" s="17"/>
      <c r="AO252" s="17"/>
      <c r="AP252" s="17"/>
      <c r="AQ252" s="15">
        <v>34</v>
      </c>
      <c r="AR252" s="17"/>
      <c r="AS252" s="15">
        <v>197</v>
      </c>
      <c r="AT252" s="15">
        <v>13</v>
      </c>
      <c r="AU252" s="17"/>
      <c r="AV252" s="17"/>
      <c r="AW252" s="17"/>
      <c r="AX252" s="17"/>
      <c r="AY252" s="17"/>
      <c r="AZ252" s="17"/>
      <c r="BA252" s="17"/>
      <c r="BB252" s="17"/>
      <c r="BC252" s="17"/>
      <c r="BD252" s="15">
        <v>738</v>
      </c>
      <c r="BE252" s="19"/>
    </row>
    <row r="253" spans="1:57">
      <c r="A253" s="13" t="s">
        <v>632</v>
      </c>
      <c r="B253" s="13" t="s">
        <v>596</v>
      </c>
      <c r="C253" s="14">
        <v>44600</v>
      </c>
      <c r="D253" s="15" t="s">
        <v>381</v>
      </c>
      <c r="E253" s="15" t="s">
        <v>382</v>
      </c>
      <c r="F253" s="26">
        <v>0.40625</v>
      </c>
      <c r="G253" s="15" t="s">
        <v>156</v>
      </c>
      <c r="H253" s="15" t="s">
        <v>127</v>
      </c>
      <c r="I253" s="17"/>
      <c r="J253" s="15" t="s">
        <v>71</v>
      </c>
      <c r="K253" s="17"/>
      <c r="L253" s="17"/>
      <c r="M253" s="17"/>
      <c r="N253" s="17"/>
      <c r="O253" s="15">
        <v>35</v>
      </c>
      <c r="P253" s="15">
        <v>10</v>
      </c>
      <c r="Q253" s="17"/>
      <c r="R253" s="15">
        <v>45</v>
      </c>
      <c r="S253" s="17"/>
      <c r="T253" s="15">
        <v>220</v>
      </c>
      <c r="U253" s="17"/>
      <c r="V253" s="17"/>
      <c r="W253" s="17"/>
      <c r="X253" s="17"/>
      <c r="Y253" s="17"/>
      <c r="Z253" s="17"/>
      <c r="AA253" s="17"/>
      <c r="AB253" s="17"/>
      <c r="AC253" s="17"/>
      <c r="AD253" s="17"/>
      <c r="AE253" s="17"/>
      <c r="AF253" s="17"/>
      <c r="AG253" s="17"/>
      <c r="AH253" s="17"/>
      <c r="AI253" s="17"/>
      <c r="AJ253" s="15">
        <v>1</v>
      </c>
      <c r="AK253" s="15">
        <v>70</v>
      </c>
      <c r="AL253" s="17"/>
      <c r="AM253" s="15">
        <v>4</v>
      </c>
      <c r="AN253" s="17"/>
      <c r="AO253" s="17"/>
      <c r="AP253" s="17"/>
      <c r="AQ253" s="15">
        <v>5</v>
      </c>
      <c r="AR253" s="17"/>
      <c r="AS253" s="15">
        <v>110</v>
      </c>
      <c r="AT253" s="15">
        <v>2</v>
      </c>
      <c r="AU253" s="17"/>
      <c r="AV253" s="17"/>
      <c r="AW253" s="17"/>
      <c r="AX253" s="17"/>
      <c r="AY253" s="17"/>
      <c r="AZ253" s="17"/>
      <c r="BA253" s="17"/>
      <c r="BB253" s="17"/>
      <c r="BC253" s="17"/>
      <c r="BD253" s="15">
        <v>50</v>
      </c>
      <c r="BE253" s="18"/>
    </row>
    <row r="254" spans="1:57" ht="31.5">
      <c r="A254" s="29" t="s">
        <v>633</v>
      </c>
      <c r="B254" s="24" t="s">
        <v>596</v>
      </c>
      <c r="C254" s="14">
        <v>44596</v>
      </c>
      <c r="D254" s="15" t="s">
        <v>613</v>
      </c>
      <c r="E254" s="15" t="s">
        <v>614</v>
      </c>
      <c r="F254" s="16">
        <v>0.39861111111111114</v>
      </c>
      <c r="G254" s="15" t="s">
        <v>156</v>
      </c>
      <c r="H254" s="15" t="s">
        <v>69</v>
      </c>
      <c r="I254" s="15" t="s">
        <v>70</v>
      </c>
      <c r="J254" s="15" t="s">
        <v>71</v>
      </c>
      <c r="K254" s="17"/>
      <c r="L254" s="17"/>
      <c r="M254" s="15">
        <v>1</v>
      </c>
      <c r="N254" s="17"/>
      <c r="O254" s="17"/>
      <c r="P254" s="17"/>
      <c r="Q254" s="17"/>
      <c r="R254" s="17"/>
      <c r="S254" s="17"/>
      <c r="T254" s="17"/>
      <c r="U254" s="17"/>
      <c r="V254" s="17"/>
      <c r="W254" s="17"/>
      <c r="X254" s="17"/>
      <c r="Y254" s="17"/>
      <c r="Z254" s="15">
        <v>6</v>
      </c>
      <c r="AA254" s="15">
        <v>12</v>
      </c>
      <c r="AB254" s="17"/>
      <c r="AC254" s="17"/>
      <c r="AD254" s="17"/>
      <c r="AE254" s="17"/>
      <c r="AF254" s="17"/>
      <c r="AG254" s="17"/>
      <c r="AH254" s="15">
        <v>1</v>
      </c>
      <c r="AI254" s="17"/>
      <c r="AJ254" s="17"/>
      <c r="AK254" s="17"/>
      <c r="AL254" s="17"/>
      <c r="AM254" s="17"/>
      <c r="AN254" s="17"/>
      <c r="AO254" s="17"/>
      <c r="AP254" s="15">
        <v>1</v>
      </c>
      <c r="AQ254" s="17"/>
      <c r="AR254" s="17"/>
      <c r="AS254" s="17"/>
      <c r="AT254" s="17"/>
      <c r="AU254" s="17"/>
      <c r="AV254" s="17"/>
      <c r="AW254" s="17"/>
      <c r="AX254" s="17"/>
      <c r="AY254" s="17"/>
      <c r="AZ254" s="15">
        <v>3</v>
      </c>
      <c r="BA254" s="17"/>
      <c r="BB254" s="17"/>
      <c r="BC254" s="17"/>
      <c r="BD254" s="17"/>
      <c r="BE254" s="18"/>
    </row>
    <row r="255" spans="1:57">
      <c r="A255" s="13" t="s">
        <v>634</v>
      </c>
      <c r="B255" s="13" t="s">
        <v>635</v>
      </c>
      <c r="C255" s="14">
        <v>44602</v>
      </c>
      <c r="D255" s="15" t="s">
        <v>636</v>
      </c>
      <c r="E255" s="15" t="s">
        <v>637</v>
      </c>
      <c r="F255" s="16">
        <v>0.54166666666666663</v>
      </c>
      <c r="G255" s="15" t="s">
        <v>156</v>
      </c>
      <c r="H255" s="15" t="s">
        <v>69</v>
      </c>
      <c r="I255" s="15" t="s">
        <v>70</v>
      </c>
      <c r="J255" s="15" t="s">
        <v>71</v>
      </c>
      <c r="K255" s="15"/>
      <c r="L255" s="15"/>
      <c r="M255" s="15">
        <v>4</v>
      </c>
      <c r="N255" s="15"/>
      <c r="O255" s="15"/>
      <c r="P255" s="15"/>
      <c r="Q255" s="15"/>
      <c r="R255" s="15"/>
      <c r="S255" s="15"/>
      <c r="T255" s="15"/>
      <c r="U255" s="15"/>
      <c r="V255" s="15"/>
      <c r="W255" s="15"/>
      <c r="X255" s="15"/>
      <c r="Y255" s="15"/>
      <c r="Z255" s="15">
        <v>56</v>
      </c>
      <c r="AA255" s="15">
        <v>71</v>
      </c>
      <c r="AB255" s="15">
        <v>2</v>
      </c>
      <c r="AC255" s="15"/>
      <c r="AD255" s="15">
        <v>10</v>
      </c>
      <c r="AE255" s="15"/>
      <c r="AF255" s="15"/>
      <c r="AG255" s="15"/>
      <c r="AH255" s="15">
        <v>6</v>
      </c>
      <c r="AI255" s="15">
        <v>2</v>
      </c>
      <c r="AJ255" s="15"/>
      <c r="AK255" s="15"/>
      <c r="AL255" s="15"/>
      <c r="AM255" s="15"/>
      <c r="AN255" s="15"/>
      <c r="AO255" s="15"/>
      <c r="AP255" s="15"/>
      <c r="AQ255" s="15"/>
      <c r="AR255" s="15"/>
      <c r="AS255" s="15"/>
      <c r="AT255" s="15">
        <v>6</v>
      </c>
      <c r="AU255" s="15"/>
      <c r="AV255" s="15"/>
      <c r="AW255" s="15">
        <v>2</v>
      </c>
      <c r="AX255" s="15">
        <v>65</v>
      </c>
      <c r="AY255" s="15"/>
      <c r="AZ255" s="15">
        <v>27</v>
      </c>
      <c r="BA255" s="15">
        <v>50</v>
      </c>
      <c r="BB255" s="15"/>
      <c r="BC255" s="15"/>
      <c r="BD255" s="15"/>
      <c r="BE255" s="19"/>
    </row>
    <row r="256" spans="1:57">
      <c r="A256" s="13" t="s">
        <v>638</v>
      </c>
      <c r="B256" s="24" t="s">
        <v>635</v>
      </c>
      <c r="C256" s="14"/>
      <c r="F256" s="16"/>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row>
    <row r="257" spans="1:57">
      <c r="A257" s="13" t="s">
        <v>639</v>
      </c>
      <c r="B257" s="24" t="s">
        <v>635</v>
      </c>
      <c r="C257" s="14"/>
      <c r="F257" s="16"/>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9"/>
    </row>
    <row r="258" spans="1:57">
      <c r="A258" s="13" t="s">
        <v>640</v>
      </c>
      <c r="B258" s="13" t="s">
        <v>635</v>
      </c>
      <c r="C258" s="32">
        <v>44602</v>
      </c>
      <c r="D258" s="15" t="s">
        <v>636</v>
      </c>
      <c r="E258" s="15" t="s">
        <v>637</v>
      </c>
      <c r="F258" s="16">
        <v>0.52083333333333337</v>
      </c>
      <c r="G258" s="15" t="s">
        <v>83</v>
      </c>
      <c r="H258" s="15" t="s">
        <v>69</v>
      </c>
      <c r="I258" s="15" t="s">
        <v>70</v>
      </c>
      <c r="J258" s="15" t="s">
        <v>71</v>
      </c>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v>19</v>
      </c>
      <c r="AI258" s="15"/>
      <c r="AJ258" s="15"/>
      <c r="AK258" s="15"/>
      <c r="AL258" s="15"/>
      <c r="AM258" s="15">
        <v>25</v>
      </c>
      <c r="AN258" s="15"/>
      <c r="AO258" s="15"/>
      <c r="AP258" s="15">
        <v>16</v>
      </c>
      <c r="AQ258" s="15"/>
      <c r="AR258" s="15"/>
      <c r="AS258" s="15">
        <v>140</v>
      </c>
      <c r="AT258" s="15"/>
      <c r="AU258" s="15"/>
      <c r="AV258" s="15"/>
      <c r="AW258" s="15">
        <v>8</v>
      </c>
      <c r="AX258" s="15">
        <v>200</v>
      </c>
      <c r="AY258" s="15"/>
      <c r="AZ258" s="15"/>
      <c r="BA258" s="15">
        <v>110</v>
      </c>
      <c r="BB258" s="15"/>
      <c r="BC258" s="15"/>
      <c r="BD258" s="15"/>
      <c r="BE258" s="15" t="s">
        <v>641</v>
      </c>
    </row>
    <row r="259" spans="1:57" ht="31.5">
      <c r="A259" s="13" t="s">
        <v>642</v>
      </c>
      <c r="B259" s="24" t="s">
        <v>635</v>
      </c>
      <c r="C259" s="32">
        <v>44599</v>
      </c>
      <c r="D259" s="15" t="s">
        <v>643</v>
      </c>
      <c r="E259" s="15" t="s">
        <v>644</v>
      </c>
      <c r="F259" s="16">
        <v>0.2951388888888889</v>
      </c>
      <c r="G259" s="15" t="s">
        <v>78</v>
      </c>
      <c r="H259" s="15" t="s">
        <v>69</v>
      </c>
      <c r="I259" s="15" t="s">
        <v>70</v>
      </c>
      <c r="J259" s="15" t="s">
        <v>71</v>
      </c>
      <c r="K259" s="15"/>
      <c r="L259" s="15"/>
      <c r="M259" s="15"/>
      <c r="N259" s="15">
        <v>12</v>
      </c>
      <c r="O259" s="15"/>
      <c r="P259" s="15"/>
      <c r="Q259" s="15"/>
      <c r="R259" s="15"/>
      <c r="S259" s="15"/>
      <c r="T259" s="15"/>
      <c r="U259" s="15"/>
      <c r="V259" s="15"/>
      <c r="W259" s="15"/>
      <c r="X259" s="15"/>
      <c r="Y259" s="15"/>
      <c r="Z259" s="15"/>
      <c r="AA259" s="15"/>
      <c r="AB259" s="15">
        <v>8</v>
      </c>
      <c r="AC259" s="15"/>
      <c r="AD259" s="15"/>
      <c r="AE259" s="15"/>
      <c r="AF259" s="15"/>
      <c r="AG259" s="15"/>
      <c r="AH259" s="15">
        <v>4</v>
      </c>
      <c r="AI259" s="15"/>
      <c r="AJ259" s="15"/>
      <c r="AK259" s="15"/>
      <c r="AL259" s="15"/>
      <c r="AM259" s="15">
        <v>1</v>
      </c>
      <c r="AN259" s="15"/>
      <c r="AO259" s="15"/>
      <c r="AP259" s="15">
        <v>20</v>
      </c>
      <c r="AQ259" s="15"/>
      <c r="AR259" s="15"/>
      <c r="AS259" s="15">
        <v>201</v>
      </c>
      <c r="AT259" s="15"/>
      <c r="AU259" s="15"/>
      <c r="AV259" s="15"/>
      <c r="AW259" s="15">
        <v>3</v>
      </c>
      <c r="AX259" s="15">
        <v>130</v>
      </c>
      <c r="AY259" s="15"/>
      <c r="AZ259" s="15">
        <v>12</v>
      </c>
      <c r="BA259" s="15">
        <v>4</v>
      </c>
      <c r="BB259" s="15"/>
      <c r="BC259" s="15"/>
      <c r="BD259" s="15"/>
      <c r="BE259" s="15"/>
    </row>
    <row r="260" spans="1:57">
      <c r="A260" s="13" t="s">
        <v>645</v>
      </c>
      <c r="B260" s="24" t="s">
        <v>635</v>
      </c>
      <c r="C260" s="30"/>
      <c r="F260" s="16"/>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8"/>
    </row>
    <row r="261" spans="1:57">
      <c r="A261" s="13" t="s">
        <v>646</v>
      </c>
      <c r="B261" s="24" t="s">
        <v>635</v>
      </c>
      <c r="C261" s="32">
        <v>44601</v>
      </c>
      <c r="D261" s="15" t="s">
        <v>647</v>
      </c>
      <c r="E261" s="15" t="s">
        <v>644</v>
      </c>
      <c r="F261" s="16">
        <v>0.29166666666666669</v>
      </c>
      <c r="G261" s="15" t="s">
        <v>68</v>
      </c>
      <c r="H261" s="15" t="s">
        <v>109</v>
      </c>
      <c r="I261" s="15" t="s">
        <v>70</v>
      </c>
      <c r="J261" s="15" t="s">
        <v>71</v>
      </c>
      <c r="K261" s="15"/>
      <c r="L261" s="15"/>
      <c r="M261" s="15"/>
      <c r="N261" s="15">
        <v>21</v>
      </c>
      <c r="O261" s="15"/>
      <c r="P261" s="15">
        <v>10</v>
      </c>
      <c r="Q261" s="15">
        <v>4</v>
      </c>
      <c r="R261" s="15"/>
      <c r="S261" s="15"/>
      <c r="T261" s="15"/>
      <c r="U261" s="15">
        <v>1</v>
      </c>
      <c r="V261" s="15"/>
      <c r="W261" s="15"/>
      <c r="X261" s="15"/>
      <c r="Y261" s="15"/>
      <c r="Z261" s="15">
        <v>7</v>
      </c>
      <c r="AA261" s="15">
        <v>2</v>
      </c>
      <c r="AB261" s="15">
        <v>2</v>
      </c>
      <c r="AC261" s="15"/>
      <c r="AD261" s="15"/>
      <c r="AE261" s="15">
        <v>1</v>
      </c>
      <c r="AF261" s="15">
        <v>12</v>
      </c>
      <c r="AG261" s="15"/>
      <c r="AH261" s="15">
        <v>33</v>
      </c>
      <c r="AI261" s="15">
        <v>3</v>
      </c>
      <c r="AJ261" s="15"/>
      <c r="AK261" s="15">
        <v>8</v>
      </c>
      <c r="AL261" s="15"/>
      <c r="AM261" s="15"/>
      <c r="AN261" s="15"/>
      <c r="AO261" s="15"/>
      <c r="AP261" s="15"/>
      <c r="AQ261" s="15"/>
      <c r="AR261" s="15"/>
      <c r="AS261" s="15"/>
      <c r="AT261" s="15">
        <v>1</v>
      </c>
      <c r="AU261" s="15"/>
      <c r="AV261" s="15"/>
      <c r="AW261" s="15">
        <v>6</v>
      </c>
      <c r="AX261" s="15">
        <v>3</v>
      </c>
      <c r="AY261" s="15"/>
      <c r="AZ261" s="15">
        <v>52</v>
      </c>
      <c r="BA261" s="15">
        <v>1</v>
      </c>
      <c r="BB261" s="15"/>
      <c r="BC261" s="15"/>
      <c r="BD261" s="15"/>
      <c r="BE261" s="18"/>
    </row>
    <row r="262" spans="1:57">
      <c r="A262" s="13" t="s">
        <v>648</v>
      </c>
      <c r="B262" s="13" t="s">
        <v>649</v>
      </c>
      <c r="C262" s="32">
        <v>44599</v>
      </c>
      <c r="D262" s="15" t="s">
        <v>650</v>
      </c>
      <c r="E262" s="15" t="s">
        <v>637</v>
      </c>
      <c r="F262" s="16">
        <v>0.5</v>
      </c>
      <c r="G262" s="15" t="s">
        <v>78</v>
      </c>
      <c r="H262" s="15" t="s">
        <v>69</v>
      </c>
      <c r="I262" s="15" t="s">
        <v>70</v>
      </c>
      <c r="J262" s="15" t="s">
        <v>71</v>
      </c>
      <c r="K262" s="15">
        <v>1</v>
      </c>
      <c r="L262" s="15"/>
      <c r="M262" s="15">
        <v>76</v>
      </c>
      <c r="N262" s="15">
        <v>348</v>
      </c>
      <c r="O262" s="15"/>
      <c r="P262" s="15"/>
      <c r="Q262" s="15">
        <v>33</v>
      </c>
      <c r="R262" s="15">
        <v>1</v>
      </c>
      <c r="S262" s="15"/>
      <c r="T262" s="15"/>
      <c r="U262" s="15">
        <v>21</v>
      </c>
      <c r="V262" s="15"/>
      <c r="W262" s="15"/>
      <c r="X262" s="15">
        <v>15</v>
      </c>
      <c r="Y262" s="15">
        <v>48</v>
      </c>
      <c r="Z262" s="15">
        <v>37</v>
      </c>
      <c r="AA262" s="15">
        <v>109</v>
      </c>
      <c r="AB262" s="15">
        <v>22</v>
      </c>
      <c r="AC262" s="15"/>
      <c r="AD262" s="15">
        <v>7</v>
      </c>
      <c r="AE262" s="15"/>
      <c r="AF262" s="15">
        <v>28</v>
      </c>
      <c r="AG262" s="15">
        <v>1</v>
      </c>
      <c r="AH262" s="15">
        <v>94</v>
      </c>
      <c r="AI262" s="15"/>
      <c r="AJ262" s="15"/>
      <c r="AK262" s="15"/>
      <c r="AL262" s="15"/>
      <c r="AM262" s="15">
        <v>36</v>
      </c>
      <c r="AN262" s="15"/>
      <c r="AO262" s="15"/>
      <c r="AP262" s="15">
        <v>1</v>
      </c>
      <c r="AQ262" s="15">
        <v>9</v>
      </c>
      <c r="AR262" s="15"/>
      <c r="AS262" s="15">
        <v>23</v>
      </c>
      <c r="AT262" s="15">
        <v>28</v>
      </c>
      <c r="AU262" s="15"/>
      <c r="AV262" s="15"/>
      <c r="AW262" s="15">
        <v>5</v>
      </c>
      <c r="AX262" s="15">
        <v>260</v>
      </c>
      <c r="AY262" s="15"/>
      <c r="AZ262" s="15">
        <v>65</v>
      </c>
      <c r="BA262" s="15">
        <v>80</v>
      </c>
      <c r="BB262" s="15"/>
      <c r="BC262" s="15"/>
      <c r="BD262" s="15"/>
      <c r="BE262" s="18"/>
    </row>
    <row r="263" spans="1:57" ht="26.25">
      <c r="A263" s="13" t="s">
        <v>651</v>
      </c>
      <c r="B263" s="13" t="s">
        <v>649</v>
      </c>
      <c r="C263" s="14">
        <v>44601</v>
      </c>
      <c r="D263" s="15" t="s">
        <v>652</v>
      </c>
      <c r="E263" s="15" t="s">
        <v>637</v>
      </c>
      <c r="F263" s="21">
        <v>0.5</v>
      </c>
      <c r="G263" s="15" t="s">
        <v>83</v>
      </c>
      <c r="H263" s="15" t="s">
        <v>69</v>
      </c>
      <c r="I263" s="15" t="s">
        <v>70</v>
      </c>
      <c r="J263" s="15" t="s">
        <v>71</v>
      </c>
      <c r="K263" s="15">
        <v>8</v>
      </c>
      <c r="L263" s="15"/>
      <c r="M263" s="15">
        <v>9</v>
      </c>
      <c r="N263" s="15"/>
      <c r="O263" s="15"/>
      <c r="P263" s="15"/>
      <c r="Q263" s="15"/>
      <c r="R263" s="15"/>
      <c r="S263" s="15"/>
      <c r="T263" s="15"/>
      <c r="U263" s="15"/>
      <c r="V263" s="15"/>
      <c r="W263" s="15"/>
      <c r="X263" s="15">
        <v>15</v>
      </c>
      <c r="Y263" s="15">
        <v>1</v>
      </c>
      <c r="Z263" s="15">
        <v>29</v>
      </c>
      <c r="AA263" s="15">
        <v>99</v>
      </c>
      <c r="AB263" s="15">
        <v>2</v>
      </c>
      <c r="AC263" s="15"/>
      <c r="AD263" s="15">
        <v>1</v>
      </c>
      <c r="AE263" s="15"/>
      <c r="AF263" s="15"/>
      <c r="AG263" s="15"/>
      <c r="AH263" s="15">
        <v>51</v>
      </c>
      <c r="AI263" s="15"/>
      <c r="AJ263" s="15"/>
      <c r="AK263" s="15"/>
      <c r="AL263" s="15"/>
      <c r="AM263" s="15"/>
      <c r="AN263" s="15"/>
      <c r="AO263" s="15"/>
      <c r="AP263" s="15">
        <v>9</v>
      </c>
      <c r="AQ263" s="15"/>
      <c r="AR263" s="15"/>
      <c r="AS263" s="15"/>
      <c r="AT263" s="15"/>
      <c r="AU263" s="15"/>
      <c r="AV263" s="15"/>
      <c r="AW263" s="15">
        <v>4</v>
      </c>
      <c r="AX263" s="15">
        <v>20</v>
      </c>
      <c r="AY263" s="15"/>
      <c r="AZ263" s="15">
        <v>19</v>
      </c>
      <c r="BA263" s="15"/>
      <c r="BB263" s="15"/>
      <c r="BC263" s="15"/>
      <c r="BD263" s="15">
        <v>3</v>
      </c>
      <c r="BE263" s="18" t="s">
        <v>653</v>
      </c>
    </row>
    <row r="264" spans="1:57">
      <c r="A264" s="13" t="s">
        <v>654</v>
      </c>
      <c r="B264" s="13" t="s">
        <v>649</v>
      </c>
      <c r="C264" s="32">
        <v>44602</v>
      </c>
      <c r="D264" s="15" t="s">
        <v>655</v>
      </c>
      <c r="E264" s="15" t="s">
        <v>656</v>
      </c>
      <c r="F264" s="16">
        <v>0.50555555555555554</v>
      </c>
      <c r="G264" s="15" t="s">
        <v>83</v>
      </c>
      <c r="H264" s="15" t="s">
        <v>109</v>
      </c>
      <c r="I264" s="15" t="s">
        <v>70</v>
      </c>
      <c r="J264" s="15" t="s">
        <v>71</v>
      </c>
      <c r="K264" s="15">
        <v>3</v>
      </c>
      <c r="L264" s="15"/>
      <c r="M264" s="15"/>
      <c r="N264" s="15"/>
      <c r="O264" s="15"/>
      <c r="P264" s="15"/>
      <c r="Q264" s="15"/>
      <c r="R264" s="15"/>
      <c r="S264" s="15"/>
      <c r="T264" s="15"/>
      <c r="U264" s="15"/>
      <c r="W264" s="15"/>
      <c r="X264" s="15"/>
      <c r="Y264" s="15"/>
      <c r="Z264" s="15">
        <v>7</v>
      </c>
      <c r="AA264" s="15">
        <v>16</v>
      </c>
      <c r="AB264" s="15"/>
      <c r="AC264" s="15"/>
      <c r="AD264" s="15"/>
      <c r="AE264" s="15"/>
      <c r="AF264" s="15"/>
      <c r="AG264" s="15"/>
      <c r="AH264" s="15">
        <v>2</v>
      </c>
      <c r="AI264" s="15"/>
      <c r="AJ264" s="15"/>
      <c r="AM264" s="15"/>
      <c r="AN264" s="15"/>
      <c r="AO264" s="15"/>
      <c r="AP264" s="15"/>
      <c r="AQ264" s="15"/>
      <c r="AR264" s="15"/>
      <c r="AS264" s="15"/>
      <c r="AT264" s="15"/>
      <c r="AU264" s="15"/>
      <c r="AV264" s="15"/>
      <c r="AW264" s="15"/>
      <c r="AX264" s="15">
        <v>5</v>
      </c>
      <c r="AY264" s="15"/>
      <c r="AZ264" s="15"/>
      <c r="BA264" s="15"/>
      <c r="BB264" s="15"/>
      <c r="BC264" s="15"/>
      <c r="BD264" s="15"/>
      <c r="BE264" s="18"/>
    </row>
    <row r="265" spans="1:57">
      <c r="A265" s="13" t="s">
        <v>657</v>
      </c>
      <c r="B265" s="13" t="s">
        <v>649</v>
      </c>
      <c r="C265" s="14">
        <v>44602</v>
      </c>
      <c r="D265" s="15" t="s">
        <v>655</v>
      </c>
      <c r="E265" s="15" t="s">
        <v>656</v>
      </c>
      <c r="F265" s="16">
        <v>0.46875</v>
      </c>
      <c r="G265" s="15" t="s">
        <v>83</v>
      </c>
      <c r="H265" s="15" t="s">
        <v>109</v>
      </c>
      <c r="I265" s="15" t="s">
        <v>70</v>
      </c>
      <c r="J265" s="15" t="s">
        <v>71</v>
      </c>
      <c r="K265" s="15"/>
      <c r="L265" s="15"/>
      <c r="M265" s="15"/>
      <c r="N265" s="15"/>
      <c r="O265" s="15"/>
      <c r="P265" s="15"/>
      <c r="Q265" s="15"/>
      <c r="R265" s="15"/>
      <c r="S265" s="15"/>
      <c r="T265" s="15"/>
      <c r="U265" s="15"/>
      <c r="V265" s="17"/>
      <c r="W265" s="15"/>
      <c r="X265" s="15"/>
      <c r="Y265" s="15"/>
      <c r="Z265" s="15"/>
      <c r="AA265" s="15">
        <v>59</v>
      </c>
      <c r="AB265" s="15"/>
      <c r="AC265" s="15"/>
      <c r="AD265" s="15"/>
      <c r="AE265" s="15"/>
      <c r="AF265" s="15"/>
      <c r="AG265" s="15"/>
      <c r="AH265" s="15">
        <v>51</v>
      </c>
      <c r="AI265" s="15"/>
      <c r="AJ265" s="15"/>
      <c r="AK265" s="17"/>
      <c r="AL265" s="17"/>
      <c r="AM265" s="15"/>
      <c r="AN265" s="15"/>
      <c r="AO265" s="15"/>
      <c r="AP265" s="15"/>
      <c r="AQ265" s="15"/>
      <c r="AR265" s="15"/>
      <c r="AS265" s="15"/>
      <c r="AT265" s="15"/>
      <c r="AU265" s="15"/>
      <c r="AV265" s="15"/>
      <c r="AW265" s="15">
        <v>3</v>
      </c>
      <c r="AX265" s="15">
        <v>214</v>
      </c>
      <c r="AY265" s="15"/>
      <c r="AZ265" s="15">
        <v>31</v>
      </c>
      <c r="BA265" s="15">
        <v>3</v>
      </c>
      <c r="BB265" s="15"/>
      <c r="BC265" s="15"/>
      <c r="BD265" s="15"/>
      <c r="BE265" s="18"/>
    </row>
    <row r="266" spans="1:57">
      <c r="A266" s="13" t="s">
        <v>658</v>
      </c>
      <c r="B266" s="13" t="s">
        <v>649</v>
      </c>
      <c r="C266" s="32">
        <v>44596</v>
      </c>
      <c r="D266" s="15" t="s">
        <v>659</v>
      </c>
      <c r="E266" s="15" t="s">
        <v>660</v>
      </c>
      <c r="F266" s="16">
        <v>0.35069444444444442</v>
      </c>
      <c r="G266" s="15" t="s">
        <v>83</v>
      </c>
      <c r="H266" s="15" t="s">
        <v>69</v>
      </c>
      <c r="I266" s="15" t="s">
        <v>70</v>
      </c>
      <c r="J266" s="15" t="s">
        <v>71</v>
      </c>
      <c r="K266" s="17"/>
      <c r="L266" s="17"/>
      <c r="M266" s="15">
        <v>8</v>
      </c>
      <c r="N266" s="15">
        <v>34</v>
      </c>
      <c r="O266" s="17"/>
      <c r="P266" s="17"/>
      <c r="Q266" s="15">
        <v>1</v>
      </c>
      <c r="R266" s="17"/>
      <c r="S266" s="17"/>
      <c r="T266" s="17"/>
      <c r="U266" s="17"/>
      <c r="V266" s="17"/>
      <c r="W266" s="17"/>
      <c r="X266" s="17"/>
      <c r="Y266" s="17"/>
      <c r="Z266" s="15">
        <v>5</v>
      </c>
      <c r="AA266" s="15">
        <v>27</v>
      </c>
      <c r="AB266" s="17"/>
      <c r="AC266" s="15">
        <v>9</v>
      </c>
      <c r="AD266" s="17"/>
      <c r="AE266" s="17"/>
      <c r="AF266" s="17"/>
      <c r="AG266" s="17"/>
      <c r="AH266" s="17"/>
      <c r="AI266" s="17"/>
      <c r="AJ266" s="17"/>
      <c r="AK266" s="17"/>
      <c r="AL266" s="17"/>
      <c r="AM266" s="17"/>
      <c r="AN266" s="17"/>
      <c r="AO266" s="17"/>
      <c r="AP266" s="15">
        <v>18</v>
      </c>
      <c r="AQ266" s="17"/>
      <c r="AR266" s="17"/>
      <c r="AS266" s="15">
        <v>2</v>
      </c>
      <c r="AT266" s="17"/>
      <c r="AU266" s="17"/>
      <c r="AV266" s="17"/>
      <c r="AW266" s="17"/>
      <c r="AX266" s="15">
        <v>24</v>
      </c>
      <c r="AY266" s="17"/>
      <c r="AZ266" s="15">
        <v>4</v>
      </c>
      <c r="BA266" s="17"/>
      <c r="BB266" s="17"/>
      <c r="BC266" s="17"/>
      <c r="BD266" s="17"/>
      <c r="BE266" s="19"/>
    </row>
    <row r="267" spans="1:57" ht="31.5">
      <c r="A267" s="13" t="s">
        <v>661</v>
      </c>
      <c r="B267" s="13" t="s">
        <v>649</v>
      </c>
      <c r="C267" s="14">
        <v>44599</v>
      </c>
      <c r="D267" s="15" t="s">
        <v>662</v>
      </c>
      <c r="E267" s="15" t="s">
        <v>663</v>
      </c>
      <c r="F267" s="16">
        <v>0.29166666666666669</v>
      </c>
      <c r="G267" s="15" t="s">
        <v>78</v>
      </c>
      <c r="H267" s="15" t="s">
        <v>69</v>
      </c>
      <c r="I267" s="15" t="s">
        <v>118</v>
      </c>
      <c r="J267" s="15" t="s">
        <v>71</v>
      </c>
      <c r="K267" s="15">
        <v>54</v>
      </c>
      <c r="L267" s="15"/>
      <c r="M267" s="15">
        <v>94</v>
      </c>
      <c r="N267" s="15">
        <v>174</v>
      </c>
      <c r="O267" s="15"/>
      <c r="P267" s="15">
        <v>6</v>
      </c>
      <c r="Q267" s="15">
        <v>93</v>
      </c>
      <c r="R267" s="15"/>
      <c r="S267" s="15"/>
      <c r="T267" s="15"/>
      <c r="U267" s="15">
        <v>84</v>
      </c>
      <c r="V267" s="17"/>
      <c r="W267" s="15">
        <v>22</v>
      </c>
      <c r="X267" s="15"/>
      <c r="Y267" s="15"/>
      <c r="Z267" s="15">
        <v>55</v>
      </c>
      <c r="AA267" s="15">
        <v>74</v>
      </c>
      <c r="AB267" s="15">
        <v>98</v>
      </c>
      <c r="AC267" s="15"/>
      <c r="AD267" s="15"/>
      <c r="AE267" s="15">
        <v>7</v>
      </c>
      <c r="AF267" s="15">
        <v>175</v>
      </c>
      <c r="AG267" s="15"/>
      <c r="AH267" s="15">
        <v>72</v>
      </c>
      <c r="AI267" s="15">
        <v>8</v>
      </c>
      <c r="AJ267" s="15"/>
      <c r="AK267" s="17"/>
      <c r="AL267" s="17"/>
      <c r="AM267" s="15">
        <v>380</v>
      </c>
      <c r="AN267" s="15">
        <v>28</v>
      </c>
      <c r="AO267" s="15"/>
      <c r="AP267" s="15">
        <v>60</v>
      </c>
      <c r="AQ267" s="15"/>
      <c r="AR267" s="15"/>
      <c r="AS267" s="15">
        <v>34</v>
      </c>
      <c r="AT267" s="15">
        <v>56</v>
      </c>
      <c r="AU267" s="15"/>
      <c r="AV267" s="15"/>
      <c r="AW267" s="15">
        <v>3</v>
      </c>
      <c r="AX267" s="15">
        <v>177</v>
      </c>
      <c r="AY267" s="15">
        <v>2</v>
      </c>
      <c r="AZ267" s="15">
        <v>50</v>
      </c>
      <c r="BA267" s="15">
        <v>72</v>
      </c>
      <c r="BB267" s="15"/>
      <c r="BC267" s="15"/>
      <c r="BD267" s="15"/>
      <c r="BE267" s="18" t="s">
        <v>664</v>
      </c>
    </row>
    <row r="268" spans="1:57">
      <c r="A268" s="13" t="s">
        <v>665</v>
      </c>
      <c r="B268" s="13" t="s">
        <v>649</v>
      </c>
      <c r="C268" s="14">
        <v>44601</v>
      </c>
      <c r="D268" s="15" t="s">
        <v>666</v>
      </c>
      <c r="E268" s="15" t="s">
        <v>667</v>
      </c>
      <c r="F268" s="16">
        <v>0.30208333333333331</v>
      </c>
      <c r="G268" s="15" t="s">
        <v>68</v>
      </c>
      <c r="H268" s="17"/>
      <c r="I268" s="17"/>
      <c r="J268" s="15" t="s">
        <v>71</v>
      </c>
      <c r="K268" s="15"/>
      <c r="L268" s="15"/>
      <c r="M268" s="15"/>
      <c r="N268" s="15"/>
      <c r="O268" s="15"/>
      <c r="P268" s="15"/>
      <c r="Q268" s="15"/>
      <c r="R268" s="15"/>
      <c r="S268" s="15"/>
      <c r="T268" s="15"/>
      <c r="U268" s="15"/>
      <c r="V268" s="15"/>
      <c r="W268" s="15"/>
      <c r="X268" s="15"/>
      <c r="Y268" s="15"/>
      <c r="Z268" s="15"/>
      <c r="AA268" s="15">
        <v>24</v>
      </c>
      <c r="AB268" s="15"/>
      <c r="AC268" s="15"/>
      <c r="AD268" s="15"/>
      <c r="AE268" s="15"/>
      <c r="AF268" s="15"/>
      <c r="AG268" s="15"/>
      <c r="AH268" s="15">
        <v>10</v>
      </c>
      <c r="AI268" s="15"/>
      <c r="AJ268" s="15"/>
      <c r="AK268" s="15"/>
      <c r="AL268" s="15"/>
      <c r="AM268" s="15"/>
      <c r="AN268" s="15"/>
      <c r="AO268" s="15"/>
      <c r="AP268" s="15"/>
      <c r="AQ268" s="15"/>
      <c r="AR268" s="15"/>
      <c r="AS268" s="15"/>
      <c r="AT268" s="15"/>
      <c r="AU268" s="15"/>
      <c r="AV268" s="15"/>
      <c r="AW268" s="15"/>
      <c r="AX268" s="15"/>
      <c r="AY268" s="15"/>
      <c r="AZ268" s="15">
        <v>1</v>
      </c>
      <c r="BA268" s="15"/>
      <c r="BB268" s="15"/>
      <c r="BC268" s="15"/>
      <c r="BD268" s="15"/>
      <c r="BE268" s="19"/>
    </row>
    <row r="269" spans="1:57" ht="39">
      <c r="A269" s="62" t="s">
        <v>668</v>
      </c>
      <c r="B269" s="62" t="s">
        <v>649</v>
      </c>
      <c r="C269" s="14">
        <v>44596</v>
      </c>
      <c r="D269" s="15" t="s">
        <v>669</v>
      </c>
      <c r="E269" s="15" t="s">
        <v>644</v>
      </c>
      <c r="F269" s="16">
        <v>0.29166666666666669</v>
      </c>
      <c r="G269" s="15" t="s">
        <v>83</v>
      </c>
      <c r="H269" s="15" t="s">
        <v>109</v>
      </c>
      <c r="I269" s="15" t="s">
        <v>70</v>
      </c>
      <c r="J269" s="15" t="s">
        <v>71</v>
      </c>
      <c r="K269" s="15">
        <v>1</v>
      </c>
      <c r="L269" s="15"/>
      <c r="M269" s="15">
        <v>4</v>
      </c>
      <c r="N269" s="15">
        <v>4</v>
      </c>
      <c r="O269" s="15"/>
      <c r="P269" s="15"/>
      <c r="Q269" s="15"/>
      <c r="R269" s="15"/>
      <c r="S269" s="15"/>
      <c r="T269" s="15"/>
      <c r="U269" s="15">
        <v>5</v>
      </c>
      <c r="V269" s="15"/>
      <c r="W269" s="15"/>
      <c r="X269" s="15">
        <v>4</v>
      </c>
      <c r="Y269" s="15"/>
      <c r="Z269" s="15">
        <v>10</v>
      </c>
      <c r="AA269" s="15">
        <v>3</v>
      </c>
      <c r="AB269" s="15">
        <v>9</v>
      </c>
      <c r="AC269" s="15"/>
      <c r="AD269" s="15"/>
      <c r="AE269" s="15"/>
      <c r="AF269" s="15"/>
      <c r="AG269" s="15"/>
      <c r="AH269" s="15">
        <v>3</v>
      </c>
      <c r="AI269" s="15"/>
      <c r="AJ269" s="15"/>
      <c r="AK269" s="15"/>
      <c r="AL269" s="15"/>
      <c r="AM269" s="15">
        <v>52</v>
      </c>
      <c r="AN269" s="15"/>
      <c r="AO269" s="15"/>
      <c r="AP269" s="15">
        <v>2</v>
      </c>
      <c r="AQ269" s="15">
        <v>2</v>
      </c>
      <c r="AR269" s="15"/>
      <c r="AS269" s="15">
        <v>40</v>
      </c>
      <c r="AT269" s="15"/>
      <c r="AU269" s="15"/>
      <c r="AV269" s="15"/>
      <c r="AW269" s="15">
        <v>5</v>
      </c>
      <c r="AX269" s="15">
        <v>128</v>
      </c>
      <c r="AY269" s="15">
        <v>1</v>
      </c>
      <c r="AZ269" s="15">
        <v>20</v>
      </c>
      <c r="BA269" s="15">
        <v>24</v>
      </c>
      <c r="BB269" s="15"/>
      <c r="BC269" s="15"/>
      <c r="BD269" s="15"/>
      <c r="BE269" s="18" t="s">
        <v>670</v>
      </c>
    </row>
    <row r="270" spans="1:57" ht="31.5">
      <c r="A270" s="13" t="s">
        <v>671</v>
      </c>
      <c r="B270" s="13" t="s">
        <v>649</v>
      </c>
      <c r="C270" s="14">
        <v>44596</v>
      </c>
      <c r="D270" s="15" t="s">
        <v>672</v>
      </c>
      <c r="E270" s="15" t="s">
        <v>673</v>
      </c>
      <c r="F270" s="16">
        <v>0.37847222222222221</v>
      </c>
      <c r="G270" s="15" t="s">
        <v>83</v>
      </c>
      <c r="H270" s="15" t="s">
        <v>109</v>
      </c>
      <c r="I270" s="15" t="s">
        <v>70</v>
      </c>
      <c r="J270" s="15" t="s">
        <v>71</v>
      </c>
      <c r="K270" s="15"/>
      <c r="L270" s="15"/>
      <c r="M270" s="15">
        <v>12</v>
      </c>
      <c r="N270" s="15">
        <v>11</v>
      </c>
      <c r="O270" s="15"/>
      <c r="P270" s="15"/>
      <c r="Q270" s="15">
        <v>19</v>
      </c>
      <c r="R270" s="15"/>
      <c r="S270" s="15"/>
      <c r="T270" s="15"/>
      <c r="U270" s="15">
        <v>60</v>
      </c>
      <c r="V270" s="15"/>
      <c r="W270" s="15"/>
      <c r="X270" s="15"/>
      <c r="Y270" s="15"/>
      <c r="Z270" s="15">
        <v>12</v>
      </c>
      <c r="AA270" s="15">
        <v>180</v>
      </c>
      <c r="AB270" s="15">
        <v>15</v>
      </c>
      <c r="AC270" s="15"/>
      <c r="AD270" s="15"/>
      <c r="AE270" s="15"/>
      <c r="AF270" s="15">
        <v>9</v>
      </c>
      <c r="AG270" s="15"/>
      <c r="AH270" s="15">
        <v>9</v>
      </c>
      <c r="AI270" s="15">
        <v>7</v>
      </c>
      <c r="AJ270" s="15"/>
      <c r="AK270" s="15"/>
      <c r="AL270" s="15"/>
      <c r="AM270" s="15"/>
      <c r="AN270" s="15"/>
      <c r="AO270" s="15"/>
      <c r="AP270" s="15"/>
      <c r="AQ270" s="15"/>
      <c r="AR270" s="15"/>
      <c r="AS270" s="15"/>
      <c r="AT270" s="15"/>
      <c r="AU270" s="15"/>
      <c r="AV270" s="15"/>
      <c r="AW270" s="15"/>
      <c r="AX270" s="15">
        <v>2</v>
      </c>
      <c r="AY270" s="15"/>
      <c r="AZ270" s="15">
        <v>1</v>
      </c>
      <c r="BA270" s="15" t="s">
        <v>674</v>
      </c>
      <c r="BB270" s="15"/>
      <c r="BC270" s="15"/>
      <c r="BD270" s="15"/>
      <c r="BE270" s="18"/>
    </row>
    <row r="271" spans="1:57">
      <c r="A271" s="13" t="s">
        <v>675</v>
      </c>
      <c r="B271" s="13" t="s">
        <v>649</v>
      </c>
      <c r="C271" s="14">
        <v>44601</v>
      </c>
      <c r="D271" s="15" t="s">
        <v>676</v>
      </c>
      <c r="E271" s="15" t="s">
        <v>677</v>
      </c>
      <c r="F271" s="16">
        <v>0.3263888888888889</v>
      </c>
      <c r="G271" s="15" t="s">
        <v>78</v>
      </c>
      <c r="H271" s="15" t="s">
        <v>123</v>
      </c>
      <c r="I271" s="15" t="s">
        <v>70</v>
      </c>
      <c r="J271" s="15" t="s">
        <v>71</v>
      </c>
      <c r="K271" s="15">
        <v>2</v>
      </c>
      <c r="L271" s="15"/>
      <c r="M271" s="15">
        <v>19</v>
      </c>
      <c r="N271" s="15"/>
      <c r="O271" s="15"/>
      <c r="P271" s="15"/>
      <c r="Q271" s="15"/>
      <c r="R271" s="15"/>
      <c r="S271" s="15"/>
      <c r="T271" s="15"/>
      <c r="U271" s="15"/>
      <c r="V271" s="15"/>
      <c r="W271" s="15"/>
      <c r="X271" s="15"/>
      <c r="Y271" s="15"/>
      <c r="Z271" s="15">
        <v>32</v>
      </c>
      <c r="AA271" s="17">
        <f>2+8+9+3+10+14</f>
        <v>46</v>
      </c>
      <c r="AB271" s="15"/>
      <c r="AC271" s="15"/>
      <c r="AD271" s="15"/>
      <c r="AE271" s="15"/>
      <c r="AF271" s="15"/>
      <c r="AG271" s="15"/>
      <c r="AH271" s="17">
        <f>2+45+70+50+2+10</f>
        <v>179</v>
      </c>
      <c r="AI271" s="15"/>
      <c r="AJ271" s="15"/>
      <c r="AK271" s="15"/>
      <c r="AL271" s="15"/>
      <c r="AM271" s="15"/>
      <c r="AN271" s="15"/>
      <c r="AO271" s="15"/>
      <c r="AP271" s="15">
        <v>1</v>
      </c>
      <c r="AQ271" s="15"/>
      <c r="AR271" s="15"/>
      <c r="AS271" s="15">
        <v>13</v>
      </c>
      <c r="AT271" s="15">
        <v>263</v>
      </c>
      <c r="AU271" s="15"/>
      <c r="AV271" s="15"/>
      <c r="AW271" s="15"/>
      <c r="AX271" s="15">
        <v>526</v>
      </c>
      <c r="AY271" s="15">
        <v>1</v>
      </c>
      <c r="AZ271" s="15">
        <v>11</v>
      </c>
      <c r="BA271" s="15">
        <v>11</v>
      </c>
      <c r="BB271" s="15"/>
      <c r="BC271" s="15"/>
      <c r="BD271" s="15"/>
      <c r="BE271" s="18" t="s">
        <v>678</v>
      </c>
    </row>
    <row r="272" spans="1:57">
      <c r="A272" s="13" t="s">
        <v>679</v>
      </c>
      <c r="B272" s="13" t="s">
        <v>649</v>
      </c>
      <c r="C272" s="14">
        <v>44234</v>
      </c>
      <c r="D272" s="15" t="s">
        <v>680</v>
      </c>
      <c r="E272" s="15" t="s">
        <v>681</v>
      </c>
      <c r="F272" s="16">
        <v>0.38194444444444442</v>
      </c>
      <c r="G272" s="15" t="s">
        <v>78</v>
      </c>
      <c r="H272" s="15" t="s">
        <v>127</v>
      </c>
      <c r="I272" s="15" t="s">
        <v>70</v>
      </c>
      <c r="J272" s="15" t="s">
        <v>71</v>
      </c>
      <c r="K272" s="15">
        <v>4</v>
      </c>
      <c r="L272" s="15"/>
      <c r="M272" s="15">
        <v>10</v>
      </c>
      <c r="N272" s="15">
        <v>43</v>
      </c>
      <c r="O272" s="15"/>
      <c r="P272" s="15"/>
      <c r="Q272" s="15"/>
      <c r="R272" s="15"/>
      <c r="S272" s="15"/>
      <c r="T272" s="15"/>
      <c r="U272" s="15"/>
      <c r="V272" s="15">
        <v>30</v>
      </c>
      <c r="W272" s="15">
        <v>10</v>
      </c>
      <c r="X272" s="15"/>
      <c r="Y272" s="15"/>
      <c r="Z272" s="15">
        <v>7</v>
      </c>
      <c r="AA272" s="15">
        <v>27</v>
      </c>
      <c r="AB272" s="15">
        <v>22</v>
      </c>
      <c r="AC272" s="15"/>
      <c r="AD272" s="15"/>
      <c r="AE272" s="15">
        <v>5</v>
      </c>
      <c r="AF272" s="15">
        <v>16</v>
      </c>
      <c r="AG272" s="15"/>
      <c r="AH272" s="15">
        <v>13</v>
      </c>
      <c r="AI272" s="15"/>
      <c r="AJ272" s="15"/>
      <c r="AK272" s="17"/>
      <c r="AL272" s="17"/>
      <c r="AM272" s="15">
        <v>102</v>
      </c>
      <c r="AN272" s="15"/>
      <c r="AO272" s="15"/>
      <c r="AP272" s="15"/>
      <c r="AQ272" s="15"/>
      <c r="AR272" s="15"/>
      <c r="AS272" s="15"/>
      <c r="AT272" s="15">
        <v>6</v>
      </c>
      <c r="AU272" s="15"/>
      <c r="AV272" s="15"/>
      <c r="AW272" s="15"/>
      <c r="AX272" s="15">
        <v>64</v>
      </c>
      <c r="AY272" s="15"/>
      <c r="AZ272" s="15">
        <v>21</v>
      </c>
      <c r="BA272" s="17"/>
      <c r="BB272" s="17"/>
      <c r="BC272" s="17"/>
      <c r="BD272" s="17"/>
      <c r="BE272" s="18"/>
    </row>
    <row r="273" spans="1:57">
      <c r="A273" s="13" t="s">
        <v>682</v>
      </c>
      <c r="B273" s="13" t="s">
        <v>649</v>
      </c>
      <c r="C273" s="14">
        <v>44599</v>
      </c>
      <c r="D273" s="15" t="s">
        <v>659</v>
      </c>
      <c r="E273" s="15" t="s">
        <v>660</v>
      </c>
      <c r="F273" s="16">
        <v>0.33680555555555558</v>
      </c>
      <c r="G273" s="15" t="s">
        <v>78</v>
      </c>
      <c r="H273" s="15" t="s">
        <v>109</v>
      </c>
      <c r="I273" s="15" t="s">
        <v>70</v>
      </c>
      <c r="J273" s="15" t="s">
        <v>71</v>
      </c>
      <c r="K273" s="15"/>
      <c r="L273" s="15"/>
      <c r="M273" s="15">
        <v>5</v>
      </c>
      <c r="N273" s="15">
        <v>13</v>
      </c>
      <c r="O273" s="15"/>
      <c r="P273" s="15"/>
      <c r="Q273" s="15"/>
      <c r="R273" s="15"/>
      <c r="S273" s="15"/>
      <c r="T273" s="15"/>
      <c r="U273" s="15">
        <v>31</v>
      </c>
      <c r="V273" s="15"/>
      <c r="W273" s="15">
        <v>5</v>
      </c>
      <c r="X273" s="15"/>
      <c r="Y273" s="15"/>
      <c r="Z273" s="15"/>
      <c r="AA273" s="15">
        <v>2</v>
      </c>
      <c r="AB273" s="15">
        <v>8</v>
      </c>
      <c r="AC273" s="15"/>
      <c r="AD273" s="15"/>
      <c r="AE273" s="15"/>
      <c r="AF273" s="15"/>
      <c r="AG273" s="15"/>
      <c r="AH273" s="15">
        <v>11</v>
      </c>
      <c r="AI273" s="15"/>
      <c r="AJ273" s="15"/>
      <c r="AK273" s="15"/>
      <c r="AL273" s="15"/>
      <c r="AM273" s="15">
        <v>22</v>
      </c>
      <c r="AN273" s="15"/>
      <c r="AO273" s="15"/>
      <c r="AP273" s="15">
        <v>2</v>
      </c>
      <c r="AQ273" s="15"/>
      <c r="AR273" s="15"/>
      <c r="AS273" s="15">
        <v>9</v>
      </c>
      <c r="AT273" s="15"/>
      <c r="AU273" s="15"/>
      <c r="AV273" s="15"/>
      <c r="AW273" s="15"/>
      <c r="AX273" s="15">
        <v>35</v>
      </c>
      <c r="AY273" s="15"/>
      <c r="AZ273" s="15">
        <v>9</v>
      </c>
      <c r="BA273" s="15">
        <v>2</v>
      </c>
      <c r="BB273" s="15"/>
      <c r="BC273" s="15"/>
      <c r="BD273" s="15"/>
      <c r="BE273" s="19"/>
    </row>
    <row r="274" spans="1:57">
      <c r="A274" s="13" t="s">
        <v>683</v>
      </c>
      <c r="B274" s="13" t="s">
        <v>649</v>
      </c>
      <c r="C274" s="14">
        <v>44601</v>
      </c>
      <c r="D274" s="15" t="s">
        <v>684</v>
      </c>
      <c r="E274" s="15" t="s">
        <v>663</v>
      </c>
      <c r="F274" s="16">
        <v>0.3611111111111111</v>
      </c>
      <c r="G274" s="15" t="s">
        <v>78</v>
      </c>
      <c r="H274" s="15" t="s">
        <v>109</v>
      </c>
      <c r="I274" s="15" t="s">
        <v>70</v>
      </c>
      <c r="J274" s="15" t="s">
        <v>71</v>
      </c>
      <c r="K274" s="15"/>
      <c r="L274" s="15"/>
      <c r="M274" s="15">
        <v>15</v>
      </c>
      <c r="N274" s="15">
        <v>102</v>
      </c>
      <c r="O274" s="15"/>
      <c r="P274" s="15"/>
      <c r="Q274" s="15">
        <v>45</v>
      </c>
      <c r="R274" s="15"/>
      <c r="S274" s="15"/>
      <c r="T274" s="15"/>
      <c r="U274" s="15">
        <v>69</v>
      </c>
      <c r="V274" s="15"/>
      <c r="W274" s="15"/>
      <c r="X274" s="15">
        <v>32</v>
      </c>
      <c r="Y274" s="15">
        <v>158</v>
      </c>
      <c r="Z274" s="15">
        <v>41</v>
      </c>
      <c r="AA274" s="15">
        <v>58</v>
      </c>
      <c r="AB274" s="15">
        <v>41</v>
      </c>
      <c r="AC274" s="15"/>
      <c r="AD274" s="15">
        <v>1</v>
      </c>
      <c r="AE274" s="15"/>
      <c r="AF274" s="15">
        <v>12</v>
      </c>
      <c r="AG274" s="15"/>
      <c r="AH274" s="15">
        <v>59</v>
      </c>
      <c r="AI274" s="15">
        <v>8</v>
      </c>
      <c r="AJ274" s="15"/>
      <c r="AK274" s="15"/>
      <c r="AL274" s="15"/>
      <c r="AM274" s="15"/>
      <c r="AN274" s="15"/>
      <c r="AO274" s="15"/>
      <c r="AP274" s="15">
        <v>4</v>
      </c>
      <c r="AQ274" s="15">
        <v>9</v>
      </c>
      <c r="AR274" s="15"/>
      <c r="AS274" s="15">
        <v>2</v>
      </c>
      <c r="AT274" s="15">
        <v>5</v>
      </c>
      <c r="AU274" s="15"/>
      <c r="AV274" s="15"/>
      <c r="AW274" s="15">
        <v>5</v>
      </c>
      <c r="AX274" s="15">
        <v>32</v>
      </c>
      <c r="AY274" s="15"/>
      <c r="AZ274" s="15">
        <v>5</v>
      </c>
      <c r="BA274" s="15">
        <v>123</v>
      </c>
      <c r="BB274" s="15"/>
      <c r="BC274" s="15"/>
      <c r="BD274" s="15">
        <v>5</v>
      </c>
      <c r="BE274" s="18"/>
    </row>
    <row r="275" spans="1:57" ht="31.5">
      <c r="A275" s="13" t="s">
        <v>685</v>
      </c>
      <c r="B275" s="13" t="s">
        <v>649</v>
      </c>
      <c r="C275" s="14">
        <v>44601</v>
      </c>
      <c r="D275" s="15" t="s">
        <v>686</v>
      </c>
      <c r="E275" s="15" t="s">
        <v>687</v>
      </c>
      <c r="F275" s="16">
        <v>0.37569444444444444</v>
      </c>
      <c r="G275" s="15" t="s">
        <v>78</v>
      </c>
      <c r="H275" s="15" t="s">
        <v>109</v>
      </c>
      <c r="I275" s="15" t="s">
        <v>70</v>
      </c>
      <c r="J275" s="15" t="s">
        <v>71</v>
      </c>
      <c r="K275" s="17"/>
      <c r="L275" s="17"/>
      <c r="M275" s="15">
        <v>2</v>
      </c>
      <c r="N275" s="17"/>
      <c r="O275" s="17"/>
      <c r="P275" s="17"/>
      <c r="Q275" s="17"/>
      <c r="R275" s="17"/>
      <c r="S275" s="17"/>
      <c r="T275" s="17"/>
      <c r="U275" s="17"/>
      <c r="V275" s="17"/>
      <c r="W275" s="17"/>
      <c r="X275" s="17"/>
      <c r="Y275" s="17"/>
      <c r="Z275" s="17"/>
      <c r="AA275" s="15">
        <v>160</v>
      </c>
      <c r="AB275" s="17"/>
      <c r="AC275" s="17"/>
      <c r="AD275" s="17"/>
      <c r="AE275" s="17"/>
      <c r="AF275" s="17"/>
      <c r="AG275" s="17"/>
      <c r="AH275" s="15">
        <v>3</v>
      </c>
      <c r="AI275" s="17"/>
      <c r="AJ275" s="17"/>
      <c r="AK275" s="17"/>
      <c r="AL275" s="17"/>
      <c r="AM275" s="17"/>
      <c r="AN275" s="17"/>
      <c r="AO275" s="17"/>
      <c r="AP275" s="17"/>
      <c r="AQ275" s="17"/>
      <c r="AR275" s="17"/>
      <c r="AS275" s="17"/>
      <c r="AT275" s="15">
        <v>3</v>
      </c>
      <c r="AU275" s="17"/>
      <c r="AV275" s="17"/>
      <c r="AW275" s="15">
        <v>1</v>
      </c>
      <c r="AX275" s="15">
        <v>21</v>
      </c>
      <c r="AY275" s="15">
        <v>1</v>
      </c>
      <c r="AZ275" s="15">
        <v>16</v>
      </c>
      <c r="BA275" s="15">
        <v>30</v>
      </c>
      <c r="BB275" s="15">
        <v>3</v>
      </c>
      <c r="BC275" s="17"/>
      <c r="BD275" s="17"/>
      <c r="BE275" s="18"/>
    </row>
    <row r="276" spans="1:57">
      <c r="A276" s="13" t="s">
        <v>688</v>
      </c>
      <c r="B276" s="13" t="s">
        <v>649</v>
      </c>
      <c r="C276" s="14">
        <v>44601</v>
      </c>
      <c r="D276" s="15" t="s">
        <v>686</v>
      </c>
      <c r="E276" s="15" t="s">
        <v>687</v>
      </c>
      <c r="F276" s="16">
        <v>0.41111111111111109</v>
      </c>
      <c r="G276" s="15" t="s">
        <v>78</v>
      </c>
      <c r="H276" s="15" t="s">
        <v>109</v>
      </c>
      <c r="I276" s="15" t="s">
        <v>70</v>
      </c>
      <c r="J276" s="15" t="s">
        <v>71</v>
      </c>
      <c r="K276" s="17"/>
      <c r="L276" s="17"/>
      <c r="M276" s="15">
        <v>14</v>
      </c>
      <c r="N276" s="17"/>
      <c r="O276" s="17"/>
      <c r="P276" s="17"/>
      <c r="Q276" s="17"/>
      <c r="R276" s="17"/>
      <c r="S276" s="17"/>
      <c r="T276" s="17"/>
      <c r="U276" s="17"/>
      <c r="V276" s="17"/>
      <c r="W276" s="17"/>
      <c r="X276" s="17"/>
      <c r="Y276" s="15">
        <v>1</v>
      </c>
      <c r="Z276" s="15">
        <v>21</v>
      </c>
      <c r="AA276" s="15">
        <v>94</v>
      </c>
      <c r="AB276" s="17"/>
      <c r="AC276" s="17"/>
      <c r="AD276" s="17"/>
      <c r="AE276" s="17"/>
      <c r="AF276" s="17"/>
      <c r="AG276" s="17"/>
      <c r="AH276" s="15">
        <v>67</v>
      </c>
      <c r="AI276" s="17"/>
      <c r="AJ276" s="17"/>
      <c r="AK276" s="17"/>
      <c r="AL276" s="17"/>
      <c r="AM276" s="17"/>
      <c r="AN276" s="17"/>
      <c r="AO276" s="17"/>
      <c r="AP276" s="17"/>
      <c r="AQ276" s="17"/>
      <c r="AR276" s="17"/>
      <c r="AS276" s="17"/>
      <c r="AT276" s="15">
        <v>1</v>
      </c>
      <c r="AU276" s="17"/>
      <c r="AV276" s="17"/>
      <c r="AW276" s="15">
        <v>1</v>
      </c>
      <c r="AX276" s="15">
        <v>5</v>
      </c>
      <c r="AY276" s="15">
        <v>3</v>
      </c>
      <c r="AZ276" s="15">
        <v>12</v>
      </c>
      <c r="BA276" s="15">
        <v>6</v>
      </c>
      <c r="BB276" s="15">
        <v>1</v>
      </c>
      <c r="BC276" s="17"/>
      <c r="BD276" s="17"/>
      <c r="BE276" s="18"/>
    </row>
    <row r="277" spans="1:57">
      <c r="A277" s="13" t="s">
        <v>689</v>
      </c>
      <c r="B277" s="13" t="s">
        <v>649</v>
      </c>
      <c r="C277" s="14">
        <v>44596</v>
      </c>
      <c r="D277" s="15" t="s">
        <v>676</v>
      </c>
      <c r="E277" s="15" t="s">
        <v>677</v>
      </c>
      <c r="F277" s="16">
        <v>0.67361111111111116</v>
      </c>
      <c r="G277" s="15" t="s">
        <v>83</v>
      </c>
      <c r="H277" s="15" t="s">
        <v>69</v>
      </c>
      <c r="I277" s="15" t="s">
        <v>70</v>
      </c>
      <c r="J277" s="15" t="s">
        <v>71</v>
      </c>
      <c r="K277" s="15"/>
      <c r="L277" s="15"/>
      <c r="M277" s="15"/>
      <c r="N277" s="15"/>
      <c r="O277" s="15"/>
      <c r="P277" s="15"/>
      <c r="Q277" s="15"/>
      <c r="R277" s="15"/>
      <c r="S277" s="15"/>
      <c r="T277" s="15"/>
      <c r="U277" s="15"/>
      <c r="V277" s="15"/>
      <c r="W277" s="15"/>
      <c r="X277" s="15"/>
      <c r="Y277" s="15"/>
      <c r="Z277" s="15"/>
      <c r="AA277" s="15">
        <v>11</v>
      </c>
      <c r="AB277" s="15"/>
      <c r="AC277" s="15"/>
      <c r="AD277" s="15"/>
      <c r="AE277" s="15">
        <v>1</v>
      </c>
      <c r="AF277" s="15"/>
      <c r="AG277" s="15"/>
      <c r="AH277" s="15">
        <v>1</v>
      </c>
      <c r="AI277" s="15"/>
      <c r="AJ277" s="15"/>
      <c r="AK277" s="15"/>
      <c r="AL277" s="15">
        <v>4</v>
      </c>
      <c r="AM277" s="15"/>
      <c r="AN277" s="15"/>
      <c r="AO277" s="15"/>
      <c r="AP277" s="15">
        <v>1</v>
      </c>
      <c r="AQ277" s="15"/>
      <c r="AR277" s="15"/>
      <c r="AS277" s="15">
        <v>23</v>
      </c>
      <c r="AT277" s="15"/>
      <c r="AU277" s="15"/>
      <c r="AV277" s="15"/>
      <c r="AW277" s="15"/>
      <c r="AX277" s="15">
        <v>1</v>
      </c>
      <c r="AY277" s="15"/>
      <c r="AZ277" s="15">
        <v>1</v>
      </c>
      <c r="BA277" s="15">
        <v>1</v>
      </c>
      <c r="BB277" s="15"/>
      <c r="BC277" s="15"/>
      <c r="BD277" s="15"/>
      <c r="BE277" s="18" t="s">
        <v>690</v>
      </c>
    </row>
    <row r="278" spans="1:57" ht="31.5">
      <c r="A278" s="13" t="s">
        <v>691</v>
      </c>
      <c r="B278" s="13" t="s">
        <v>649</v>
      </c>
      <c r="C278" s="14">
        <v>44599</v>
      </c>
      <c r="D278" s="15" t="s">
        <v>406</v>
      </c>
      <c r="E278" s="15" t="s">
        <v>692</v>
      </c>
      <c r="F278" s="16">
        <v>0.31597222222222221</v>
      </c>
      <c r="G278" s="15" t="s">
        <v>78</v>
      </c>
      <c r="H278" s="15" t="s">
        <v>69</v>
      </c>
      <c r="I278" s="15" t="s">
        <v>70</v>
      </c>
      <c r="J278" s="15" t="s">
        <v>71</v>
      </c>
      <c r="K278" s="15"/>
      <c r="L278" s="15"/>
      <c r="M278" s="15">
        <v>20</v>
      </c>
      <c r="N278" s="15"/>
      <c r="O278" s="15"/>
      <c r="P278" s="15"/>
      <c r="Q278" s="15"/>
      <c r="R278" s="15"/>
      <c r="S278" s="15"/>
      <c r="T278" s="15"/>
      <c r="U278" s="15"/>
      <c r="V278" s="15"/>
      <c r="W278" s="15"/>
      <c r="X278" s="15"/>
      <c r="Y278" s="15">
        <v>11</v>
      </c>
      <c r="Z278" s="15">
        <v>15</v>
      </c>
      <c r="AA278" s="15">
        <v>75</v>
      </c>
      <c r="AB278" s="15"/>
      <c r="AC278" s="15"/>
      <c r="AD278" s="15"/>
      <c r="AE278" s="15"/>
      <c r="AF278" s="15"/>
      <c r="AG278" s="15">
        <v>1</v>
      </c>
      <c r="AH278" s="15">
        <v>62</v>
      </c>
      <c r="AI278" s="15"/>
      <c r="AJ278" s="15"/>
      <c r="AK278" s="15"/>
      <c r="AL278" s="15"/>
      <c r="AM278" s="15">
        <v>235</v>
      </c>
      <c r="AN278" s="15"/>
      <c r="AO278" s="15"/>
      <c r="AP278" s="15">
        <v>1</v>
      </c>
      <c r="AQ278" s="15"/>
      <c r="AR278" s="15"/>
      <c r="AS278" s="15"/>
      <c r="AT278" s="15"/>
      <c r="AU278" s="15"/>
      <c r="AV278" s="15"/>
      <c r="AW278" s="15">
        <v>3</v>
      </c>
      <c r="AX278" s="15">
        <v>159</v>
      </c>
      <c r="AY278" s="15">
        <v>6</v>
      </c>
      <c r="AZ278" s="15">
        <v>34</v>
      </c>
      <c r="BA278" s="15">
        <v>100</v>
      </c>
      <c r="BB278" s="15">
        <v>6</v>
      </c>
      <c r="BC278" s="15"/>
      <c r="BD278" s="15"/>
      <c r="BE278" s="18"/>
    </row>
    <row r="279" spans="1:57" ht="26.25">
      <c r="A279" s="13" t="s">
        <v>693</v>
      </c>
      <c r="B279" s="13" t="s">
        <v>649</v>
      </c>
      <c r="C279" s="14">
        <v>44599</v>
      </c>
      <c r="D279" s="15" t="s">
        <v>676</v>
      </c>
      <c r="E279" s="15" t="s">
        <v>677</v>
      </c>
      <c r="F279" s="16">
        <v>0.29166666666666669</v>
      </c>
      <c r="G279" s="15" t="s">
        <v>78</v>
      </c>
      <c r="H279" s="15" t="s">
        <v>69</v>
      </c>
      <c r="I279" s="15" t="s">
        <v>70</v>
      </c>
      <c r="J279" s="15" t="s">
        <v>71</v>
      </c>
      <c r="K279" s="15">
        <v>2</v>
      </c>
      <c r="L279" s="15"/>
      <c r="M279" s="15">
        <v>27</v>
      </c>
      <c r="N279" s="15">
        <v>159</v>
      </c>
      <c r="O279" s="15"/>
      <c r="P279" s="15"/>
      <c r="Q279" s="15"/>
      <c r="R279" s="15"/>
      <c r="S279" s="15"/>
      <c r="T279" s="15"/>
      <c r="U279" s="15">
        <v>61</v>
      </c>
      <c r="V279" s="15"/>
      <c r="W279" s="15">
        <v>9</v>
      </c>
      <c r="X279" s="15"/>
      <c r="Y279" s="15"/>
      <c r="Z279" s="15">
        <v>2</v>
      </c>
      <c r="AA279" s="15">
        <v>17</v>
      </c>
      <c r="AB279" s="15">
        <v>15</v>
      </c>
      <c r="AC279" s="15">
        <v>400</v>
      </c>
      <c r="AD279" s="15"/>
      <c r="AE279" s="15"/>
      <c r="AF279" s="15"/>
      <c r="AG279" s="15"/>
      <c r="AH279" s="15">
        <v>21</v>
      </c>
      <c r="AI279" s="15"/>
      <c r="AJ279" s="15"/>
      <c r="AK279" s="15"/>
      <c r="AL279" s="15"/>
      <c r="AM279" s="15">
        <v>116</v>
      </c>
      <c r="AN279" s="15"/>
      <c r="AO279" s="15"/>
      <c r="AP279" s="15"/>
      <c r="AQ279" s="15">
        <v>1</v>
      </c>
      <c r="AR279" s="15"/>
      <c r="AS279" s="15"/>
      <c r="AT279" s="15">
        <v>4</v>
      </c>
      <c r="AU279" s="15"/>
      <c r="AV279" s="15"/>
      <c r="AW279" s="15"/>
      <c r="AX279" s="15">
        <v>400</v>
      </c>
      <c r="AY279" s="15"/>
      <c r="AZ279" s="15">
        <v>34</v>
      </c>
      <c r="BA279" s="15">
        <v>2</v>
      </c>
      <c r="BB279" s="15"/>
      <c r="BC279" s="15"/>
      <c r="BD279" s="15">
        <v>2</v>
      </c>
      <c r="BE279" s="18" t="s">
        <v>694</v>
      </c>
    </row>
    <row r="280" spans="1:57">
      <c r="A280" s="13" t="s">
        <v>695</v>
      </c>
      <c r="B280" s="13" t="s">
        <v>649</v>
      </c>
      <c r="C280" s="14">
        <v>44601</v>
      </c>
      <c r="D280" s="15" t="s">
        <v>666</v>
      </c>
      <c r="E280" s="15" t="s">
        <v>667</v>
      </c>
      <c r="F280" s="16">
        <v>0.32291666666666669</v>
      </c>
      <c r="G280" s="15" t="s">
        <v>78</v>
      </c>
      <c r="H280" s="17"/>
      <c r="I280" s="17"/>
      <c r="J280" s="15" t="s">
        <v>71</v>
      </c>
      <c r="K280" s="15">
        <v>2</v>
      </c>
      <c r="L280" s="15"/>
      <c r="M280" s="15">
        <v>42</v>
      </c>
      <c r="N280" s="15">
        <v>57</v>
      </c>
      <c r="O280" s="15">
        <v>1</v>
      </c>
      <c r="P280" s="15"/>
      <c r="Q280" s="15">
        <v>21</v>
      </c>
      <c r="R280" s="15"/>
      <c r="S280" s="15"/>
      <c r="T280" s="15"/>
      <c r="U280" s="15"/>
      <c r="V280" s="15"/>
      <c r="W280" s="15"/>
      <c r="X280" s="15">
        <v>42</v>
      </c>
      <c r="Y280" s="15">
        <v>37</v>
      </c>
      <c r="Z280" s="15">
        <v>3</v>
      </c>
      <c r="AA280" s="15">
        <v>66</v>
      </c>
      <c r="AB280" s="15">
        <v>14</v>
      </c>
      <c r="AC280" s="15"/>
      <c r="AD280" s="15">
        <v>16</v>
      </c>
      <c r="AE280" s="15"/>
      <c r="AF280" s="15">
        <v>50</v>
      </c>
      <c r="AG280" s="15"/>
      <c r="AH280" s="15">
        <v>9</v>
      </c>
      <c r="AI280" s="15">
        <v>12</v>
      </c>
      <c r="AJ280" s="15"/>
      <c r="AK280" s="15"/>
      <c r="AL280" s="15"/>
      <c r="AM280" s="15"/>
      <c r="AN280" s="15"/>
      <c r="AO280" s="15"/>
      <c r="AP280" s="15">
        <v>16</v>
      </c>
      <c r="AQ280" s="15"/>
      <c r="AR280" s="15"/>
      <c r="AS280" s="15"/>
      <c r="AT280" s="15"/>
      <c r="AU280" s="15"/>
      <c r="AV280" s="15"/>
      <c r="AW280" s="15">
        <v>2</v>
      </c>
      <c r="AX280" s="15">
        <v>2</v>
      </c>
      <c r="AY280" s="15"/>
      <c r="AZ280" s="15">
        <v>4</v>
      </c>
      <c r="BA280" s="15">
        <v>33</v>
      </c>
      <c r="BB280" s="15"/>
      <c r="BC280" s="15"/>
      <c r="BD280" s="15"/>
      <c r="BE280" s="18"/>
    </row>
    <row r="281" spans="1:57">
      <c r="A281" s="13" t="s">
        <v>696</v>
      </c>
      <c r="B281" s="13" t="s">
        <v>649</v>
      </c>
      <c r="C281" s="14">
        <v>44598</v>
      </c>
      <c r="D281" s="15" t="s">
        <v>676</v>
      </c>
      <c r="E281" s="15" t="s">
        <v>677</v>
      </c>
      <c r="F281" s="16">
        <v>0.58333333333333337</v>
      </c>
      <c r="G281" s="15" t="s">
        <v>83</v>
      </c>
      <c r="H281" s="15" t="s">
        <v>109</v>
      </c>
      <c r="I281" s="15" t="s">
        <v>70</v>
      </c>
      <c r="J281" s="15" t="s">
        <v>71</v>
      </c>
      <c r="K281" s="15"/>
      <c r="L281" s="15"/>
      <c r="M281" s="15"/>
      <c r="N281" s="15"/>
      <c r="O281" s="15"/>
      <c r="P281" s="15"/>
      <c r="Q281" s="15"/>
      <c r="R281" s="15"/>
      <c r="S281" s="15"/>
      <c r="T281" s="15"/>
      <c r="U281" s="15"/>
      <c r="V281" s="15"/>
      <c r="W281" s="15"/>
      <c r="X281" s="15"/>
      <c r="Y281" s="15"/>
      <c r="Z281" s="15">
        <v>26</v>
      </c>
      <c r="AA281" s="17">
        <f>5+22+13+2+16+25+35</f>
        <v>118</v>
      </c>
      <c r="AB281" s="15"/>
      <c r="AC281" s="15"/>
      <c r="AD281" s="15"/>
      <c r="AE281" s="15"/>
      <c r="AF281" s="15"/>
      <c r="AG281" s="15"/>
      <c r="AH281" s="17">
        <f>43+75+3+1+1</f>
        <v>123</v>
      </c>
      <c r="AI281" s="15"/>
      <c r="AJ281" s="15"/>
      <c r="AK281" s="15"/>
      <c r="AL281" s="15"/>
      <c r="AM281" s="15"/>
      <c r="AN281" s="15"/>
      <c r="AO281" s="15"/>
      <c r="AP281" s="15">
        <v>5</v>
      </c>
      <c r="AQ281" s="15"/>
      <c r="AR281" s="15"/>
      <c r="AS281" s="15"/>
      <c r="AT281" s="15"/>
      <c r="AU281" s="15"/>
      <c r="AV281" s="15"/>
      <c r="AW281" s="15"/>
      <c r="AX281" s="17">
        <f>5+1+2+2+1+31+5</f>
        <v>47</v>
      </c>
      <c r="AY281" s="15"/>
      <c r="AZ281" s="17">
        <f>11+32+13+31</f>
        <v>87</v>
      </c>
      <c r="BA281" s="15">
        <v>3</v>
      </c>
      <c r="BB281" s="15"/>
      <c r="BC281" s="15"/>
      <c r="BD281" s="15"/>
      <c r="BE281" s="15" t="s">
        <v>697</v>
      </c>
    </row>
    <row r="282" spans="1:57" ht="31.5">
      <c r="A282" s="13" t="s">
        <v>698</v>
      </c>
      <c r="B282" s="13" t="s">
        <v>649</v>
      </c>
      <c r="C282" s="14">
        <v>44596</v>
      </c>
      <c r="D282" s="15" t="s">
        <v>659</v>
      </c>
      <c r="E282" s="15" t="s">
        <v>660</v>
      </c>
      <c r="F282" s="16">
        <v>0.3298611111111111</v>
      </c>
      <c r="G282" s="15" t="s">
        <v>83</v>
      </c>
      <c r="H282" s="15" t="s">
        <v>69</v>
      </c>
      <c r="I282" s="15" t="s">
        <v>70</v>
      </c>
      <c r="J282" s="15" t="s">
        <v>71</v>
      </c>
      <c r="K282" s="15">
        <v>2</v>
      </c>
      <c r="L282" s="17"/>
      <c r="M282" s="17"/>
      <c r="N282" s="17"/>
      <c r="O282" s="17"/>
      <c r="P282" s="17"/>
      <c r="Q282" s="17"/>
      <c r="R282" s="17"/>
      <c r="S282" s="17"/>
      <c r="T282" s="17"/>
      <c r="U282" s="17"/>
      <c r="V282" s="17"/>
      <c r="W282" s="17"/>
      <c r="X282" s="17"/>
      <c r="Y282" s="17"/>
      <c r="Z282" s="15">
        <v>1</v>
      </c>
      <c r="AA282" s="17"/>
      <c r="AB282" s="17"/>
      <c r="AC282" s="17"/>
      <c r="AD282" s="17"/>
      <c r="AE282" s="17"/>
      <c r="AF282" s="17"/>
      <c r="AG282" s="17"/>
      <c r="AH282" s="17"/>
      <c r="AI282" s="17"/>
      <c r="AJ282" s="17"/>
      <c r="AK282" s="17"/>
      <c r="AL282" s="17"/>
      <c r="AM282" s="17"/>
      <c r="AN282" s="17"/>
      <c r="AO282" s="17"/>
      <c r="AP282" s="15">
        <v>4</v>
      </c>
      <c r="AQ282" s="17"/>
      <c r="AR282" s="17"/>
      <c r="AS282" s="17"/>
      <c r="AT282" s="17"/>
      <c r="AU282" s="17"/>
      <c r="AV282" s="17"/>
      <c r="AW282" s="17"/>
      <c r="AX282" s="15">
        <v>42</v>
      </c>
      <c r="AY282" s="17"/>
      <c r="AZ282" s="17"/>
      <c r="BA282" s="17"/>
      <c r="BB282" s="17"/>
      <c r="BC282" s="17"/>
      <c r="BD282" s="17"/>
      <c r="BE282" s="19"/>
    </row>
    <row r="283" spans="1:57">
      <c r="A283" s="13" t="s">
        <v>699</v>
      </c>
      <c r="B283" s="13" t="s">
        <v>649</v>
      </c>
      <c r="C283" s="14">
        <v>44597</v>
      </c>
      <c r="D283" s="15" t="s">
        <v>700</v>
      </c>
      <c r="E283" s="15" t="s">
        <v>701</v>
      </c>
      <c r="F283" s="16">
        <v>0.42708333333333331</v>
      </c>
      <c r="G283" s="15" t="s">
        <v>83</v>
      </c>
      <c r="H283" s="15" t="s">
        <v>69</v>
      </c>
      <c r="I283" s="15" t="s">
        <v>70</v>
      </c>
      <c r="J283" s="15" t="s">
        <v>71</v>
      </c>
      <c r="K283" s="15">
        <v>2</v>
      </c>
      <c r="L283" s="17"/>
      <c r="M283" s="15">
        <v>7</v>
      </c>
      <c r="N283" s="15">
        <v>60</v>
      </c>
      <c r="O283" s="17"/>
      <c r="P283" s="17"/>
      <c r="Q283" s="17"/>
      <c r="R283" s="17"/>
      <c r="S283" s="17"/>
      <c r="T283" s="17"/>
      <c r="U283" s="15">
        <v>28</v>
      </c>
      <c r="V283" s="17"/>
      <c r="W283" s="15">
        <v>2</v>
      </c>
      <c r="X283" s="17"/>
      <c r="Y283" s="17"/>
      <c r="Z283" s="15">
        <v>4</v>
      </c>
      <c r="AA283" s="15">
        <v>1</v>
      </c>
      <c r="AB283" s="15">
        <v>1</v>
      </c>
      <c r="AC283" s="17"/>
      <c r="AD283" s="17"/>
      <c r="AE283" s="17"/>
      <c r="AF283" s="17"/>
      <c r="AG283" s="17"/>
      <c r="AH283" s="15">
        <v>15</v>
      </c>
      <c r="AI283" s="17"/>
      <c r="AJ283" s="17"/>
      <c r="AK283" s="17"/>
      <c r="AL283" s="17"/>
      <c r="AM283" s="17"/>
      <c r="AN283" s="17"/>
      <c r="AO283" s="17"/>
      <c r="AP283" s="17"/>
      <c r="AQ283" s="17"/>
      <c r="AR283" s="17"/>
      <c r="AS283" s="17"/>
      <c r="AT283" s="17"/>
      <c r="AU283" s="17"/>
      <c r="AV283" s="17"/>
      <c r="AW283" s="17"/>
      <c r="AX283" s="15">
        <v>7</v>
      </c>
      <c r="AY283" s="17"/>
      <c r="AZ283" s="17"/>
      <c r="BA283" s="15">
        <v>4</v>
      </c>
      <c r="BB283" s="17"/>
      <c r="BC283" s="17"/>
      <c r="BD283" s="17"/>
      <c r="BE283" s="18"/>
    </row>
    <row r="284" spans="1:57" ht="31.5">
      <c r="A284" s="29" t="s">
        <v>702</v>
      </c>
      <c r="B284" s="63" t="s">
        <v>649</v>
      </c>
      <c r="C284" s="14">
        <v>44597</v>
      </c>
      <c r="D284" s="15" t="s">
        <v>676</v>
      </c>
      <c r="E284" s="15" t="s">
        <v>677</v>
      </c>
      <c r="F284" s="16">
        <v>0.625</v>
      </c>
      <c r="G284" s="15" t="s">
        <v>83</v>
      </c>
      <c r="H284" s="15" t="s">
        <v>109</v>
      </c>
      <c r="I284" s="15" t="s">
        <v>70</v>
      </c>
      <c r="J284" s="15" t="s">
        <v>71</v>
      </c>
      <c r="K284" s="15"/>
      <c r="L284" s="15"/>
      <c r="M284" s="15">
        <v>11</v>
      </c>
      <c r="N284" s="15"/>
      <c r="O284" s="15"/>
      <c r="P284" s="15"/>
      <c r="Q284" s="15"/>
      <c r="R284" s="15"/>
      <c r="S284" s="15"/>
      <c r="T284" s="15"/>
      <c r="U284" s="15"/>
      <c r="V284" s="15"/>
      <c r="W284" s="15"/>
      <c r="X284" s="15"/>
      <c r="Y284" s="17">
        <f>27+2+32+14+2</f>
        <v>77</v>
      </c>
      <c r="Z284" s="15">
        <v>34</v>
      </c>
      <c r="AA284" s="17">
        <f>16+4+6+10+8+17+71+5+1+11+4+8+6+31+34+5+33+4+55+13+3</f>
        <v>345</v>
      </c>
      <c r="AB284" s="15"/>
      <c r="AC284" s="15"/>
      <c r="AD284" s="15"/>
      <c r="AE284" s="15"/>
      <c r="AF284" s="15"/>
      <c r="AG284" s="15"/>
      <c r="AH284" s="17">
        <f>22+22+3+13+7+11+14+43+11+6+5+5+27+5+14</f>
        <v>208</v>
      </c>
      <c r="AI284" s="15"/>
      <c r="AJ284" s="15"/>
      <c r="AK284" s="15"/>
      <c r="AL284" s="15"/>
      <c r="AM284" s="15"/>
      <c r="AN284" s="15">
        <v>28</v>
      </c>
      <c r="AO284" s="15"/>
      <c r="AP284" s="15">
        <v>9</v>
      </c>
      <c r="AQ284" s="15"/>
      <c r="AR284" s="15"/>
      <c r="AS284" s="15"/>
      <c r="AT284" s="15">
        <v>1</v>
      </c>
      <c r="AU284" s="15"/>
      <c r="AV284" s="15"/>
      <c r="AW284" s="15"/>
      <c r="AX284" s="17">
        <f>3+12+4+7+7+4+6+5</f>
        <v>48</v>
      </c>
      <c r="AY284" s="15">
        <v>8</v>
      </c>
      <c r="AZ284" s="15">
        <v>17</v>
      </c>
      <c r="BA284" s="15"/>
      <c r="BB284" s="15"/>
      <c r="BC284" s="15"/>
      <c r="BD284" s="15"/>
      <c r="BE284" s="18" t="s">
        <v>703</v>
      </c>
    </row>
    <row r="285" spans="1:57" ht="31.5">
      <c r="A285" s="13" t="s">
        <v>704</v>
      </c>
      <c r="B285" s="13" t="s">
        <v>649</v>
      </c>
      <c r="C285" s="14">
        <v>44596</v>
      </c>
      <c r="D285" s="15" t="s">
        <v>659</v>
      </c>
      <c r="E285" s="15" t="s">
        <v>705</v>
      </c>
      <c r="F285" s="16">
        <v>0.38541666666666669</v>
      </c>
      <c r="G285" s="15" t="s">
        <v>83</v>
      </c>
      <c r="H285" s="15" t="s">
        <v>109</v>
      </c>
      <c r="I285" s="15" t="s">
        <v>70</v>
      </c>
      <c r="J285" s="15" t="s">
        <v>71</v>
      </c>
      <c r="K285" s="17"/>
      <c r="L285" s="17"/>
      <c r="M285" s="17"/>
      <c r="N285" s="17"/>
      <c r="O285" s="17"/>
      <c r="P285" s="17"/>
      <c r="Q285" s="17"/>
      <c r="R285" s="17"/>
      <c r="S285" s="17"/>
      <c r="T285" s="17"/>
      <c r="U285" s="17"/>
      <c r="V285" s="17"/>
      <c r="W285" s="17"/>
      <c r="X285" s="17"/>
      <c r="Y285" s="17"/>
      <c r="Z285" s="17"/>
      <c r="AA285" s="15">
        <v>2</v>
      </c>
      <c r="AB285" s="17"/>
      <c r="AC285" s="17"/>
      <c r="AD285" s="17"/>
      <c r="AE285" s="17"/>
      <c r="AF285" s="17"/>
      <c r="AG285" s="17"/>
      <c r="AH285" s="15">
        <v>2</v>
      </c>
      <c r="AI285" s="17"/>
      <c r="AJ285" s="17"/>
      <c r="AK285" s="17"/>
      <c r="AL285" s="17"/>
      <c r="AM285" s="17"/>
      <c r="AN285" s="17"/>
      <c r="AO285" s="17"/>
      <c r="AP285" s="17"/>
      <c r="AQ285" s="17"/>
      <c r="AR285" s="17"/>
      <c r="AS285" s="15">
        <v>3</v>
      </c>
      <c r="AT285" s="17"/>
      <c r="AU285" s="17"/>
      <c r="AV285" s="17"/>
      <c r="AW285" s="17"/>
      <c r="AX285" s="15">
        <v>14</v>
      </c>
      <c r="AY285" s="17"/>
      <c r="AZ285" s="15">
        <v>1</v>
      </c>
      <c r="BA285" s="17"/>
      <c r="BB285" s="17"/>
      <c r="BC285" s="17"/>
      <c r="BD285" s="17"/>
      <c r="BE285" s="18"/>
    </row>
    <row r="286" spans="1:57" ht="26.25">
      <c r="A286" s="13" t="s">
        <v>706</v>
      </c>
      <c r="B286" s="13" t="s">
        <v>649</v>
      </c>
      <c r="C286" s="14">
        <v>44600</v>
      </c>
      <c r="D286" s="15" t="s">
        <v>707</v>
      </c>
      <c r="E286" s="15" t="s">
        <v>656</v>
      </c>
      <c r="F286" s="16">
        <v>0.36458333333333331</v>
      </c>
      <c r="G286" s="15" t="s">
        <v>78</v>
      </c>
      <c r="H286" s="15" t="s">
        <v>109</v>
      </c>
      <c r="I286" s="15" t="s">
        <v>70</v>
      </c>
      <c r="J286" s="15" t="s">
        <v>71</v>
      </c>
      <c r="K286" s="15">
        <v>2</v>
      </c>
      <c r="L286" s="15"/>
      <c r="M286" s="15">
        <v>56</v>
      </c>
      <c r="N286" s="15">
        <v>45</v>
      </c>
      <c r="O286" s="15"/>
      <c r="P286" s="15"/>
      <c r="Q286" s="15">
        <v>15</v>
      </c>
      <c r="R286" s="15"/>
      <c r="S286" s="15"/>
      <c r="T286" s="15"/>
      <c r="U286" s="15">
        <v>10</v>
      </c>
      <c r="V286" s="17"/>
      <c r="W286" s="15"/>
      <c r="X286" s="15">
        <v>5</v>
      </c>
      <c r="Y286" s="15">
        <v>220</v>
      </c>
      <c r="Z286" s="15"/>
      <c r="AA286" s="15">
        <v>24</v>
      </c>
      <c r="AB286" s="15">
        <v>30</v>
      </c>
      <c r="AC286" s="15"/>
      <c r="AD286" s="15"/>
      <c r="AE286" s="15"/>
      <c r="AF286" s="15">
        <v>20</v>
      </c>
      <c r="AG286" s="15"/>
      <c r="AH286" s="15">
        <v>15</v>
      </c>
      <c r="AI286" s="15"/>
      <c r="AJ286" s="15"/>
      <c r="AK286" s="17"/>
      <c r="AL286" s="17"/>
      <c r="AM286" s="15">
        <v>87</v>
      </c>
      <c r="AN286" s="15"/>
      <c r="AO286" s="15"/>
      <c r="AP286" s="15">
        <v>7</v>
      </c>
      <c r="AQ286" s="15">
        <v>1</v>
      </c>
      <c r="AR286" s="15"/>
      <c r="AS286" s="15"/>
      <c r="AT286" s="15"/>
      <c r="AU286" s="15"/>
      <c r="AV286" s="15">
        <v>1</v>
      </c>
      <c r="AW286" s="15"/>
      <c r="AX286" s="15">
        <v>53</v>
      </c>
      <c r="AY286" s="15"/>
      <c r="AZ286" s="15">
        <v>20</v>
      </c>
      <c r="BA286" s="15">
        <v>103</v>
      </c>
      <c r="BB286" s="15"/>
      <c r="BC286" s="15"/>
      <c r="BD286" s="15">
        <v>48</v>
      </c>
      <c r="BE286" s="18" t="s">
        <v>708</v>
      </c>
    </row>
    <row r="287" spans="1:57" ht="51.75">
      <c r="A287" s="13" t="s">
        <v>709</v>
      </c>
      <c r="B287" s="13" t="s">
        <v>649</v>
      </c>
      <c r="C287" s="14">
        <v>44601</v>
      </c>
      <c r="D287" s="15" t="s">
        <v>710</v>
      </c>
      <c r="E287" s="15" t="s">
        <v>407</v>
      </c>
      <c r="F287" s="16">
        <v>0.33333333333333331</v>
      </c>
      <c r="G287" s="15" t="s">
        <v>78</v>
      </c>
      <c r="H287" s="15" t="s">
        <v>69</v>
      </c>
      <c r="I287" s="15" t="s">
        <v>70</v>
      </c>
      <c r="J287" s="15" t="s">
        <v>71</v>
      </c>
      <c r="K287" s="15"/>
      <c r="L287" s="15"/>
      <c r="M287" s="15"/>
      <c r="N287" s="15"/>
      <c r="O287" s="15"/>
      <c r="P287" s="15"/>
      <c r="Q287" s="15"/>
      <c r="R287" s="15"/>
      <c r="S287" s="15"/>
      <c r="T287" s="15"/>
      <c r="U287" s="15"/>
      <c r="V287" s="15"/>
      <c r="W287" s="15"/>
      <c r="X287" s="15"/>
      <c r="Y287" s="15"/>
      <c r="Z287" s="15">
        <v>1</v>
      </c>
      <c r="AA287" s="15">
        <v>15</v>
      </c>
      <c r="AB287" s="15"/>
      <c r="AC287" s="15"/>
      <c r="AD287" s="15"/>
      <c r="AE287" s="15"/>
      <c r="AF287" s="15"/>
      <c r="AG287" s="15"/>
      <c r="AH287" s="15"/>
      <c r="AI287" s="15"/>
      <c r="AJ287" s="15"/>
      <c r="AK287" s="15"/>
      <c r="AL287" s="15"/>
      <c r="AM287" s="15"/>
      <c r="AN287" s="15"/>
      <c r="AO287" s="15"/>
      <c r="AP287" s="15"/>
      <c r="AQ287" s="15"/>
      <c r="AR287" s="15"/>
      <c r="AS287" s="15">
        <v>9</v>
      </c>
      <c r="AT287" s="15">
        <v>9</v>
      </c>
      <c r="AU287" s="15"/>
      <c r="AV287" s="15"/>
      <c r="AW287" s="15">
        <v>3</v>
      </c>
      <c r="AX287" s="15">
        <v>118</v>
      </c>
      <c r="AY287" s="15">
        <v>4</v>
      </c>
      <c r="AZ287" s="15">
        <v>27</v>
      </c>
      <c r="BA287" s="15">
        <v>82</v>
      </c>
      <c r="BB287" s="15">
        <v>3</v>
      </c>
      <c r="BC287" s="15"/>
      <c r="BD287" s="15"/>
      <c r="BE287" s="18" t="s">
        <v>711</v>
      </c>
    </row>
    <row r="288" spans="1:57">
      <c r="A288" s="13" t="s">
        <v>712</v>
      </c>
      <c r="B288" s="13" t="s">
        <v>649</v>
      </c>
      <c r="C288" s="14">
        <v>44596</v>
      </c>
      <c r="D288" s="15" t="s">
        <v>713</v>
      </c>
      <c r="E288" s="15" t="s">
        <v>714</v>
      </c>
      <c r="F288" s="16">
        <v>0.52083333333333337</v>
      </c>
      <c r="G288" s="15" t="s">
        <v>156</v>
      </c>
      <c r="H288" s="15" t="s">
        <v>123</v>
      </c>
      <c r="I288" s="15" t="s">
        <v>70</v>
      </c>
      <c r="J288" s="15" t="s">
        <v>71</v>
      </c>
      <c r="K288" s="15"/>
      <c r="L288" s="15"/>
      <c r="M288" s="15">
        <v>6</v>
      </c>
      <c r="N288" s="15">
        <v>18</v>
      </c>
      <c r="O288" s="15"/>
      <c r="P288" s="15"/>
      <c r="Q288" s="15"/>
      <c r="R288" s="15"/>
      <c r="S288" s="15"/>
      <c r="T288" s="15"/>
      <c r="U288" s="15"/>
      <c r="V288" s="15"/>
      <c r="W288" s="15"/>
      <c r="X288" s="15">
        <v>1</v>
      </c>
      <c r="Y288" s="15"/>
      <c r="Z288" s="15">
        <v>14</v>
      </c>
      <c r="AA288" s="15">
        <v>21</v>
      </c>
      <c r="AB288" s="15">
        <v>2</v>
      </c>
      <c r="AC288" s="15"/>
      <c r="AD288" s="15"/>
      <c r="AE288" s="15">
        <v>1</v>
      </c>
      <c r="AF288" s="15"/>
      <c r="AG288" s="15"/>
      <c r="AH288" s="15">
        <v>7</v>
      </c>
      <c r="AI288" s="15"/>
      <c r="AJ288" s="15"/>
      <c r="AK288" s="15"/>
      <c r="AL288" s="15"/>
      <c r="AM288" s="15"/>
      <c r="AN288" s="15"/>
      <c r="AO288" s="15"/>
      <c r="AP288" s="15">
        <v>2</v>
      </c>
      <c r="AQ288" s="15"/>
      <c r="AR288" s="15"/>
      <c r="AS288" s="15"/>
      <c r="AT288" s="15"/>
      <c r="AU288" s="15"/>
      <c r="AV288" s="15"/>
      <c r="AW288" s="15">
        <v>4</v>
      </c>
      <c r="AX288" s="15">
        <v>9</v>
      </c>
      <c r="AY288" s="15"/>
      <c r="AZ288" s="15">
        <v>2</v>
      </c>
      <c r="BA288" s="15"/>
      <c r="BB288" s="15"/>
      <c r="BC288" s="15"/>
      <c r="BD288" s="15"/>
      <c r="BE288" s="19"/>
    </row>
    <row r="289" spans="1:57">
      <c r="A289" s="13" t="s">
        <v>715</v>
      </c>
      <c r="B289" s="13" t="s">
        <v>649</v>
      </c>
      <c r="C289" s="14">
        <v>44596</v>
      </c>
      <c r="D289" s="15" t="s">
        <v>716</v>
      </c>
      <c r="E289" s="15" t="s">
        <v>663</v>
      </c>
      <c r="F289" s="16">
        <v>0.51041666666666663</v>
      </c>
      <c r="G289" s="15" t="s">
        <v>156</v>
      </c>
      <c r="H289" s="15" t="s">
        <v>123</v>
      </c>
      <c r="I289" s="15" t="s">
        <v>70</v>
      </c>
      <c r="J289" s="15" t="s">
        <v>71</v>
      </c>
      <c r="K289" s="15"/>
      <c r="L289" s="15"/>
      <c r="M289" s="15">
        <v>64</v>
      </c>
      <c r="N289" s="15">
        <v>85</v>
      </c>
      <c r="O289" s="15">
        <v>2</v>
      </c>
      <c r="P289" s="15"/>
      <c r="Q289" s="15">
        <v>4</v>
      </c>
      <c r="R289" s="15"/>
      <c r="S289" s="15"/>
      <c r="T289" s="15"/>
      <c r="U289" s="15">
        <v>63</v>
      </c>
      <c r="V289" s="15"/>
      <c r="W289" s="15"/>
      <c r="X289" s="15">
        <v>12</v>
      </c>
      <c r="Y289" s="15"/>
      <c r="Z289" s="15">
        <v>8</v>
      </c>
      <c r="AA289" s="15">
        <v>37</v>
      </c>
      <c r="AB289" s="15">
        <v>24</v>
      </c>
      <c r="AC289" s="15"/>
      <c r="AD289" s="15"/>
      <c r="AE289" s="15"/>
      <c r="AF289" s="15">
        <v>2</v>
      </c>
      <c r="AG289" s="15"/>
      <c r="AH289" s="15">
        <v>25</v>
      </c>
      <c r="AI289" s="15"/>
      <c r="AJ289" s="15"/>
      <c r="AK289" s="15"/>
      <c r="AL289" s="15"/>
      <c r="AM289" s="15"/>
      <c r="AN289" s="15"/>
      <c r="AO289" s="15"/>
      <c r="AP289" s="15">
        <v>15</v>
      </c>
      <c r="AQ289" s="15">
        <v>6</v>
      </c>
      <c r="AR289" s="15"/>
      <c r="AS289" s="15">
        <v>35</v>
      </c>
      <c r="AT289" s="15">
        <v>4</v>
      </c>
      <c r="AU289" s="15"/>
      <c r="AV289" s="15"/>
      <c r="AW289" s="15">
        <v>15</v>
      </c>
      <c r="AX289" s="15">
        <v>52</v>
      </c>
      <c r="AY289" s="15"/>
      <c r="AZ289" s="15">
        <v>28</v>
      </c>
      <c r="BA289" s="15">
        <v>53</v>
      </c>
      <c r="BB289" s="15"/>
      <c r="BC289" s="15"/>
      <c r="BD289" s="15"/>
      <c r="BE289" s="19"/>
    </row>
    <row r="290" spans="1:57">
      <c r="A290" s="13" t="s">
        <v>717</v>
      </c>
      <c r="B290" s="13" t="s">
        <v>649</v>
      </c>
      <c r="C290" s="14">
        <v>44597</v>
      </c>
      <c r="D290" s="15" t="s">
        <v>700</v>
      </c>
      <c r="E290" s="15" t="s">
        <v>701</v>
      </c>
      <c r="F290" s="16">
        <v>0.33333333333333331</v>
      </c>
      <c r="G290" s="15" t="s">
        <v>83</v>
      </c>
      <c r="H290" s="15" t="s">
        <v>123</v>
      </c>
      <c r="I290" s="15" t="s">
        <v>70</v>
      </c>
      <c r="J290" s="15" t="s">
        <v>71</v>
      </c>
      <c r="K290" s="17"/>
      <c r="L290" s="17"/>
      <c r="M290" s="17"/>
      <c r="N290" s="17"/>
      <c r="O290" s="17"/>
      <c r="P290" s="17"/>
      <c r="Q290" s="17"/>
      <c r="R290" s="17"/>
      <c r="S290" s="17"/>
      <c r="T290" s="17"/>
      <c r="U290" s="17"/>
      <c r="V290" s="17"/>
      <c r="W290" s="17"/>
      <c r="X290" s="17"/>
      <c r="Y290" s="17"/>
      <c r="Z290" s="17"/>
      <c r="AA290" s="15">
        <v>1</v>
      </c>
      <c r="AB290" s="17"/>
      <c r="AC290" s="17"/>
      <c r="AD290" s="17"/>
      <c r="AE290" s="17"/>
      <c r="AF290" s="17"/>
      <c r="AG290" s="17"/>
      <c r="AH290" s="17"/>
      <c r="AI290" s="17"/>
      <c r="AJ290" s="17"/>
      <c r="AK290" s="17"/>
      <c r="AL290" s="17"/>
      <c r="AM290" s="17"/>
      <c r="AN290" s="17"/>
      <c r="AO290" s="17"/>
      <c r="AP290" s="17"/>
      <c r="AQ290" s="17"/>
      <c r="AR290" s="17"/>
      <c r="AS290" s="17"/>
      <c r="AT290" s="15">
        <v>2</v>
      </c>
      <c r="AU290" s="17"/>
      <c r="AV290" s="17"/>
      <c r="AW290" s="17"/>
      <c r="AX290" s="15">
        <v>85</v>
      </c>
      <c r="AY290" s="15">
        <v>2</v>
      </c>
      <c r="AZ290" s="15">
        <v>55</v>
      </c>
      <c r="BA290" s="15">
        <v>112</v>
      </c>
      <c r="BB290" s="15">
        <v>19</v>
      </c>
      <c r="BC290" s="17"/>
      <c r="BD290" s="17"/>
      <c r="BE290" s="18"/>
    </row>
    <row r="291" spans="1:57">
      <c r="A291" s="13" t="s">
        <v>718</v>
      </c>
      <c r="B291" s="13" t="s">
        <v>649</v>
      </c>
      <c r="C291" s="14">
        <v>44599</v>
      </c>
      <c r="D291" s="15" t="s">
        <v>700</v>
      </c>
      <c r="E291" s="15" t="s">
        <v>701</v>
      </c>
      <c r="F291" s="16">
        <v>0.375</v>
      </c>
      <c r="G291" s="15" t="s">
        <v>78</v>
      </c>
      <c r="H291" s="15" t="s">
        <v>69</v>
      </c>
      <c r="I291" s="15" t="s">
        <v>70</v>
      </c>
      <c r="J291" s="15" t="s">
        <v>71</v>
      </c>
      <c r="K291" s="17"/>
      <c r="L291" s="17"/>
      <c r="M291" s="17"/>
      <c r="N291" s="17"/>
      <c r="O291" s="17"/>
      <c r="P291" s="17"/>
      <c r="Q291" s="17"/>
      <c r="R291" s="17"/>
      <c r="S291" s="17"/>
      <c r="T291" s="17"/>
      <c r="U291" s="17"/>
      <c r="V291" s="17"/>
      <c r="W291" s="17"/>
      <c r="X291" s="17"/>
      <c r="Y291" s="17"/>
      <c r="Z291" s="17"/>
      <c r="AA291" s="15">
        <v>40</v>
      </c>
      <c r="AB291" s="17"/>
      <c r="AC291" s="17"/>
      <c r="AD291" s="17"/>
      <c r="AE291" s="17"/>
      <c r="AF291" s="17"/>
      <c r="AG291" s="17"/>
      <c r="AH291" s="15">
        <v>14</v>
      </c>
      <c r="AI291" s="17"/>
      <c r="AJ291" s="17"/>
      <c r="AK291" s="17"/>
      <c r="AL291" s="17"/>
      <c r="AM291" s="17"/>
      <c r="AN291" s="17"/>
      <c r="AO291" s="17"/>
      <c r="AP291" s="17"/>
      <c r="AQ291" s="17"/>
      <c r="AR291" s="17"/>
      <c r="AS291" s="17"/>
      <c r="AT291" s="17"/>
      <c r="AU291" s="17"/>
      <c r="AV291" s="17"/>
      <c r="AW291" s="17"/>
      <c r="AX291" s="15">
        <v>48</v>
      </c>
      <c r="AY291" s="15">
        <v>2</v>
      </c>
      <c r="AZ291" s="15">
        <v>8</v>
      </c>
      <c r="BA291" s="15">
        <v>4</v>
      </c>
      <c r="BB291" s="17"/>
      <c r="BC291" s="17"/>
      <c r="BD291" s="17"/>
      <c r="BE291" s="18"/>
    </row>
    <row r="292" spans="1:57">
      <c r="A292" s="29" t="s">
        <v>719</v>
      </c>
      <c r="B292" s="24" t="s">
        <v>720</v>
      </c>
      <c r="C292" s="14"/>
      <c r="F292" s="16"/>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9"/>
    </row>
    <row r="293" spans="1:57">
      <c r="A293" s="24" t="s">
        <v>721</v>
      </c>
      <c r="B293" s="24" t="s">
        <v>720</v>
      </c>
      <c r="C293" s="14"/>
      <c r="F293" s="16"/>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8"/>
    </row>
    <row r="294" spans="1:57">
      <c r="A294" s="13" t="s">
        <v>722</v>
      </c>
      <c r="B294" s="13" t="s">
        <v>720</v>
      </c>
      <c r="C294" s="14">
        <v>44601</v>
      </c>
      <c r="D294" s="15" t="s">
        <v>723</v>
      </c>
      <c r="E294" s="15" t="s">
        <v>724</v>
      </c>
      <c r="F294" s="26">
        <v>0.35416666666666669</v>
      </c>
      <c r="G294" s="15" t="s">
        <v>78</v>
      </c>
      <c r="H294" s="15" t="s">
        <v>127</v>
      </c>
      <c r="I294" s="15" t="s">
        <v>70</v>
      </c>
      <c r="J294" s="15" t="s">
        <v>71</v>
      </c>
      <c r="K294" s="17"/>
      <c r="L294" s="17"/>
      <c r="M294" s="17"/>
      <c r="N294" s="17"/>
      <c r="O294" s="17"/>
      <c r="P294" s="17"/>
      <c r="Q294" s="17"/>
      <c r="R294" s="17"/>
      <c r="S294" s="17"/>
      <c r="T294" s="17"/>
      <c r="U294" s="17"/>
      <c r="V294" s="17"/>
      <c r="W294" s="17"/>
      <c r="X294" s="17"/>
      <c r="Y294" s="17"/>
      <c r="Z294" s="15">
        <v>2</v>
      </c>
      <c r="AA294" s="15">
        <v>10</v>
      </c>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9"/>
    </row>
    <row r="295" spans="1:57">
      <c r="A295" s="20" t="s">
        <v>725</v>
      </c>
      <c r="B295" s="13" t="s">
        <v>720</v>
      </c>
      <c r="C295" s="14">
        <v>44602</v>
      </c>
      <c r="D295" s="15" t="s">
        <v>726</v>
      </c>
      <c r="E295" s="15" t="s">
        <v>727</v>
      </c>
      <c r="F295" s="16">
        <v>0.31736111111111109</v>
      </c>
      <c r="G295" s="15" t="s">
        <v>68</v>
      </c>
      <c r="H295" s="15" t="s">
        <v>109</v>
      </c>
      <c r="I295" s="15" t="s">
        <v>70</v>
      </c>
      <c r="J295" s="15" t="s">
        <v>71</v>
      </c>
      <c r="K295" s="17"/>
      <c r="L295" s="17"/>
      <c r="M295" s="15">
        <v>60</v>
      </c>
      <c r="N295" s="15">
        <v>1</v>
      </c>
      <c r="O295" s="17"/>
      <c r="P295" s="17"/>
      <c r="Q295" s="17"/>
      <c r="R295" s="17"/>
      <c r="S295" s="17"/>
      <c r="T295" s="17"/>
      <c r="U295" s="17"/>
      <c r="V295" s="17"/>
      <c r="W295" s="17"/>
      <c r="X295" s="17"/>
      <c r="Y295" s="15">
        <v>390</v>
      </c>
      <c r="Z295" s="15">
        <v>14</v>
      </c>
      <c r="AA295" s="15">
        <v>150</v>
      </c>
      <c r="AB295" s="15">
        <v>1</v>
      </c>
      <c r="AC295" s="17"/>
      <c r="AD295" s="15">
        <v>1</v>
      </c>
      <c r="AE295" s="17"/>
      <c r="AF295" s="17"/>
      <c r="AG295" s="17"/>
      <c r="AH295" s="17"/>
      <c r="AI295" s="17"/>
      <c r="AJ295" s="17"/>
      <c r="AK295" s="17"/>
      <c r="AL295" s="17"/>
      <c r="AM295" s="17"/>
      <c r="AN295" s="17"/>
      <c r="AO295" s="17"/>
      <c r="AP295" s="17"/>
      <c r="AQ295" s="17"/>
      <c r="AR295" s="17"/>
      <c r="AS295" s="17"/>
      <c r="AT295" s="15">
        <v>6</v>
      </c>
      <c r="AU295" s="17"/>
      <c r="AV295" s="17"/>
      <c r="AW295" s="17"/>
      <c r="AX295" s="15">
        <v>140</v>
      </c>
      <c r="AY295" s="15">
        <v>2</v>
      </c>
      <c r="AZ295" s="15">
        <v>12</v>
      </c>
      <c r="BA295" s="15">
        <v>21</v>
      </c>
      <c r="BB295" s="15">
        <v>12</v>
      </c>
      <c r="BC295" s="17"/>
      <c r="BD295" s="17"/>
      <c r="BE295" s="18"/>
    </row>
    <row r="296" spans="1:57">
      <c r="A296" s="13" t="s">
        <v>728</v>
      </c>
      <c r="B296" s="13" t="s">
        <v>720</v>
      </c>
      <c r="C296" s="14">
        <v>44598</v>
      </c>
      <c r="D296" s="15" t="s">
        <v>729</v>
      </c>
      <c r="E296" s="15" t="s">
        <v>727</v>
      </c>
      <c r="F296" s="16">
        <v>0.2951388888888889</v>
      </c>
      <c r="G296" s="15" t="s">
        <v>78</v>
      </c>
      <c r="H296" s="15" t="s">
        <v>109</v>
      </c>
      <c r="I296" s="15" t="s">
        <v>70</v>
      </c>
      <c r="J296" s="15" t="s">
        <v>71</v>
      </c>
      <c r="K296" s="17"/>
      <c r="L296" s="17"/>
      <c r="M296" s="15">
        <v>38</v>
      </c>
      <c r="N296" s="17"/>
      <c r="O296" s="17"/>
      <c r="P296" s="17"/>
      <c r="Q296" s="17"/>
      <c r="R296" s="17"/>
      <c r="S296" s="17"/>
      <c r="T296" s="17"/>
      <c r="U296" s="17"/>
      <c r="V296" s="17"/>
      <c r="W296" s="17"/>
      <c r="X296" s="17"/>
      <c r="Y296" s="15">
        <v>123</v>
      </c>
      <c r="Z296" s="15">
        <v>26</v>
      </c>
      <c r="AA296" s="15">
        <v>418</v>
      </c>
      <c r="AB296" s="17"/>
      <c r="AC296" s="17"/>
      <c r="AD296" s="17"/>
      <c r="AE296" s="17"/>
      <c r="AF296" s="17"/>
      <c r="AG296" s="17"/>
      <c r="AH296" s="17"/>
      <c r="AI296" s="17"/>
      <c r="AJ296" s="17"/>
      <c r="AK296" s="17"/>
      <c r="AL296" s="17"/>
      <c r="AM296" s="15">
        <v>2</v>
      </c>
      <c r="AN296" s="17"/>
      <c r="AO296" s="17"/>
      <c r="AP296" s="15">
        <v>19</v>
      </c>
      <c r="AQ296" s="17"/>
      <c r="AR296" s="17"/>
      <c r="AS296" s="15">
        <v>1</v>
      </c>
      <c r="AT296" s="15">
        <v>5</v>
      </c>
      <c r="AU296" s="17"/>
      <c r="AV296" s="17"/>
      <c r="AW296" s="17"/>
      <c r="AX296" s="15">
        <v>45</v>
      </c>
      <c r="AY296" s="15">
        <v>11</v>
      </c>
      <c r="AZ296" s="15">
        <v>18</v>
      </c>
      <c r="BA296" s="15">
        <v>19</v>
      </c>
      <c r="BB296" s="17"/>
      <c r="BC296" s="17"/>
      <c r="BD296" s="17"/>
      <c r="BE296" s="18"/>
    </row>
    <row r="297" spans="1:57" ht="64.5">
      <c r="A297" s="13" t="s">
        <v>730</v>
      </c>
      <c r="B297" s="13" t="s">
        <v>720</v>
      </c>
      <c r="C297" s="14">
        <v>44599</v>
      </c>
      <c r="D297" s="15" t="s">
        <v>731</v>
      </c>
      <c r="E297" s="15" t="s">
        <v>732</v>
      </c>
      <c r="F297" s="16">
        <v>0.55208333333333337</v>
      </c>
      <c r="G297" s="15" t="s">
        <v>83</v>
      </c>
      <c r="H297" s="15" t="s">
        <v>109</v>
      </c>
      <c r="I297" s="15" t="s">
        <v>70</v>
      </c>
      <c r="J297" s="15" t="s">
        <v>71</v>
      </c>
      <c r="K297" s="17"/>
      <c r="L297" s="17"/>
      <c r="M297" s="15">
        <v>5</v>
      </c>
      <c r="N297" s="17"/>
      <c r="O297" s="17"/>
      <c r="P297" s="17"/>
      <c r="Q297" s="17"/>
      <c r="R297" s="17"/>
      <c r="S297" s="17"/>
      <c r="T297" s="17"/>
      <c r="U297" s="17"/>
      <c r="V297" s="17"/>
      <c r="W297" s="17"/>
      <c r="X297" s="17"/>
      <c r="Y297" s="17"/>
      <c r="Z297" s="15">
        <v>8</v>
      </c>
      <c r="AA297" s="15">
        <v>23</v>
      </c>
      <c r="AB297" s="17"/>
      <c r="AC297" s="17"/>
      <c r="AD297" s="17"/>
      <c r="AE297" s="17"/>
      <c r="AF297" s="17"/>
      <c r="AG297" s="17"/>
      <c r="AH297" s="15">
        <v>2</v>
      </c>
      <c r="AI297" s="17"/>
      <c r="AJ297" s="17"/>
      <c r="AK297" s="17"/>
      <c r="AL297" s="17"/>
      <c r="AM297" s="17"/>
      <c r="AN297" s="17"/>
      <c r="AO297" s="17"/>
      <c r="AP297" s="17"/>
      <c r="AQ297" s="17"/>
      <c r="AR297" s="17"/>
      <c r="AS297" s="17"/>
      <c r="AT297" s="17"/>
      <c r="AU297" s="17"/>
      <c r="AV297" s="17"/>
      <c r="AW297" s="17"/>
      <c r="AX297" s="15">
        <v>31</v>
      </c>
      <c r="AY297" s="17"/>
      <c r="AZ297" s="15">
        <v>4</v>
      </c>
      <c r="BA297" s="17"/>
      <c r="BB297" s="17"/>
      <c r="BC297" s="17"/>
      <c r="BD297" s="17"/>
      <c r="BE297" s="64" t="s">
        <v>733</v>
      </c>
    </row>
    <row r="298" spans="1:57" ht="31.5">
      <c r="A298" s="13" t="s">
        <v>734</v>
      </c>
      <c r="B298" s="13" t="s">
        <v>720</v>
      </c>
      <c r="C298" s="14">
        <v>44598</v>
      </c>
      <c r="D298" s="15" t="s">
        <v>735</v>
      </c>
      <c r="E298" s="15" t="s">
        <v>736</v>
      </c>
      <c r="F298" s="16">
        <v>0.3125</v>
      </c>
      <c r="G298" s="15" t="s">
        <v>78</v>
      </c>
      <c r="H298" s="15" t="s">
        <v>69</v>
      </c>
      <c r="I298" s="15" t="s">
        <v>70</v>
      </c>
      <c r="J298" s="15" t="s">
        <v>71</v>
      </c>
      <c r="K298" s="15" t="s">
        <v>737</v>
      </c>
      <c r="L298" s="15"/>
      <c r="M298" s="15">
        <v>3</v>
      </c>
      <c r="N298" s="15"/>
      <c r="O298" s="15"/>
      <c r="P298" s="15"/>
      <c r="Q298" s="15">
        <v>6</v>
      </c>
      <c r="R298" s="15"/>
      <c r="S298" s="15"/>
      <c r="T298" s="15"/>
      <c r="U298" s="15"/>
      <c r="V298" s="15"/>
      <c r="W298" s="15"/>
      <c r="X298" s="15"/>
      <c r="Y298" s="15"/>
      <c r="Z298" s="15">
        <v>5</v>
      </c>
      <c r="AA298" s="15">
        <v>60</v>
      </c>
      <c r="AB298" s="15">
        <v>1</v>
      </c>
      <c r="AC298" s="15"/>
      <c r="AD298" s="15">
        <v>10</v>
      </c>
      <c r="AE298" s="15"/>
      <c r="AF298" s="15"/>
      <c r="AG298" s="15"/>
      <c r="AH298" s="15">
        <v>2</v>
      </c>
      <c r="AI298" s="15"/>
      <c r="AJ298" s="15"/>
      <c r="AK298" s="15"/>
      <c r="AL298" s="15"/>
      <c r="AM298" s="15"/>
      <c r="AN298" s="15"/>
      <c r="AO298" s="15"/>
      <c r="AP298" s="15">
        <v>3</v>
      </c>
      <c r="AQ298" s="15"/>
      <c r="AR298" s="15"/>
      <c r="AS298" s="15"/>
      <c r="AT298" s="15">
        <v>7</v>
      </c>
      <c r="AU298" s="15"/>
      <c r="AV298" s="15"/>
      <c r="AW298" s="15"/>
      <c r="AX298" s="15">
        <v>14</v>
      </c>
      <c r="AY298" s="15"/>
      <c r="AZ298" s="15">
        <v>3</v>
      </c>
      <c r="BA298" s="15">
        <v>7</v>
      </c>
      <c r="BB298" s="15"/>
      <c r="BC298" s="15"/>
      <c r="BD298" s="15"/>
      <c r="BE298" s="64"/>
    </row>
    <row r="299" spans="1:57" ht="31.5">
      <c r="A299" s="13" t="s">
        <v>738</v>
      </c>
      <c r="B299" s="13" t="s">
        <v>720</v>
      </c>
      <c r="C299" s="14">
        <v>44598</v>
      </c>
      <c r="D299" s="15" t="s">
        <v>739</v>
      </c>
      <c r="E299" s="15" t="s">
        <v>736</v>
      </c>
      <c r="F299" s="16">
        <v>0.41666666666666669</v>
      </c>
      <c r="G299" s="15" t="s">
        <v>78</v>
      </c>
      <c r="H299" s="15" t="s">
        <v>69</v>
      </c>
      <c r="I299" s="15" t="s">
        <v>70</v>
      </c>
      <c r="J299" s="15" t="s">
        <v>71</v>
      </c>
      <c r="K299" s="15"/>
      <c r="L299" s="15"/>
      <c r="M299" s="15">
        <v>9</v>
      </c>
      <c r="N299" s="15"/>
      <c r="O299" s="15"/>
      <c r="P299" s="15"/>
      <c r="Q299" s="15"/>
      <c r="R299" s="15"/>
      <c r="S299" s="15"/>
      <c r="T299" s="15"/>
      <c r="U299" s="15"/>
      <c r="V299" s="15"/>
      <c r="W299" s="15"/>
      <c r="X299" s="15"/>
      <c r="Y299" s="15">
        <v>6</v>
      </c>
      <c r="Z299" s="15">
        <v>15</v>
      </c>
      <c r="AA299" s="15">
        <v>190</v>
      </c>
      <c r="AB299" s="15"/>
      <c r="AC299" s="15"/>
      <c r="AD299" s="15"/>
      <c r="AE299" s="15"/>
      <c r="AF299" s="15"/>
      <c r="AG299" s="15"/>
      <c r="AH299" s="15">
        <v>10</v>
      </c>
      <c r="AI299" s="15"/>
      <c r="AJ299" s="15"/>
      <c r="AK299" s="15"/>
      <c r="AL299" s="15"/>
      <c r="AM299" s="15">
        <v>282</v>
      </c>
      <c r="AN299" s="15">
        <v>1</v>
      </c>
      <c r="AO299" s="15"/>
      <c r="AP299" s="15">
        <v>8</v>
      </c>
      <c r="AQ299" s="15"/>
      <c r="AR299" s="15">
        <v>1</v>
      </c>
      <c r="AS299" s="15"/>
      <c r="AT299" s="15">
        <v>35</v>
      </c>
      <c r="AU299" s="15"/>
      <c r="AV299" s="15"/>
      <c r="AW299" s="15">
        <v>338</v>
      </c>
      <c r="AX299" s="15">
        <v>530</v>
      </c>
      <c r="AY299" s="15">
        <v>3</v>
      </c>
      <c r="AZ299" s="15">
        <v>60</v>
      </c>
      <c r="BA299" s="15">
        <v>50</v>
      </c>
      <c r="BB299" s="15">
        <v>162</v>
      </c>
      <c r="BC299" s="15"/>
      <c r="BD299" s="15"/>
      <c r="BE299" s="18"/>
    </row>
    <row r="300" spans="1:57">
      <c r="A300" s="13" t="s">
        <v>740</v>
      </c>
      <c r="B300" s="13" t="s">
        <v>720</v>
      </c>
      <c r="C300" s="14"/>
      <c r="F300" s="16"/>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8"/>
    </row>
    <row r="301" spans="1:57" ht="31.5">
      <c r="A301" s="20" t="s">
        <v>741</v>
      </c>
      <c r="B301" s="24" t="s">
        <v>720</v>
      </c>
      <c r="C301" s="65"/>
      <c r="D301" s="42"/>
      <c r="E301" s="42"/>
      <c r="F301" s="66"/>
      <c r="G301" s="42"/>
      <c r="H301" s="42"/>
      <c r="I301" s="42"/>
      <c r="J301" s="42"/>
      <c r="K301" s="42"/>
      <c r="L301" s="42"/>
      <c r="M301" s="67"/>
      <c r="N301" s="42"/>
      <c r="O301" s="42"/>
      <c r="P301" s="42"/>
      <c r="Q301" s="42"/>
      <c r="R301" s="42"/>
      <c r="S301" s="42"/>
      <c r="T301" s="42"/>
      <c r="U301" s="42"/>
      <c r="V301" s="42"/>
      <c r="W301" s="42"/>
      <c r="X301" s="42"/>
      <c r="Y301" s="42"/>
      <c r="Z301" s="67"/>
      <c r="AA301" s="67"/>
      <c r="AB301" s="42"/>
      <c r="AC301" s="42"/>
      <c r="AD301" s="42"/>
      <c r="AE301" s="42"/>
      <c r="AF301" s="42"/>
      <c r="AG301" s="42"/>
      <c r="AH301" s="67"/>
      <c r="AI301" s="42"/>
      <c r="AJ301" s="42"/>
      <c r="AK301" s="42"/>
      <c r="AL301" s="42"/>
      <c r="AM301" s="67"/>
      <c r="AN301" s="42"/>
      <c r="AO301" s="42"/>
      <c r="AP301" s="67"/>
      <c r="AQ301" s="42"/>
      <c r="AR301" s="42"/>
      <c r="AS301" s="42"/>
      <c r="AT301" s="67"/>
      <c r="AU301" s="42"/>
      <c r="AV301" s="42"/>
      <c r="AW301" s="42"/>
      <c r="AX301" s="67"/>
      <c r="AY301" s="42"/>
      <c r="AZ301" s="67"/>
      <c r="BA301" s="67"/>
      <c r="BB301" s="67"/>
      <c r="BC301" s="42"/>
      <c r="BD301" s="42"/>
      <c r="BE301" s="68"/>
    </row>
    <row r="302" spans="1:57" ht="31.5">
      <c r="A302" s="24" t="s">
        <v>742</v>
      </c>
      <c r="B302" s="24" t="s">
        <v>720</v>
      </c>
      <c r="C302" s="17"/>
      <c r="F302" s="33"/>
      <c r="G302" s="17"/>
      <c r="H302" s="17"/>
      <c r="I302" s="17"/>
      <c r="J302" s="17"/>
      <c r="BE302" s="19"/>
    </row>
    <row r="303" spans="1:57">
      <c r="A303" s="24" t="s">
        <v>743</v>
      </c>
      <c r="B303" s="24" t="s">
        <v>744</v>
      </c>
      <c r="C303" s="32"/>
      <c r="F303" s="16"/>
      <c r="G303" s="17"/>
      <c r="H303" s="17"/>
      <c r="I303" s="17"/>
      <c r="J303" s="17"/>
      <c r="BB303" s="17"/>
      <c r="BE303" s="18"/>
    </row>
    <row r="304" spans="1:57">
      <c r="A304" s="24" t="s">
        <v>745</v>
      </c>
      <c r="B304" s="24" t="s">
        <v>744</v>
      </c>
      <c r="C304" s="14"/>
      <c r="F304" s="16"/>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C304" s="17"/>
      <c r="BD304" s="17"/>
      <c r="BE304" s="18"/>
    </row>
    <row r="305" spans="1:57">
      <c r="A305" s="13" t="s">
        <v>746</v>
      </c>
      <c r="B305" s="13" t="s">
        <v>747</v>
      </c>
      <c r="C305" s="14">
        <v>44601</v>
      </c>
      <c r="D305" s="15" t="s">
        <v>748</v>
      </c>
      <c r="E305" s="15" t="s">
        <v>749</v>
      </c>
      <c r="F305" s="16">
        <v>0.4375</v>
      </c>
      <c r="G305" s="15" t="s">
        <v>78</v>
      </c>
      <c r="H305" s="15" t="s">
        <v>109</v>
      </c>
      <c r="I305" s="15" t="s">
        <v>70</v>
      </c>
      <c r="J305" s="15" t="s">
        <v>71</v>
      </c>
      <c r="K305" s="15"/>
      <c r="L305" s="15"/>
      <c r="M305" s="15">
        <v>1</v>
      </c>
      <c r="N305" s="15"/>
      <c r="O305" s="15"/>
      <c r="P305" s="15"/>
      <c r="Q305" s="15"/>
      <c r="R305" s="15"/>
      <c r="S305" s="15"/>
      <c r="T305" s="15"/>
      <c r="U305" s="15"/>
      <c r="V305" s="15"/>
      <c r="W305" s="15"/>
      <c r="X305" s="15"/>
      <c r="Y305" s="15"/>
      <c r="Z305" s="15"/>
      <c r="AA305" s="15">
        <v>1</v>
      </c>
      <c r="AB305" s="15"/>
      <c r="AC305" s="15"/>
      <c r="AD305" s="15"/>
      <c r="AE305" s="15"/>
      <c r="AF305" s="15"/>
      <c r="AG305" s="15"/>
      <c r="AH305" s="15">
        <v>2</v>
      </c>
      <c r="AI305" s="15"/>
      <c r="AJ305" s="15"/>
      <c r="AK305" s="15"/>
      <c r="AL305" s="15"/>
      <c r="AM305" s="15"/>
      <c r="AN305" s="15"/>
      <c r="AO305" s="15"/>
      <c r="AP305" s="15"/>
      <c r="AQ305" s="15"/>
      <c r="AR305" s="15"/>
      <c r="AS305" s="15">
        <v>2</v>
      </c>
      <c r="AT305" s="15">
        <v>2</v>
      </c>
      <c r="AU305" s="15"/>
      <c r="AV305" s="15"/>
      <c r="AW305" s="15"/>
      <c r="AX305" s="15">
        <v>6</v>
      </c>
      <c r="AY305" s="15"/>
      <c r="AZ305" s="15"/>
      <c r="BA305" s="15"/>
      <c r="BB305" s="15"/>
      <c r="BC305" s="15"/>
      <c r="BD305" s="15"/>
      <c r="BE305" s="18" t="s">
        <v>750</v>
      </c>
    </row>
    <row r="306" spans="1:57">
      <c r="A306" s="13" t="s">
        <v>751</v>
      </c>
      <c r="B306" s="13" t="s">
        <v>747</v>
      </c>
      <c r="C306" s="14">
        <v>44601</v>
      </c>
      <c r="D306" s="15" t="s">
        <v>748</v>
      </c>
      <c r="E306" s="15" t="s">
        <v>749</v>
      </c>
      <c r="F306" s="16">
        <v>0.39583333333333331</v>
      </c>
      <c r="G306" s="15" t="s">
        <v>78</v>
      </c>
      <c r="H306" s="15" t="s">
        <v>109</v>
      </c>
      <c r="I306" s="15" t="s">
        <v>70</v>
      </c>
      <c r="J306" s="15" t="s">
        <v>71</v>
      </c>
      <c r="K306" s="15"/>
      <c r="L306" s="15"/>
      <c r="M306" s="15">
        <v>6</v>
      </c>
      <c r="N306" s="15"/>
      <c r="O306" s="15"/>
      <c r="P306" s="15"/>
      <c r="Q306" s="15"/>
      <c r="R306" s="15"/>
      <c r="S306" s="15"/>
      <c r="T306" s="15"/>
      <c r="U306" s="15">
        <v>2</v>
      </c>
      <c r="V306" s="15"/>
      <c r="W306" s="15"/>
      <c r="X306" s="15">
        <v>1</v>
      </c>
      <c r="Y306" s="15">
        <v>7</v>
      </c>
      <c r="Z306" s="15">
        <v>16</v>
      </c>
      <c r="AA306" s="15">
        <v>34</v>
      </c>
      <c r="AB306" s="15">
        <v>4</v>
      </c>
      <c r="AC306" s="15"/>
      <c r="AD306" s="15"/>
      <c r="AE306" s="15"/>
      <c r="AF306" s="15"/>
      <c r="AG306" s="15"/>
      <c r="AH306" s="15">
        <v>3</v>
      </c>
      <c r="AI306" s="15"/>
      <c r="AJ306" s="15"/>
      <c r="AK306" s="15"/>
      <c r="AL306" s="15"/>
      <c r="AM306" s="15">
        <v>6</v>
      </c>
      <c r="AN306" s="15"/>
      <c r="AO306" s="15"/>
      <c r="AP306" s="15">
        <v>56</v>
      </c>
      <c r="AQ306" s="15"/>
      <c r="AR306" s="15"/>
      <c r="AS306" s="15">
        <v>2</v>
      </c>
      <c r="AT306" s="15">
        <v>49</v>
      </c>
      <c r="AU306" s="15"/>
      <c r="AV306" s="15"/>
      <c r="AW306" s="15">
        <v>2</v>
      </c>
      <c r="AX306" s="15">
        <v>71</v>
      </c>
      <c r="AY306" s="15"/>
      <c r="AZ306" s="15">
        <v>9</v>
      </c>
      <c r="BA306" s="15">
        <v>8</v>
      </c>
      <c r="BB306" s="15"/>
      <c r="BC306" s="15"/>
      <c r="BD306" s="15"/>
      <c r="BE306" s="18" t="s">
        <v>750</v>
      </c>
    </row>
    <row r="307" spans="1:57" ht="31.5">
      <c r="A307" s="13" t="s">
        <v>752</v>
      </c>
      <c r="B307" s="13" t="s">
        <v>747</v>
      </c>
      <c r="C307" s="14">
        <v>44596</v>
      </c>
      <c r="D307" s="15" t="s">
        <v>753</v>
      </c>
      <c r="E307" s="15" t="s">
        <v>754</v>
      </c>
      <c r="F307" s="21">
        <v>0.42222222222222222</v>
      </c>
      <c r="G307" s="15" t="s">
        <v>156</v>
      </c>
      <c r="H307" s="17"/>
      <c r="I307" s="15" t="s">
        <v>70</v>
      </c>
      <c r="J307" s="15" t="s">
        <v>71</v>
      </c>
      <c r="K307" s="15"/>
      <c r="L307" s="15"/>
      <c r="M307" s="15"/>
      <c r="N307" s="15"/>
      <c r="O307" s="15"/>
      <c r="P307" s="15"/>
      <c r="Q307" s="15"/>
      <c r="R307" s="15"/>
      <c r="S307" s="15"/>
      <c r="T307" s="15"/>
      <c r="U307" s="15"/>
      <c r="V307" s="15"/>
      <c r="W307" s="15"/>
      <c r="X307" s="15"/>
      <c r="Y307" s="15"/>
      <c r="Z307" s="15"/>
      <c r="AA307" s="15">
        <v>17</v>
      </c>
      <c r="AB307" s="15"/>
      <c r="AC307" s="15"/>
      <c r="AD307" s="15"/>
      <c r="AE307" s="15"/>
      <c r="AF307" s="15"/>
      <c r="AG307" s="15"/>
      <c r="AH307" s="15">
        <v>9</v>
      </c>
      <c r="AI307" s="15"/>
      <c r="AJ307" s="15"/>
      <c r="AK307" s="15"/>
      <c r="AL307" s="15"/>
      <c r="AM307" s="15"/>
      <c r="AN307" s="15"/>
      <c r="AO307" s="15"/>
      <c r="AP307" s="15"/>
      <c r="AQ307" s="15"/>
      <c r="AR307" s="15"/>
      <c r="AS307" s="15"/>
      <c r="AT307" s="15">
        <v>16</v>
      </c>
      <c r="AU307" s="15"/>
      <c r="AV307" s="15">
        <v>2</v>
      </c>
      <c r="AW307" s="15">
        <v>13</v>
      </c>
      <c r="AX307" s="15">
        <v>23</v>
      </c>
      <c r="AY307" s="15"/>
      <c r="AZ307" s="15"/>
      <c r="BA307" s="15">
        <v>38</v>
      </c>
      <c r="BB307" s="15"/>
      <c r="BC307" s="15"/>
      <c r="BD307" s="15"/>
      <c r="BE307" s="18"/>
    </row>
    <row r="308" spans="1:57" ht="31.5">
      <c r="A308" s="13" t="s">
        <v>755</v>
      </c>
      <c r="B308" s="13" t="s">
        <v>747</v>
      </c>
      <c r="C308" s="14">
        <v>44599</v>
      </c>
      <c r="D308" s="15" t="s">
        <v>756</v>
      </c>
      <c r="E308" s="15" t="s">
        <v>757</v>
      </c>
      <c r="F308" s="23">
        <v>830</v>
      </c>
      <c r="G308" s="15" t="s">
        <v>78</v>
      </c>
      <c r="H308" s="15" t="s">
        <v>109</v>
      </c>
      <c r="I308" s="15" t="s">
        <v>70</v>
      </c>
      <c r="J308" s="15" t="s">
        <v>71</v>
      </c>
      <c r="K308" s="15"/>
      <c r="L308" s="15"/>
      <c r="M308" s="15">
        <v>5</v>
      </c>
      <c r="N308" s="15">
        <v>1</v>
      </c>
      <c r="O308" s="15"/>
      <c r="P308" s="15"/>
      <c r="Q308" s="15"/>
      <c r="R308" s="15"/>
      <c r="S308" s="15"/>
      <c r="T308" s="15"/>
      <c r="U308" s="15"/>
      <c r="V308" s="15"/>
      <c r="W308" s="15"/>
      <c r="X308" s="15">
        <v>2</v>
      </c>
      <c r="Y308" s="15"/>
      <c r="Z308" s="15">
        <v>1</v>
      </c>
      <c r="AA308" s="15">
        <v>12</v>
      </c>
      <c r="AB308" s="15">
        <v>2</v>
      </c>
      <c r="AC308" s="15"/>
      <c r="AD308" s="15"/>
      <c r="AE308" s="15"/>
      <c r="AF308" s="15"/>
      <c r="AG308" s="15"/>
      <c r="AH308" s="15">
        <v>5</v>
      </c>
      <c r="AI308" s="15"/>
      <c r="AJ308" s="15"/>
      <c r="AK308" s="15"/>
      <c r="AL308" s="15"/>
      <c r="AM308" s="15">
        <v>680</v>
      </c>
      <c r="AN308" s="15">
        <v>4</v>
      </c>
      <c r="AO308" s="15"/>
      <c r="AP308" s="15">
        <v>70</v>
      </c>
      <c r="AQ308" s="15"/>
      <c r="AR308" s="15"/>
      <c r="AS308" s="15">
        <v>10</v>
      </c>
      <c r="AT308" s="15">
        <v>32</v>
      </c>
      <c r="AU308" s="15"/>
      <c r="AV308" s="15"/>
      <c r="AW308" s="15">
        <v>7</v>
      </c>
      <c r="AX308" s="15">
        <v>468</v>
      </c>
      <c r="AY308" s="15"/>
      <c r="AZ308" s="15">
        <v>55</v>
      </c>
      <c r="BA308" s="15">
        <v>19</v>
      </c>
      <c r="BB308" s="15"/>
      <c r="BC308" s="15"/>
      <c r="BD308" s="15"/>
      <c r="BE308" s="18"/>
    </row>
    <row r="309" spans="1:57" ht="31.5">
      <c r="A309" s="13" t="s">
        <v>758</v>
      </c>
      <c r="B309" s="13" t="s">
        <v>747</v>
      </c>
      <c r="C309" s="14">
        <v>44601</v>
      </c>
      <c r="D309" s="15" t="s">
        <v>759</v>
      </c>
      <c r="E309" s="15" t="s">
        <v>760</v>
      </c>
      <c r="F309" s="16">
        <v>0.46597222222222223</v>
      </c>
      <c r="G309" s="15" t="s">
        <v>78</v>
      </c>
      <c r="H309" s="15" t="s">
        <v>109</v>
      </c>
      <c r="I309" s="15" t="s">
        <v>70</v>
      </c>
      <c r="J309" s="15" t="s">
        <v>128</v>
      </c>
      <c r="K309" s="15"/>
      <c r="L309" s="17"/>
      <c r="M309" s="17"/>
      <c r="N309" s="17"/>
      <c r="O309" s="17"/>
      <c r="P309" s="17"/>
      <c r="Q309" s="17"/>
      <c r="R309" s="17"/>
      <c r="S309" s="17"/>
      <c r="T309" s="17"/>
      <c r="U309" s="17"/>
      <c r="V309" s="17"/>
      <c r="W309" s="17"/>
      <c r="X309" s="15"/>
      <c r="Y309" s="15"/>
      <c r="Z309" s="17"/>
      <c r="AA309" s="17"/>
      <c r="AB309" s="17"/>
      <c r="AC309" s="17"/>
      <c r="AD309" s="15"/>
      <c r="AE309" s="17"/>
      <c r="AF309" s="17"/>
      <c r="AG309" s="17"/>
      <c r="AH309" s="17"/>
      <c r="AI309" s="15"/>
      <c r="AJ309" s="17"/>
      <c r="AK309" s="17"/>
      <c r="AL309" s="17"/>
      <c r="AM309" s="15">
        <v>172</v>
      </c>
      <c r="AN309" s="17"/>
      <c r="AO309" s="17"/>
      <c r="AP309" s="17"/>
      <c r="AQ309" s="17"/>
      <c r="AR309" s="17"/>
      <c r="AS309" s="17"/>
      <c r="AT309" s="17"/>
      <c r="AU309" s="17"/>
      <c r="AV309" s="17"/>
      <c r="AW309" s="17"/>
      <c r="AX309" s="17"/>
      <c r="AY309" s="17"/>
      <c r="AZ309" s="17"/>
      <c r="BA309" s="17"/>
      <c r="BB309" s="17"/>
      <c r="BC309" s="17"/>
      <c r="BD309" s="17"/>
      <c r="BE309" s="18"/>
    </row>
    <row r="310" spans="1:57" ht="31.5">
      <c r="A310" s="13" t="s">
        <v>761</v>
      </c>
      <c r="B310" s="13" t="s">
        <v>747</v>
      </c>
      <c r="C310" s="14">
        <v>44596</v>
      </c>
      <c r="D310" s="15" t="s">
        <v>762</v>
      </c>
      <c r="E310" s="15" t="s">
        <v>757</v>
      </c>
      <c r="F310" s="23">
        <v>830</v>
      </c>
      <c r="G310" s="15" t="s">
        <v>78</v>
      </c>
      <c r="H310" s="15" t="s">
        <v>123</v>
      </c>
      <c r="I310" s="15" t="s">
        <v>70</v>
      </c>
      <c r="J310" s="15" t="s">
        <v>71</v>
      </c>
      <c r="K310" s="15"/>
      <c r="L310" s="15"/>
      <c r="M310" s="15"/>
      <c r="N310" s="15"/>
      <c r="O310" s="15"/>
      <c r="P310" s="15"/>
      <c r="Q310" s="15"/>
      <c r="R310" s="15"/>
      <c r="S310" s="15"/>
      <c r="T310" s="15"/>
      <c r="U310" s="15"/>
      <c r="V310" s="15"/>
      <c r="W310" s="15"/>
      <c r="X310" s="15"/>
      <c r="Y310" s="15"/>
      <c r="Z310" s="15">
        <v>10</v>
      </c>
      <c r="AA310" s="15">
        <v>19</v>
      </c>
      <c r="AB310" s="15"/>
      <c r="AC310" s="15"/>
      <c r="AD310" s="15"/>
      <c r="AE310" s="15"/>
      <c r="AF310" s="15"/>
      <c r="AG310" s="15"/>
      <c r="AH310" s="15">
        <v>1</v>
      </c>
      <c r="AI310" s="15"/>
      <c r="AJ310" s="15"/>
      <c r="AK310" s="15"/>
      <c r="AL310" s="15"/>
      <c r="AM310" s="15"/>
      <c r="AN310" s="15">
        <v>35</v>
      </c>
      <c r="AO310" s="15"/>
      <c r="AP310" s="15">
        <v>45</v>
      </c>
      <c r="AQ310" s="15"/>
      <c r="AR310" s="15"/>
      <c r="AS310" s="15"/>
      <c r="AT310" s="15">
        <v>12</v>
      </c>
      <c r="AU310" s="15"/>
      <c r="AV310" s="15"/>
      <c r="AW310" s="15">
        <v>3</v>
      </c>
      <c r="AX310" s="15">
        <v>2</v>
      </c>
      <c r="AY310" s="15"/>
      <c r="AZ310" s="15">
        <v>10</v>
      </c>
      <c r="BA310" s="15">
        <v>19</v>
      </c>
      <c r="BB310" s="15"/>
      <c r="BC310" s="15"/>
      <c r="BD310" s="15"/>
      <c r="BE310" s="18"/>
    </row>
    <row r="311" spans="1:57">
      <c r="A311" s="13" t="s">
        <v>763</v>
      </c>
      <c r="B311" s="13" t="s">
        <v>747</v>
      </c>
      <c r="C311" s="14">
        <v>44596</v>
      </c>
      <c r="D311" s="15" t="s">
        <v>764</v>
      </c>
      <c r="E311" s="15" t="s">
        <v>480</v>
      </c>
      <c r="F311" s="21">
        <v>0.41666666666666669</v>
      </c>
      <c r="G311" s="17"/>
      <c r="H311" s="15" t="s">
        <v>123</v>
      </c>
      <c r="I311" s="15" t="s">
        <v>70</v>
      </c>
      <c r="J311" s="15" t="s">
        <v>128</v>
      </c>
      <c r="K311" s="15">
        <v>37</v>
      </c>
      <c r="L311" s="17"/>
      <c r="M311" s="17"/>
      <c r="N311" s="17"/>
      <c r="O311" s="17"/>
      <c r="P311" s="17"/>
      <c r="Q311" s="17"/>
      <c r="R311" s="17"/>
      <c r="S311" s="17"/>
      <c r="T311" s="17"/>
      <c r="U311" s="17"/>
      <c r="V311" s="17"/>
      <c r="W311" s="17"/>
      <c r="X311" s="15"/>
      <c r="Y311" s="15"/>
      <c r="Z311" s="17"/>
      <c r="AA311" s="17"/>
      <c r="AB311" s="17"/>
      <c r="AC311" s="17"/>
      <c r="AD311" s="15"/>
      <c r="AE311" s="17"/>
      <c r="AF311" s="17"/>
      <c r="AG311" s="17"/>
      <c r="AH311" s="17"/>
      <c r="AI311" s="15"/>
      <c r="AJ311" s="17"/>
      <c r="AK311" s="17"/>
      <c r="AL311" s="17"/>
      <c r="AM311" s="15"/>
      <c r="AN311" s="17"/>
      <c r="AO311" s="17"/>
      <c r="AP311" s="17"/>
      <c r="AQ311" s="17"/>
      <c r="AR311" s="17"/>
      <c r="AS311" s="17"/>
      <c r="AT311" s="17"/>
      <c r="AU311" s="17"/>
      <c r="AV311" s="17"/>
      <c r="AW311" s="17"/>
      <c r="AX311" s="17"/>
      <c r="AY311" s="17"/>
      <c r="AZ311" s="17"/>
      <c r="BA311" s="17"/>
      <c r="BB311" s="17"/>
      <c r="BC311" s="17"/>
      <c r="BD311" s="17"/>
      <c r="BE311" s="18"/>
    </row>
    <row r="312" spans="1:57" ht="31.5">
      <c r="A312" s="13" t="s">
        <v>765</v>
      </c>
      <c r="B312" s="13" t="s">
        <v>747</v>
      </c>
      <c r="C312" s="14">
        <v>44596</v>
      </c>
      <c r="D312" s="15" t="s">
        <v>753</v>
      </c>
      <c r="E312" s="15" t="s">
        <v>754</v>
      </c>
      <c r="F312" s="21">
        <v>0.5</v>
      </c>
      <c r="G312" s="15" t="s">
        <v>156</v>
      </c>
      <c r="H312" s="17"/>
      <c r="I312" s="15" t="s">
        <v>70</v>
      </c>
      <c r="J312" s="15" t="s">
        <v>71</v>
      </c>
      <c r="K312" s="15"/>
      <c r="L312" s="15"/>
      <c r="M312" s="15"/>
      <c r="N312" s="15"/>
      <c r="O312" s="15"/>
      <c r="P312" s="15"/>
      <c r="Q312" s="15"/>
      <c r="R312" s="15"/>
      <c r="S312" s="15"/>
      <c r="T312" s="15"/>
      <c r="U312" s="15"/>
      <c r="V312" s="15"/>
      <c r="W312" s="15"/>
      <c r="X312" s="15"/>
      <c r="Y312" s="15"/>
      <c r="Z312" s="15"/>
      <c r="AA312" s="15">
        <v>17</v>
      </c>
      <c r="AB312" s="15"/>
      <c r="AC312" s="15"/>
      <c r="AD312" s="15"/>
      <c r="AE312" s="15"/>
      <c r="AF312" s="15"/>
      <c r="AG312" s="15"/>
      <c r="AH312" s="15">
        <v>9</v>
      </c>
      <c r="AI312" s="15"/>
      <c r="AJ312" s="15"/>
      <c r="AK312" s="15"/>
      <c r="AL312" s="15"/>
      <c r="AM312" s="15"/>
      <c r="AN312" s="15"/>
      <c r="AO312" s="15"/>
      <c r="AP312" s="15"/>
      <c r="AQ312" s="15"/>
      <c r="AR312" s="15"/>
      <c r="AS312" s="15"/>
      <c r="AT312" s="15">
        <v>16</v>
      </c>
      <c r="AU312" s="15"/>
      <c r="AV312" s="15">
        <v>2</v>
      </c>
      <c r="AW312" s="15">
        <v>13</v>
      </c>
      <c r="AX312" s="15">
        <v>24</v>
      </c>
      <c r="AY312" s="15"/>
      <c r="AZ312" s="15"/>
      <c r="BA312" s="15">
        <v>39</v>
      </c>
      <c r="BB312" s="15"/>
      <c r="BC312" s="15"/>
      <c r="BD312" s="15"/>
      <c r="BE312" s="19"/>
    </row>
    <row r="313" spans="1:57" ht="31.5">
      <c r="A313" s="13" t="s">
        <v>766</v>
      </c>
      <c r="B313" s="13" t="s">
        <v>747</v>
      </c>
      <c r="C313" s="14">
        <v>44596</v>
      </c>
      <c r="D313" s="15" t="s">
        <v>767</v>
      </c>
      <c r="E313" s="15" t="s">
        <v>768</v>
      </c>
      <c r="F313" s="16">
        <v>0.47916666666666669</v>
      </c>
      <c r="G313" s="15" t="s">
        <v>156</v>
      </c>
      <c r="H313" s="15" t="s">
        <v>69</v>
      </c>
      <c r="I313" s="15" t="s">
        <v>70</v>
      </c>
      <c r="J313" s="15" t="s">
        <v>71</v>
      </c>
      <c r="K313" s="15"/>
      <c r="L313" s="15"/>
      <c r="M313" s="15"/>
      <c r="N313" s="15"/>
      <c r="O313" s="15"/>
      <c r="P313" s="15"/>
      <c r="Q313" s="15"/>
      <c r="R313" s="15"/>
      <c r="S313" s="15"/>
      <c r="T313" s="15"/>
      <c r="U313" s="15">
        <v>2</v>
      </c>
      <c r="V313" s="15"/>
      <c r="W313" s="15"/>
      <c r="X313" s="15"/>
      <c r="Y313" s="15"/>
      <c r="Z313" s="15">
        <v>61</v>
      </c>
      <c r="AA313" s="15">
        <v>21</v>
      </c>
      <c r="AB313" s="15"/>
      <c r="AC313" s="15">
        <v>39</v>
      </c>
      <c r="AD313" s="15"/>
      <c r="AE313" s="15"/>
      <c r="AF313" s="15"/>
      <c r="AG313" s="15"/>
      <c r="AH313" s="15">
        <v>18</v>
      </c>
      <c r="AI313" s="15"/>
      <c r="AJ313" s="15"/>
      <c r="AK313" s="15"/>
      <c r="AL313" s="15"/>
      <c r="AM313" s="15"/>
      <c r="AN313" s="15"/>
      <c r="AO313" s="15"/>
      <c r="AP313" s="15"/>
      <c r="AQ313" s="15"/>
      <c r="AR313" s="15"/>
      <c r="AS313" s="15"/>
      <c r="AT313" s="15">
        <v>41</v>
      </c>
      <c r="AU313" s="15"/>
      <c r="AV313" s="15"/>
      <c r="AW313" s="15"/>
      <c r="AX313" s="15">
        <v>27</v>
      </c>
      <c r="AY313" s="15"/>
      <c r="AZ313" s="15">
        <v>178</v>
      </c>
      <c r="BA313" s="15">
        <v>19</v>
      </c>
      <c r="BB313" s="15"/>
      <c r="BC313" s="15"/>
      <c r="BD313" s="15"/>
      <c r="BE313" s="18"/>
    </row>
    <row r="314" spans="1:57">
      <c r="A314" s="69" t="s">
        <v>769</v>
      </c>
      <c r="B314" s="69" t="s">
        <v>747</v>
      </c>
      <c r="C314" s="70">
        <v>44231</v>
      </c>
      <c r="D314" s="71" t="s">
        <v>770</v>
      </c>
      <c r="E314" s="72" t="s">
        <v>771</v>
      </c>
      <c r="F314" s="73">
        <v>0.40625</v>
      </c>
      <c r="G314" s="74"/>
      <c r="H314" s="72" t="s">
        <v>69</v>
      </c>
      <c r="I314" s="72" t="s">
        <v>70</v>
      </c>
      <c r="J314" s="72" t="s">
        <v>128</v>
      </c>
      <c r="K314" s="72">
        <v>139</v>
      </c>
      <c r="L314" s="74"/>
      <c r="M314" s="74"/>
      <c r="N314" s="74"/>
      <c r="O314" s="74"/>
      <c r="P314" s="74"/>
      <c r="Q314" s="74"/>
      <c r="R314" s="74"/>
      <c r="S314" s="74"/>
      <c r="T314" s="74"/>
      <c r="U314" s="74"/>
      <c r="V314" s="74"/>
      <c r="W314" s="74"/>
      <c r="X314" s="72"/>
      <c r="Y314" s="72"/>
      <c r="Z314" s="74"/>
      <c r="AA314" s="74"/>
      <c r="AB314" s="74"/>
      <c r="AC314" s="74"/>
      <c r="AD314" s="72"/>
      <c r="AE314" s="74"/>
      <c r="AF314" s="74"/>
      <c r="AG314" s="74"/>
      <c r="AH314" s="74"/>
      <c r="AI314" s="72"/>
      <c r="AJ314" s="74"/>
      <c r="AK314" s="74"/>
      <c r="AL314" s="74"/>
      <c r="AM314" s="72">
        <v>3</v>
      </c>
      <c r="AN314" s="74"/>
      <c r="AO314" s="74"/>
      <c r="AP314" s="74"/>
      <c r="AQ314" s="74"/>
      <c r="AR314" s="74"/>
      <c r="AS314" s="74"/>
      <c r="AT314" s="74"/>
      <c r="AU314" s="74"/>
      <c r="AV314" s="74"/>
      <c r="AW314" s="74"/>
      <c r="AX314" s="74"/>
      <c r="AY314" s="74"/>
      <c r="AZ314" s="74"/>
      <c r="BA314" s="74"/>
      <c r="BB314" s="74"/>
      <c r="BC314" s="74"/>
      <c r="BD314" s="74"/>
      <c r="BE314" s="75"/>
    </row>
    <row r="315" spans="1:57">
      <c r="A315" s="13" t="s">
        <v>772</v>
      </c>
      <c r="B315" s="13" t="s">
        <v>747</v>
      </c>
      <c r="C315" s="14">
        <v>44596</v>
      </c>
      <c r="D315" s="15" t="s">
        <v>773</v>
      </c>
      <c r="E315" s="15" t="s">
        <v>757</v>
      </c>
      <c r="F315" s="23">
        <v>1020</v>
      </c>
      <c r="G315" s="15" t="s">
        <v>78</v>
      </c>
      <c r="H315" s="15" t="s">
        <v>123</v>
      </c>
      <c r="I315" s="15" t="s">
        <v>70</v>
      </c>
      <c r="J315" s="15" t="s">
        <v>71</v>
      </c>
      <c r="K315" s="15">
        <v>31</v>
      </c>
      <c r="L315" s="15"/>
      <c r="M315" s="15">
        <v>150</v>
      </c>
      <c r="N315" s="15">
        <v>50</v>
      </c>
      <c r="O315" s="15"/>
      <c r="P315" s="15"/>
      <c r="Q315" s="15"/>
      <c r="R315" s="15"/>
      <c r="S315" s="15"/>
      <c r="T315" s="15"/>
      <c r="U315" s="15">
        <v>14</v>
      </c>
      <c r="V315" s="15"/>
      <c r="W315" s="15"/>
      <c r="X315" s="15"/>
      <c r="Y315" s="15"/>
      <c r="Z315" s="15">
        <v>39</v>
      </c>
      <c r="AA315" s="15"/>
      <c r="AB315" s="15">
        <v>100</v>
      </c>
      <c r="AC315" s="15"/>
      <c r="AD315" s="15"/>
      <c r="AE315" s="15"/>
      <c r="AF315" s="15">
        <v>1</v>
      </c>
      <c r="AG315" s="15">
        <v>6</v>
      </c>
      <c r="AH315" s="15">
        <v>1</v>
      </c>
      <c r="AI315" s="15"/>
      <c r="AJ315" s="15"/>
      <c r="AK315" s="15"/>
      <c r="AL315" s="15"/>
      <c r="AM315" s="15"/>
      <c r="AN315" s="15"/>
      <c r="AO315" s="15"/>
      <c r="AP315" s="15">
        <v>2</v>
      </c>
      <c r="AQ315" s="15"/>
      <c r="AR315" s="15"/>
      <c r="AS315" s="15">
        <v>24</v>
      </c>
      <c r="AT315" s="15"/>
      <c r="AU315" s="15"/>
      <c r="AV315" s="15"/>
      <c r="AW315" s="15"/>
      <c r="AX315" s="15"/>
      <c r="AY315" s="15"/>
      <c r="AZ315" s="15">
        <v>70</v>
      </c>
      <c r="BA315" s="15"/>
      <c r="BB315" s="15"/>
      <c r="BC315" s="15"/>
      <c r="BD315" s="15">
        <v>46</v>
      </c>
      <c r="BE315" s="18"/>
    </row>
    <row r="316" spans="1:57">
      <c r="A316" s="13" t="s">
        <v>774</v>
      </c>
      <c r="B316" s="13" t="s">
        <v>775</v>
      </c>
      <c r="C316" s="14">
        <v>44599</v>
      </c>
      <c r="D316" s="15" t="s">
        <v>611</v>
      </c>
      <c r="E316" s="15" t="s">
        <v>502</v>
      </c>
      <c r="F316" s="16">
        <v>0.51041666666666663</v>
      </c>
      <c r="G316" s="15" t="s">
        <v>156</v>
      </c>
      <c r="H316" s="15" t="s">
        <v>127</v>
      </c>
      <c r="I316" s="15" t="s">
        <v>70</v>
      </c>
      <c r="J316" s="15" t="s">
        <v>71</v>
      </c>
      <c r="K316" s="17"/>
      <c r="L316" s="17"/>
      <c r="M316" s="17"/>
      <c r="N316" s="17"/>
      <c r="O316" s="17"/>
      <c r="P316" s="17"/>
      <c r="Q316" s="17"/>
      <c r="R316" s="17"/>
      <c r="S316" s="17"/>
      <c r="T316" s="17"/>
      <c r="U316" s="17"/>
      <c r="V316" s="17"/>
      <c r="W316" s="17"/>
      <c r="X316" s="17"/>
      <c r="Y316" s="17"/>
      <c r="Z316" s="17"/>
      <c r="AA316" s="15">
        <v>2</v>
      </c>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5">
        <v>1</v>
      </c>
      <c r="BA316" s="17"/>
      <c r="BB316" s="17"/>
      <c r="BC316" s="17"/>
      <c r="BD316" s="17"/>
      <c r="BE316" s="18" t="s">
        <v>776</v>
      </c>
    </row>
    <row r="317" spans="1:57">
      <c r="A317" s="13" t="s">
        <v>777</v>
      </c>
      <c r="B317" s="13" t="s">
        <v>775</v>
      </c>
      <c r="C317" s="14">
        <v>44599</v>
      </c>
      <c r="D317" s="15" t="s">
        <v>611</v>
      </c>
      <c r="E317" s="25" t="s">
        <v>502</v>
      </c>
      <c r="F317" s="16">
        <v>0.45833333333333331</v>
      </c>
      <c r="G317" s="15" t="s">
        <v>156</v>
      </c>
      <c r="H317" s="15" t="s">
        <v>127</v>
      </c>
      <c r="I317" s="15" t="s">
        <v>70</v>
      </c>
      <c r="J317" s="15" t="s">
        <v>71</v>
      </c>
      <c r="K317" s="17"/>
      <c r="L317" s="17"/>
      <c r="M317" s="17"/>
      <c r="N317" s="17"/>
      <c r="O317" s="17"/>
      <c r="P317" s="17"/>
      <c r="Q317" s="17"/>
      <c r="R317" s="17"/>
      <c r="S317" s="17"/>
      <c r="T317" s="17"/>
      <c r="U317" s="17"/>
      <c r="V317" s="17"/>
      <c r="W317" s="17"/>
      <c r="X317" s="17"/>
      <c r="Y317" s="17"/>
      <c r="Z317" s="17"/>
      <c r="AA317" s="15">
        <v>16</v>
      </c>
      <c r="AB317" s="17"/>
      <c r="AC317" s="17"/>
      <c r="AD317" s="17"/>
      <c r="AE317" s="17"/>
      <c r="AF317" s="17"/>
      <c r="AG317" s="17"/>
      <c r="AH317" s="15">
        <v>3</v>
      </c>
      <c r="AI317" s="17"/>
      <c r="AJ317" s="17"/>
      <c r="AK317" s="17"/>
      <c r="AL317" s="17"/>
      <c r="AM317" s="15">
        <v>118</v>
      </c>
      <c r="AN317" s="17"/>
      <c r="AO317" s="17"/>
      <c r="AP317" s="15">
        <v>4</v>
      </c>
      <c r="AQ317" s="17"/>
      <c r="AR317" s="17"/>
      <c r="AS317" s="17"/>
      <c r="AT317" s="17"/>
      <c r="AU317" s="17"/>
      <c r="AV317" s="17"/>
      <c r="AW317" s="17"/>
      <c r="AX317" s="15">
        <v>3</v>
      </c>
      <c r="AY317" s="17"/>
      <c r="AZ317" s="15">
        <v>15</v>
      </c>
      <c r="BA317" s="15">
        <v>36</v>
      </c>
      <c r="BB317" s="17"/>
      <c r="BC317" s="17"/>
      <c r="BD317" s="17"/>
      <c r="BE317" s="18"/>
    </row>
    <row r="318" spans="1:57" ht="31.5">
      <c r="A318" s="13" t="s">
        <v>778</v>
      </c>
      <c r="B318" s="13" t="s">
        <v>775</v>
      </c>
      <c r="C318" s="14">
        <v>44600</v>
      </c>
      <c r="D318" s="15" t="s">
        <v>779</v>
      </c>
      <c r="E318" s="15" t="s">
        <v>424</v>
      </c>
      <c r="F318" s="16">
        <v>0.3125</v>
      </c>
      <c r="G318" s="15" t="s">
        <v>83</v>
      </c>
      <c r="H318" s="15" t="s">
        <v>69</v>
      </c>
      <c r="I318" s="15" t="s">
        <v>70</v>
      </c>
      <c r="J318" s="15" t="s">
        <v>71</v>
      </c>
      <c r="K318" s="15"/>
      <c r="L318" s="15"/>
      <c r="M318" s="15"/>
      <c r="N318" s="15"/>
      <c r="O318" s="15"/>
      <c r="P318" s="15"/>
      <c r="Q318" s="15"/>
      <c r="R318" s="15"/>
      <c r="S318" s="15"/>
      <c r="T318" s="15"/>
      <c r="U318" s="15"/>
      <c r="V318" s="15"/>
      <c r="W318" s="15"/>
      <c r="X318" s="15"/>
      <c r="Y318" s="15"/>
      <c r="Z318" s="15"/>
      <c r="AA318" s="15">
        <v>2</v>
      </c>
      <c r="AB318" s="15"/>
      <c r="AC318" s="15"/>
      <c r="AD318" s="15"/>
      <c r="AE318" s="15"/>
      <c r="AF318" s="15"/>
      <c r="AG318" s="15"/>
      <c r="AH318" s="15">
        <v>1</v>
      </c>
      <c r="AI318" s="15"/>
      <c r="AJ318" s="15"/>
      <c r="AK318" s="15"/>
      <c r="AL318" s="15"/>
      <c r="AM318" s="15"/>
      <c r="AN318" s="15"/>
      <c r="AO318" s="15"/>
      <c r="AP318" s="15"/>
      <c r="AQ318" s="15"/>
      <c r="AR318" s="15"/>
      <c r="AS318" s="15"/>
      <c r="AT318" s="15"/>
      <c r="AU318" s="15"/>
      <c r="AV318" s="15"/>
      <c r="AW318" s="15"/>
      <c r="AX318" s="15"/>
      <c r="AY318" s="15"/>
      <c r="AZ318" s="15">
        <v>3</v>
      </c>
      <c r="BA318" s="15">
        <v>3</v>
      </c>
      <c r="BB318" s="15"/>
      <c r="BC318" s="15"/>
      <c r="BD318" s="15"/>
      <c r="BE318" s="59" t="s">
        <v>780</v>
      </c>
    </row>
    <row r="319" spans="1:57" ht="31.5">
      <c r="A319" s="13" t="s">
        <v>781</v>
      </c>
      <c r="B319" s="13" t="s">
        <v>775</v>
      </c>
      <c r="C319" s="14"/>
      <c r="D319" s="51"/>
      <c r="F319" s="16"/>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8"/>
    </row>
    <row r="320" spans="1:57" ht="47.25">
      <c r="A320" s="13" t="s">
        <v>782</v>
      </c>
      <c r="B320" s="13" t="s">
        <v>775</v>
      </c>
      <c r="C320" s="14">
        <v>44600</v>
      </c>
      <c r="D320" s="15" t="s">
        <v>783</v>
      </c>
      <c r="E320" s="15" t="s">
        <v>424</v>
      </c>
      <c r="F320" s="16">
        <v>0.30208333333333331</v>
      </c>
      <c r="G320" s="15" t="s">
        <v>83</v>
      </c>
      <c r="H320" s="15" t="s">
        <v>69</v>
      </c>
      <c r="I320" s="15" t="s">
        <v>118</v>
      </c>
      <c r="J320" s="15" t="s">
        <v>71</v>
      </c>
      <c r="K320" s="15"/>
      <c r="L320" s="15"/>
      <c r="M320" s="15"/>
      <c r="N320" s="15"/>
      <c r="O320" s="15"/>
      <c r="P320" s="15"/>
      <c r="Q320" s="15"/>
      <c r="R320" s="15"/>
      <c r="S320" s="15"/>
      <c r="T320" s="15"/>
      <c r="U320" s="15"/>
      <c r="V320" s="15"/>
      <c r="W320" s="15"/>
      <c r="X320" s="15"/>
      <c r="Y320" s="15"/>
      <c r="Z320" s="15">
        <v>17</v>
      </c>
      <c r="AA320" s="15">
        <v>24</v>
      </c>
      <c r="AB320" s="15"/>
      <c r="AC320" s="15"/>
      <c r="AD320" s="15"/>
      <c r="AE320" s="15"/>
      <c r="AF320" s="15"/>
      <c r="AG320" s="15"/>
      <c r="AH320" s="15">
        <v>3</v>
      </c>
      <c r="AI320" s="15"/>
      <c r="AJ320" s="15"/>
      <c r="AK320" s="15"/>
      <c r="AL320" s="15"/>
      <c r="AM320" s="15"/>
      <c r="AN320" s="15"/>
      <c r="AO320" s="15"/>
      <c r="AP320" s="15">
        <v>1</v>
      </c>
      <c r="AQ320" s="15"/>
      <c r="AR320" s="15"/>
      <c r="AS320" s="15"/>
      <c r="AT320" s="15"/>
      <c r="AU320" s="15"/>
      <c r="AV320" s="15">
        <v>1</v>
      </c>
      <c r="AW320" s="15">
        <v>4</v>
      </c>
      <c r="AX320" s="15">
        <v>2</v>
      </c>
      <c r="AY320" s="15"/>
      <c r="AZ320" s="15">
        <v>19</v>
      </c>
      <c r="BA320" s="15">
        <v>5</v>
      </c>
      <c r="BB320" s="15"/>
      <c r="BC320" s="15"/>
      <c r="BD320" s="15"/>
      <c r="BE320" s="19"/>
    </row>
    <row r="321" spans="1:57">
      <c r="A321" s="13" t="s">
        <v>784</v>
      </c>
      <c r="B321" s="13" t="s">
        <v>775</v>
      </c>
      <c r="C321" s="14">
        <v>44602</v>
      </c>
      <c r="D321" s="15" t="s">
        <v>785</v>
      </c>
      <c r="E321" s="15" t="s">
        <v>786</v>
      </c>
      <c r="F321" s="23">
        <v>900</v>
      </c>
      <c r="G321" s="15" t="s">
        <v>78</v>
      </c>
      <c r="H321" s="15" t="s">
        <v>123</v>
      </c>
      <c r="I321" s="15" t="s">
        <v>70</v>
      </c>
      <c r="J321" s="15" t="s">
        <v>71</v>
      </c>
      <c r="K321" s="15"/>
      <c r="L321" s="15"/>
      <c r="M321" s="15">
        <v>2</v>
      </c>
      <c r="N321" s="15"/>
      <c r="O321" s="15"/>
      <c r="P321" s="15">
        <v>5</v>
      </c>
      <c r="Q321" s="15"/>
      <c r="R321" s="15"/>
      <c r="S321" s="15"/>
      <c r="T321" s="15"/>
      <c r="U321" s="15"/>
      <c r="V321" s="15"/>
      <c r="W321" s="15"/>
      <c r="X321" s="15"/>
      <c r="Y321" s="15"/>
      <c r="Z321" s="15"/>
      <c r="AA321" s="15">
        <v>89</v>
      </c>
      <c r="AB321" s="15"/>
      <c r="AC321" s="15"/>
      <c r="AD321" s="15"/>
      <c r="AE321" s="15"/>
      <c r="AF321" s="15"/>
      <c r="AG321" s="15"/>
      <c r="AH321" s="15">
        <v>6</v>
      </c>
      <c r="AI321" s="15"/>
      <c r="AJ321" s="15"/>
      <c r="AK321" s="15"/>
      <c r="AL321" s="15"/>
      <c r="AM321" s="15"/>
      <c r="AN321" s="15">
        <v>2</v>
      </c>
      <c r="AO321" s="15"/>
      <c r="AP321" s="15">
        <v>6</v>
      </c>
      <c r="AQ321" s="15">
        <v>1</v>
      </c>
      <c r="AR321" s="15"/>
      <c r="AS321" s="15"/>
      <c r="AT321" s="15">
        <v>1</v>
      </c>
      <c r="AU321" s="15"/>
      <c r="AV321" s="15">
        <v>3</v>
      </c>
      <c r="AW321" s="15">
        <v>116</v>
      </c>
      <c r="AX321" s="15">
        <v>12</v>
      </c>
      <c r="AY321" s="15">
        <v>2</v>
      </c>
      <c r="AZ321" s="15">
        <v>34</v>
      </c>
      <c r="BA321" s="15">
        <v>51</v>
      </c>
      <c r="BB321" s="15"/>
      <c r="BC321" s="15"/>
      <c r="BD321" s="15"/>
      <c r="BE321" s="19"/>
    </row>
    <row r="322" spans="1:57">
      <c r="A322" s="24" t="s">
        <v>787</v>
      </c>
      <c r="B322" s="24" t="s">
        <v>788</v>
      </c>
      <c r="C322" s="14">
        <v>44596</v>
      </c>
      <c r="D322" s="15" t="s">
        <v>789</v>
      </c>
      <c r="E322" s="15" t="s">
        <v>790</v>
      </c>
      <c r="F322" s="23">
        <v>1130</v>
      </c>
      <c r="G322" s="15" t="s">
        <v>83</v>
      </c>
      <c r="H322" s="15" t="s">
        <v>109</v>
      </c>
      <c r="I322" s="15" t="s">
        <v>118</v>
      </c>
      <c r="J322" s="15" t="s">
        <v>71</v>
      </c>
      <c r="K322" s="15"/>
      <c r="L322" s="15"/>
      <c r="M322" s="15"/>
      <c r="N322" s="15">
        <v>9</v>
      </c>
      <c r="O322" s="15">
        <v>5</v>
      </c>
      <c r="P322" s="15"/>
      <c r="Q322" s="15"/>
      <c r="R322" s="15"/>
      <c r="S322" s="15"/>
      <c r="T322" s="15"/>
      <c r="U322" s="15"/>
      <c r="V322" s="15"/>
      <c r="W322" s="15"/>
      <c r="X322" s="15"/>
      <c r="Y322" s="15"/>
      <c r="Z322" s="15"/>
      <c r="AA322" s="15"/>
      <c r="AB322" s="15"/>
      <c r="AC322" s="15"/>
      <c r="AD322" s="15"/>
      <c r="AE322" s="15"/>
      <c r="AF322" s="15"/>
      <c r="AG322" s="15"/>
      <c r="AH322" s="15">
        <v>4</v>
      </c>
      <c r="AI322" s="15"/>
      <c r="AJ322" s="15"/>
      <c r="AK322" s="15"/>
      <c r="AL322" s="15"/>
      <c r="AM322" s="15"/>
      <c r="AN322" s="15"/>
      <c r="AO322" s="15"/>
      <c r="AP322" s="15"/>
      <c r="AQ322" s="15"/>
      <c r="AR322" s="15"/>
      <c r="AS322" s="15">
        <v>7</v>
      </c>
      <c r="AT322" s="15">
        <v>1</v>
      </c>
      <c r="AU322" s="15"/>
      <c r="AV322" s="15"/>
      <c r="AW322" s="15"/>
      <c r="AX322" s="15">
        <v>3</v>
      </c>
      <c r="AY322" s="15"/>
      <c r="AZ322" s="15">
        <v>3</v>
      </c>
      <c r="BA322" s="15"/>
      <c r="BB322" s="15"/>
      <c r="BC322" s="15"/>
      <c r="BD322" s="15">
        <v>61</v>
      </c>
    </row>
    <row r="323" spans="1:57" ht="31.5">
      <c r="A323" s="24" t="s">
        <v>791</v>
      </c>
      <c r="B323" s="24" t="s">
        <v>788</v>
      </c>
      <c r="C323" s="14"/>
      <c r="F323" s="16"/>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59"/>
    </row>
    <row r="324" spans="1:57">
      <c r="A324" s="12" t="s">
        <v>792</v>
      </c>
      <c r="B324" s="12" t="s">
        <v>788</v>
      </c>
      <c r="C324" s="14">
        <v>44602</v>
      </c>
      <c r="D324" s="76" t="s">
        <v>793</v>
      </c>
      <c r="E324" s="77" t="s">
        <v>794</v>
      </c>
      <c r="F324" s="26">
        <v>0.71527777777777779</v>
      </c>
      <c r="G324" s="15"/>
      <c r="H324" s="15"/>
      <c r="I324" s="15"/>
      <c r="J324" s="15" t="s">
        <v>71</v>
      </c>
      <c r="K324" s="15"/>
      <c r="L324" s="15"/>
      <c r="M324" s="15"/>
      <c r="N324" s="15"/>
      <c r="O324" s="15"/>
      <c r="P324" s="15"/>
      <c r="Q324" s="15"/>
      <c r="R324" s="15"/>
      <c r="S324" s="15"/>
      <c r="T324" s="15"/>
      <c r="U324" s="15"/>
      <c r="V324" s="15"/>
      <c r="W324" s="15"/>
      <c r="X324" s="15"/>
      <c r="Y324" s="15"/>
      <c r="Z324" s="15">
        <v>11</v>
      </c>
      <c r="AA324" s="15"/>
      <c r="AB324" s="15"/>
      <c r="AC324" s="15"/>
      <c r="AD324" s="15"/>
      <c r="AE324" s="15"/>
      <c r="AF324" s="15"/>
      <c r="AG324" s="15"/>
      <c r="AH324" s="15"/>
      <c r="AI324" s="15"/>
      <c r="AJ324" s="15"/>
      <c r="AK324" s="15"/>
      <c r="AL324" s="15"/>
      <c r="AM324" s="15">
        <v>71</v>
      </c>
      <c r="AN324" s="15"/>
      <c r="AO324" s="15"/>
      <c r="AP324" s="15"/>
      <c r="AQ324" s="15"/>
      <c r="AR324" s="15"/>
      <c r="AS324" s="15"/>
      <c r="AT324" s="15"/>
      <c r="AU324" s="15"/>
      <c r="AV324" s="15"/>
      <c r="AW324" s="15">
        <v>1</v>
      </c>
      <c r="AX324" s="15">
        <v>23</v>
      </c>
      <c r="AY324" s="15"/>
      <c r="AZ324" s="15"/>
      <c r="BA324" s="15"/>
      <c r="BB324" s="15"/>
      <c r="BC324" s="15"/>
      <c r="BD324" s="15"/>
      <c r="BE324" s="78" t="s">
        <v>795</v>
      </c>
    </row>
    <row r="325" spans="1:57">
      <c r="A325" s="13" t="s">
        <v>796</v>
      </c>
      <c r="B325" s="13" t="s">
        <v>797</v>
      </c>
      <c r="C325" s="14">
        <v>44601</v>
      </c>
      <c r="D325" s="15" t="s">
        <v>798</v>
      </c>
      <c r="E325" s="15" t="s">
        <v>799</v>
      </c>
      <c r="F325" s="23">
        <v>715</v>
      </c>
      <c r="G325" s="15" t="s">
        <v>78</v>
      </c>
      <c r="H325" s="15" t="s">
        <v>69</v>
      </c>
      <c r="I325" s="15" t="s">
        <v>70</v>
      </c>
      <c r="J325" s="15" t="s">
        <v>71</v>
      </c>
      <c r="K325" s="15"/>
      <c r="L325" s="15"/>
      <c r="M325" s="15">
        <v>6</v>
      </c>
      <c r="N325" s="15"/>
      <c r="O325" s="15"/>
      <c r="P325" s="15"/>
      <c r="Q325" s="15"/>
      <c r="R325" s="15"/>
      <c r="S325" s="15"/>
      <c r="T325" s="15"/>
      <c r="U325" s="15"/>
      <c r="V325" s="15"/>
      <c r="W325" s="15"/>
      <c r="X325" s="15"/>
      <c r="Y325" s="15"/>
      <c r="Z325" s="15">
        <v>29</v>
      </c>
      <c r="AA325" s="15">
        <v>70</v>
      </c>
      <c r="AB325" s="15"/>
      <c r="AC325" s="15"/>
      <c r="AD325" s="15"/>
      <c r="AE325" s="15"/>
      <c r="AF325" s="15"/>
      <c r="AG325" s="15"/>
      <c r="AH325" s="15">
        <v>5</v>
      </c>
      <c r="AI325" s="15">
        <v>9</v>
      </c>
      <c r="AJ325" s="15"/>
      <c r="AK325" s="15"/>
      <c r="AL325" s="15"/>
      <c r="AM325" s="15">
        <v>4</v>
      </c>
      <c r="AN325" s="15">
        <v>1</v>
      </c>
      <c r="AO325" s="15"/>
      <c r="AP325" s="15"/>
      <c r="AQ325" s="15"/>
      <c r="AR325" s="15"/>
      <c r="AS325" s="15"/>
      <c r="AT325" s="15">
        <v>108</v>
      </c>
      <c r="AU325" s="15"/>
      <c r="AV325" s="15"/>
      <c r="AW325" s="15">
        <v>3</v>
      </c>
      <c r="AX325" s="15">
        <v>72</v>
      </c>
      <c r="AY325" s="15"/>
      <c r="AZ325" s="15">
        <v>11</v>
      </c>
      <c r="BA325" s="15">
        <v>198</v>
      </c>
      <c r="BB325" s="15">
        <v>5</v>
      </c>
      <c r="BC325" s="15"/>
      <c r="BD325" s="15"/>
      <c r="BE325" s="19"/>
    </row>
    <row r="326" spans="1:57">
      <c r="A326" s="13" t="s">
        <v>800</v>
      </c>
      <c r="B326" s="13" t="s">
        <v>797</v>
      </c>
      <c r="C326" s="14"/>
      <c r="F326" s="16"/>
      <c r="G326" s="15" t="s">
        <v>78</v>
      </c>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9"/>
    </row>
    <row r="327" spans="1:57" ht="31.5">
      <c r="A327" s="24" t="s">
        <v>801</v>
      </c>
      <c r="B327" s="24" t="s">
        <v>797</v>
      </c>
      <c r="C327" s="14">
        <v>44599</v>
      </c>
      <c r="D327" s="15" t="s">
        <v>802</v>
      </c>
      <c r="E327" s="15" t="s">
        <v>803</v>
      </c>
      <c r="F327" s="26">
        <v>0.40625</v>
      </c>
      <c r="G327" s="15" t="s">
        <v>78</v>
      </c>
      <c r="H327" s="15" t="s">
        <v>69</v>
      </c>
      <c r="I327" s="15" t="s">
        <v>70</v>
      </c>
      <c r="J327" s="15" t="s">
        <v>71</v>
      </c>
      <c r="K327" s="15">
        <v>5</v>
      </c>
      <c r="L327" s="15"/>
      <c r="M327" s="15">
        <v>1</v>
      </c>
      <c r="N327" s="15"/>
      <c r="O327" s="15">
        <v>1</v>
      </c>
      <c r="P327" s="15"/>
      <c r="Q327" s="15"/>
      <c r="R327" s="15"/>
      <c r="S327" s="15"/>
      <c r="T327" s="15"/>
      <c r="U327" s="15"/>
      <c r="V327" s="15"/>
      <c r="W327" s="15"/>
      <c r="X327" s="15"/>
      <c r="Y327" s="15">
        <v>16</v>
      </c>
      <c r="Z327" s="15">
        <v>10</v>
      </c>
      <c r="AA327" s="15">
        <v>6</v>
      </c>
      <c r="AB327" s="15">
        <v>54</v>
      </c>
      <c r="AC327" s="15">
        <v>12</v>
      </c>
      <c r="AD327" s="15"/>
      <c r="AE327" s="15"/>
      <c r="AF327" s="15"/>
      <c r="AG327" s="15"/>
      <c r="AH327" s="15">
        <v>5</v>
      </c>
      <c r="AI327" s="15"/>
      <c r="AJ327" s="15"/>
      <c r="AK327" s="15"/>
      <c r="AL327" s="15"/>
      <c r="AM327" s="15">
        <v>4</v>
      </c>
      <c r="AN327" s="15"/>
      <c r="AO327" s="15"/>
      <c r="AP327" s="15">
        <v>130</v>
      </c>
      <c r="AQ327" s="15"/>
      <c r="AR327" s="15"/>
      <c r="AS327" s="15">
        <v>107</v>
      </c>
      <c r="AT327" s="15"/>
      <c r="AU327" s="15"/>
      <c r="AV327" s="15">
        <v>2</v>
      </c>
      <c r="AW327" s="15">
        <v>38</v>
      </c>
      <c r="AX327" s="15">
        <v>469</v>
      </c>
      <c r="AY327" s="15"/>
      <c r="AZ327" s="15">
        <v>6</v>
      </c>
      <c r="BA327" s="15"/>
      <c r="BB327" s="15"/>
      <c r="BC327" s="15"/>
      <c r="BD327" s="15">
        <v>65</v>
      </c>
      <c r="BE327" s="19"/>
    </row>
    <row r="328" spans="1:57" ht="31.5">
      <c r="A328" s="24" t="s">
        <v>804</v>
      </c>
      <c r="B328" s="31" t="s">
        <v>797</v>
      </c>
      <c r="C328" s="14"/>
      <c r="F328" s="16"/>
      <c r="G328" s="17"/>
      <c r="H328" s="17"/>
      <c r="I328" s="17"/>
      <c r="J328" s="17"/>
      <c r="BE328" s="18"/>
    </row>
    <row r="329" spans="1:57" ht="47.25">
      <c r="A329" s="13" t="s">
        <v>805</v>
      </c>
      <c r="B329" s="13" t="s">
        <v>797</v>
      </c>
      <c r="C329" s="14">
        <v>44599</v>
      </c>
      <c r="D329" s="15" t="s">
        <v>806</v>
      </c>
      <c r="E329" s="79" t="s">
        <v>807</v>
      </c>
      <c r="F329" s="16">
        <v>0.35416666666666669</v>
      </c>
      <c r="G329" s="15" t="s">
        <v>78</v>
      </c>
      <c r="H329" s="15" t="s">
        <v>69</v>
      </c>
      <c r="I329" s="15" t="s">
        <v>70</v>
      </c>
      <c r="J329" s="15" t="s">
        <v>71</v>
      </c>
      <c r="K329" s="15"/>
      <c r="L329" s="15"/>
      <c r="M329" s="15"/>
      <c r="N329" s="15"/>
      <c r="O329" s="15"/>
      <c r="P329" s="15"/>
      <c r="Q329" s="15"/>
      <c r="R329" s="15"/>
      <c r="S329" s="15"/>
      <c r="T329" s="15"/>
      <c r="U329" s="15"/>
      <c r="V329" s="15"/>
      <c r="W329" s="15"/>
      <c r="X329" s="15"/>
      <c r="Y329" s="15"/>
      <c r="Z329" s="15">
        <v>8</v>
      </c>
      <c r="AA329" s="15"/>
      <c r="AB329" s="15"/>
      <c r="AC329" s="15"/>
      <c r="AD329" s="15"/>
      <c r="AE329" s="15"/>
      <c r="AF329" s="15"/>
      <c r="AG329" s="15"/>
      <c r="AH329" s="15"/>
      <c r="AI329" s="15"/>
      <c r="AJ329" s="15"/>
      <c r="AK329" s="15"/>
      <c r="AL329" s="15"/>
      <c r="AM329" s="15"/>
      <c r="AN329" s="15"/>
      <c r="AO329" s="15"/>
      <c r="AP329" s="15">
        <v>17</v>
      </c>
      <c r="AQ329" s="15"/>
      <c r="AR329" s="15"/>
      <c r="AS329" s="15"/>
      <c r="AT329" s="15">
        <v>2</v>
      </c>
      <c r="AU329" s="15"/>
      <c r="AV329" s="15"/>
      <c r="AW329" s="15">
        <v>1</v>
      </c>
      <c r="AX329" s="15">
        <v>53</v>
      </c>
      <c r="AY329" s="15"/>
      <c r="AZ329" s="15">
        <v>64</v>
      </c>
      <c r="BA329" s="15">
        <v>1</v>
      </c>
      <c r="BB329" s="15"/>
      <c r="BC329" s="15"/>
      <c r="BD329" s="15">
        <v>1</v>
      </c>
      <c r="BE329" s="18" t="s">
        <v>808</v>
      </c>
    </row>
    <row r="330" spans="1:57" ht="31.5">
      <c r="A330" s="35" t="s">
        <v>809</v>
      </c>
      <c r="B330" s="35" t="s">
        <v>797</v>
      </c>
      <c r="C330" s="32"/>
      <c r="F330" s="16"/>
      <c r="BE330" s="18"/>
    </row>
    <row r="331" spans="1:57">
      <c r="A331" s="80" t="s">
        <v>810</v>
      </c>
      <c r="B331" s="31" t="s">
        <v>797</v>
      </c>
      <c r="C331" s="81">
        <v>44599</v>
      </c>
      <c r="D331" s="72" t="s">
        <v>125</v>
      </c>
      <c r="E331" s="72" t="s">
        <v>126</v>
      </c>
      <c r="F331" s="82">
        <v>1230</v>
      </c>
      <c r="G331" s="72" t="s">
        <v>83</v>
      </c>
      <c r="H331" s="72" t="s">
        <v>109</v>
      </c>
      <c r="I331" s="72" t="s">
        <v>70</v>
      </c>
      <c r="J331" s="72" t="s">
        <v>128</v>
      </c>
      <c r="K331" s="72">
        <v>10</v>
      </c>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17"/>
      <c r="AP331" s="72"/>
      <c r="AQ331" s="72"/>
      <c r="AR331" s="72"/>
      <c r="AS331" s="72"/>
      <c r="AT331" s="72"/>
      <c r="AU331" s="72"/>
      <c r="AV331" s="72"/>
      <c r="AW331" s="72"/>
      <c r="AX331" s="72"/>
      <c r="AY331" s="72"/>
      <c r="AZ331" s="72"/>
      <c r="BA331" s="72"/>
      <c r="BB331" s="72"/>
      <c r="BC331" s="72"/>
      <c r="BD331" s="72"/>
      <c r="BE331" s="83"/>
    </row>
    <row r="332" spans="1:57" ht="39">
      <c r="A332" s="35" t="s">
        <v>811</v>
      </c>
      <c r="B332" s="35" t="s">
        <v>797</v>
      </c>
      <c r="C332" s="30">
        <v>44601</v>
      </c>
      <c r="D332" s="15" t="s">
        <v>812</v>
      </c>
      <c r="E332" s="15" t="s">
        <v>813</v>
      </c>
      <c r="F332" s="16">
        <v>0.41666666666666669</v>
      </c>
      <c r="G332" s="15" t="s">
        <v>78</v>
      </c>
      <c r="H332" s="15" t="s">
        <v>109</v>
      </c>
      <c r="I332" s="15" t="s">
        <v>70</v>
      </c>
      <c r="J332" s="15" t="s">
        <v>71</v>
      </c>
      <c r="Z332" s="15">
        <v>16</v>
      </c>
      <c r="AA332" s="15">
        <v>68</v>
      </c>
      <c r="AH332" s="15">
        <v>28</v>
      </c>
      <c r="AM332" s="15">
        <v>20</v>
      </c>
      <c r="AN332" s="15">
        <v>1</v>
      </c>
      <c r="AP332" s="15">
        <v>20</v>
      </c>
      <c r="AT332" s="15">
        <v>36</v>
      </c>
      <c r="AV332" s="15">
        <v>1</v>
      </c>
      <c r="AW332" s="15">
        <v>5</v>
      </c>
      <c r="AX332" s="15">
        <v>460</v>
      </c>
      <c r="AZ332" s="15">
        <v>196</v>
      </c>
      <c r="BA332" s="15">
        <v>115</v>
      </c>
      <c r="BB332" s="15">
        <v>18</v>
      </c>
      <c r="BE332" s="18" t="s">
        <v>814</v>
      </c>
    </row>
    <row r="333" spans="1:57" ht="47.25">
      <c r="A333" s="35" t="s">
        <v>815</v>
      </c>
      <c r="B333" s="35" t="s">
        <v>797</v>
      </c>
      <c r="C333" s="30"/>
      <c r="F333" s="16"/>
      <c r="G333" s="17"/>
      <c r="H333" s="17"/>
      <c r="I333" s="17"/>
      <c r="J333" s="17"/>
      <c r="AO333" s="17"/>
      <c r="BE333" s="18"/>
    </row>
    <row r="334" spans="1:57" ht="47.25">
      <c r="A334" s="84" t="s">
        <v>816</v>
      </c>
      <c r="B334" s="35" t="s">
        <v>797</v>
      </c>
      <c r="C334" s="30"/>
      <c r="F334" s="16"/>
      <c r="G334" s="17"/>
      <c r="H334" s="17"/>
      <c r="I334" s="17"/>
      <c r="J334" s="17"/>
      <c r="AO334" s="17"/>
      <c r="BE334" s="18"/>
    </row>
    <row r="335" spans="1:57" ht="47.25">
      <c r="A335" s="35" t="s">
        <v>817</v>
      </c>
      <c r="B335" s="31" t="s">
        <v>797</v>
      </c>
      <c r="C335" s="30">
        <v>44602</v>
      </c>
      <c r="D335" s="15" t="s">
        <v>275</v>
      </c>
      <c r="E335" s="15" t="s">
        <v>276</v>
      </c>
      <c r="F335" s="16">
        <v>0.60416666666666663</v>
      </c>
      <c r="G335" s="17"/>
      <c r="H335" s="17"/>
      <c r="I335" s="17"/>
      <c r="J335" s="15" t="s">
        <v>71</v>
      </c>
      <c r="AO335" s="17"/>
      <c r="BE335" s="18" t="s">
        <v>818</v>
      </c>
    </row>
    <row r="336" spans="1:57" ht="31.5">
      <c r="A336" s="35" t="s">
        <v>819</v>
      </c>
      <c r="B336" s="35" t="s">
        <v>797</v>
      </c>
      <c r="C336" s="32">
        <v>44599</v>
      </c>
      <c r="D336" s="15" t="s">
        <v>820</v>
      </c>
      <c r="E336" s="15" t="s">
        <v>821</v>
      </c>
      <c r="F336" s="26">
        <v>0.37152777777777779</v>
      </c>
      <c r="G336" s="15" t="s">
        <v>78</v>
      </c>
      <c r="H336" s="15" t="s">
        <v>69</v>
      </c>
      <c r="I336" s="15" t="s">
        <v>70</v>
      </c>
      <c r="J336" s="15" t="s">
        <v>71</v>
      </c>
      <c r="K336" s="15"/>
      <c r="L336" s="15"/>
      <c r="M336" s="15"/>
      <c r="N336" s="15"/>
      <c r="O336" s="15">
        <v>3</v>
      </c>
      <c r="P336" s="15"/>
      <c r="Q336" s="15"/>
      <c r="R336" s="15">
        <v>1</v>
      </c>
      <c r="S336" s="15"/>
      <c r="T336" s="15"/>
      <c r="U336" s="15"/>
      <c r="V336" s="15"/>
      <c r="W336" s="15"/>
      <c r="X336" s="15">
        <v>1</v>
      </c>
      <c r="Y336" s="15">
        <v>9</v>
      </c>
      <c r="Z336" s="15">
        <v>35</v>
      </c>
      <c r="AA336" s="15">
        <v>39</v>
      </c>
      <c r="AB336" s="15">
        <v>15</v>
      </c>
      <c r="AC336" s="15"/>
      <c r="AD336" s="15"/>
      <c r="AE336" s="15">
        <v>2</v>
      </c>
      <c r="AF336" s="15"/>
      <c r="AG336" s="15"/>
      <c r="AH336" s="15">
        <v>9</v>
      </c>
      <c r="AI336" s="15">
        <v>6</v>
      </c>
      <c r="AJ336" s="15"/>
      <c r="AK336" s="15"/>
      <c r="AL336" s="15"/>
      <c r="AM336" s="15">
        <v>723</v>
      </c>
      <c r="AN336" s="15"/>
      <c r="AO336" s="15"/>
      <c r="AP336" s="15">
        <v>44</v>
      </c>
      <c r="AQ336" s="15"/>
      <c r="AR336" s="15"/>
      <c r="AS336" s="15">
        <v>36</v>
      </c>
      <c r="AT336" s="15">
        <v>45</v>
      </c>
      <c r="AU336" s="15"/>
      <c r="AV336" s="15"/>
      <c r="AW336" s="15">
        <v>107</v>
      </c>
      <c r="AX336" s="15">
        <v>271</v>
      </c>
      <c r="AY336" s="15"/>
      <c r="AZ336" s="15">
        <v>15</v>
      </c>
      <c r="BA336" s="15">
        <v>7</v>
      </c>
      <c r="BB336" s="15">
        <v>1</v>
      </c>
      <c r="BC336" s="15"/>
      <c r="BD336" s="15"/>
      <c r="BE336" s="19"/>
    </row>
    <row r="337" spans="1:57" ht="31.5">
      <c r="A337" s="85" t="s">
        <v>822</v>
      </c>
      <c r="B337" s="31" t="s">
        <v>797</v>
      </c>
      <c r="C337" s="32">
        <v>44599</v>
      </c>
      <c r="D337" s="15" t="s">
        <v>125</v>
      </c>
      <c r="E337" s="15" t="s">
        <v>126</v>
      </c>
      <c r="F337" s="23">
        <v>1500</v>
      </c>
      <c r="G337" s="15" t="s">
        <v>83</v>
      </c>
      <c r="H337" s="15" t="s">
        <v>123</v>
      </c>
      <c r="I337" s="15" t="s">
        <v>70</v>
      </c>
      <c r="J337" s="15" t="s">
        <v>128</v>
      </c>
      <c r="AO337" s="17"/>
      <c r="BE337" s="19"/>
    </row>
    <row r="338" spans="1:57" ht="77.25">
      <c r="A338" s="35" t="s">
        <v>823</v>
      </c>
      <c r="B338" s="35" t="s">
        <v>797</v>
      </c>
      <c r="C338" s="32">
        <v>44599</v>
      </c>
      <c r="D338" s="18" t="s">
        <v>824</v>
      </c>
      <c r="E338" s="15" t="s">
        <v>825</v>
      </c>
      <c r="F338" s="16">
        <v>0.3125</v>
      </c>
      <c r="G338" s="15" t="s">
        <v>78</v>
      </c>
      <c r="H338" s="15" t="s">
        <v>69</v>
      </c>
      <c r="I338" s="15" t="s">
        <v>70</v>
      </c>
      <c r="J338" s="15" t="s">
        <v>71</v>
      </c>
      <c r="M338" s="15">
        <v>1</v>
      </c>
      <c r="Z338" s="15">
        <v>119</v>
      </c>
      <c r="AA338" s="15">
        <v>342</v>
      </c>
      <c r="AB338" s="15">
        <v>36</v>
      </c>
      <c r="AM338" s="15">
        <v>213</v>
      </c>
      <c r="AN338" s="15">
        <v>9</v>
      </c>
      <c r="AP338" s="15">
        <v>14</v>
      </c>
      <c r="AS338" s="15">
        <v>1</v>
      </c>
      <c r="AT338" s="15">
        <v>41</v>
      </c>
      <c r="AV338" s="15">
        <v>5</v>
      </c>
      <c r="AW338" s="15">
        <v>28</v>
      </c>
      <c r="AX338" s="15">
        <v>1353</v>
      </c>
      <c r="AZ338" s="15">
        <v>378</v>
      </c>
      <c r="BA338" s="15">
        <v>301</v>
      </c>
      <c r="BB338" s="15">
        <v>2</v>
      </c>
      <c r="BE338" s="18" t="s">
        <v>826</v>
      </c>
    </row>
    <row r="339" spans="1:57">
      <c r="A339" s="35" t="s">
        <v>827</v>
      </c>
      <c r="B339" s="35" t="s">
        <v>828</v>
      </c>
      <c r="C339" s="32">
        <v>44601</v>
      </c>
      <c r="D339" s="36" t="s">
        <v>283</v>
      </c>
      <c r="E339" s="15" t="s">
        <v>82</v>
      </c>
      <c r="F339" s="21">
        <v>0.67013888888888884</v>
      </c>
      <c r="G339" s="15" t="s">
        <v>78</v>
      </c>
      <c r="H339" s="15" t="s">
        <v>69</v>
      </c>
      <c r="I339" s="15" t="s">
        <v>70</v>
      </c>
      <c r="J339" s="15" t="s">
        <v>71</v>
      </c>
      <c r="K339" s="15">
        <v>2</v>
      </c>
      <c r="L339" s="15"/>
      <c r="M339" s="15">
        <v>3</v>
      </c>
      <c r="N339" s="15">
        <v>173</v>
      </c>
      <c r="O339" s="15">
        <v>5</v>
      </c>
      <c r="P339" s="15"/>
      <c r="Q339" s="15"/>
      <c r="R339" s="15"/>
      <c r="S339" s="15"/>
      <c r="T339" s="15"/>
      <c r="U339" s="15">
        <v>10</v>
      </c>
      <c r="V339" s="15"/>
      <c r="W339" s="15"/>
      <c r="X339" s="15"/>
      <c r="Y339" s="15"/>
      <c r="Z339" s="15"/>
      <c r="AA339" s="15">
        <v>13</v>
      </c>
      <c r="AB339" s="15">
        <v>13</v>
      </c>
      <c r="AC339" s="15"/>
      <c r="AD339" s="15"/>
      <c r="AE339" s="15"/>
      <c r="AF339" s="15"/>
      <c r="AG339" s="15"/>
      <c r="AH339" s="15">
        <v>55</v>
      </c>
      <c r="AI339" s="15"/>
      <c r="AJ339" s="15"/>
      <c r="AK339" s="15"/>
      <c r="AL339" s="15"/>
      <c r="AM339" s="15">
        <v>117</v>
      </c>
      <c r="AN339" s="15">
        <v>2</v>
      </c>
      <c r="AO339" s="15"/>
      <c r="AP339" s="15">
        <v>9</v>
      </c>
      <c r="AQ339" s="15"/>
      <c r="AR339" s="15"/>
      <c r="AS339" s="15"/>
      <c r="AT339" s="15">
        <v>2</v>
      </c>
      <c r="AU339" s="15"/>
      <c r="AV339" s="15"/>
      <c r="AW339" s="15">
        <v>14</v>
      </c>
      <c r="AX339" s="15">
        <v>3</v>
      </c>
      <c r="AY339" s="15"/>
      <c r="AZ339" s="15">
        <v>156</v>
      </c>
      <c r="BA339" s="15"/>
      <c r="BB339" s="15"/>
      <c r="BC339" s="15"/>
      <c r="BD339" s="15">
        <v>1</v>
      </c>
      <c r="BE339" s="18"/>
    </row>
    <row r="340" spans="1:57">
      <c r="A340" s="35" t="s">
        <v>829</v>
      </c>
      <c r="B340" s="35" t="s">
        <v>828</v>
      </c>
      <c r="C340" s="32">
        <v>44601</v>
      </c>
      <c r="D340" s="15" t="s">
        <v>830</v>
      </c>
      <c r="E340" s="15" t="s">
        <v>831</v>
      </c>
      <c r="F340" s="16">
        <v>0.31041666666666667</v>
      </c>
      <c r="G340" s="15" t="s">
        <v>68</v>
      </c>
      <c r="H340" s="15" t="s">
        <v>69</v>
      </c>
      <c r="I340" s="15" t="s">
        <v>70</v>
      </c>
      <c r="J340" s="15" t="s">
        <v>71</v>
      </c>
      <c r="L340" s="15">
        <v>1</v>
      </c>
      <c r="M340" s="15">
        <v>18</v>
      </c>
      <c r="N340" s="15">
        <v>1483</v>
      </c>
      <c r="O340" s="15">
        <v>14</v>
      </c>
      <c r="Q340" s="15">
        <v>15</v>
      </c>
      <c r="R340" s="15">
        <v>3</v>
      </c>
      <c r="T340" s="15">
        <v>22</v>
      </c>
      <c r="U340" s="15">
        <v>184</v>
      </c>
      <c r="AB340" s="15">
        <v>48</v>
      </c>
      <c r="AF340" s="15">
        <v>240</v>
      </c>
      <c r="AH340" s="15">
        <v>212</v>
      </c>
      <c r="AJ340" s="15">
        <v>3</v>
      </c>
      <c r="AS340" s="15">
        <v>40</v>
      </c>
      <c r="AT340" s="15">
        <v>6</v>
      </c>
      <c r="AX340" s="15">
        <v>2</v>
      </c>
      <c r="AZ340" s="15">
        <v>9</v>
      </c>
      <c r="BD340" s="15">
        <v>58</v>
      </c>
      <c r="BE340" s="18"/>
    </row>
    <row r="341" spans="1:57">
      <c r="A341" s="35" t="s">
        <v>832</v>
      </c>
      <c r="B341" s="35" t="s">
        <v>828</v>
      </c>
      <c r="C341" s="32">
        <v>44601</v>
      </c>
      <c r="D341" s="15" t="s">
        <v>66</v>
      </c>
      <c r="E341" s="15" t="s">
        <v>67</v>
      </c>
      <c r="F341" s="16">
        <v>0.44791666666666669</v>
      </c>
      <c r="G341" s="15" t="s">
        <v>68</v>
      </c>
      <c r="H341" s="15" t="s">
        <v>69</v>
      </c>
      <c r="I341" s="15" t="s">
        <v>70</v>
      </c>
      <c r="J341" s="15" t="s">
        <v>71</v>
      </c>
      <c r="K341" s="15">
        <v>129</v>
      </c>
      <c r="L341" s="15"/>
      <c r="M341" s="15">
        <v>25</v>
      </c>
      <c r="N341" s="15">
        <v>1235</v>
      </c>
      <c r="O341" s="15"/>
      <c r="P341" s="15"/>
      <c r="Q341" s="15">
        <v>2</v>
      </c>
      <c r="R341" s="15"/>
      <c r="S341" s="15"/>
      <c r="T341" s="15"/>
      <c r="U341" s="15">
        <v>29</v>
      </c>
      <c r="V341" s="15"/>
      <c r="W341" s="15">
        <v>38</v>
      </c>
      <c r="X341" s="15"/>
      <c r="Y341" s="15">
        <v>1</v>
      </c>
      <c r="Z341" s="15">
        <v>98</v>
      </c>
      <c r="AA341" s="15">
        <v>10</v>
      </c>
      <c r="AB341" s="15">
        <v>2</v>
      </c>
      <c r="AC341" s="15"/>
      <c r="AD341" s="15"/>
      <c r="AE341" s="15"/>
      <c r="AF341" s="15"/>
      <c r="AG341" s="15"/>
      <c r="AH341" s="15">
        <v>270</v>
      </c>
      <c r="AI341" s="15"/>
      <c r="AJ341" s="15"/>
      <c r="AK341" s="15"/>
      <c r="AL341" s="15"/>
      <c r="AM341" s="15"/>
      <c r="AN341" s="15"/>
      <c r="AO341" s="15"/>
      <c r="AP341" s="15">
        <v>71</v>
      </c>
      <c r="AQ341" s="15"/>
      <c r="AR341" s="15"/>
      <c r="AS341" s="15">
        <v>178</v>
      </c>
      <c r="AT341" s="15">
        <v>65</v>
      </c>
      <c r="AU341" s="15"/>
      <c r="AV341" s="15"/>
      <c r="AW341" s="15">
        <v>7</v>
      </c>
      <c r="AX341" s="15"/>
      <c r="AY341" s="15"/>
      <c r="AZ341" s="15">
        <v>716</v>
      </c>
      <c r="BA341" s="15"/>
      <c r="BB341" s="15"/>
      <c r="BC341" s="15"/>
      <c r="BD341" s="15">
        <v>29</v>
      </c>
      <c r="BE341" s="19"/>
    </row>
    <row r="342" spans="1:57">
      <c r="A342" s="31" t="s">
        <v>833</v>
      </c>
      <c r="B342" s="35" t="s">
        <v>834</v>
      </c>
      <c r="C342" s="14">
        <v>44602</v>
      </c>
      <c r="D342" s="15" t="s">
        <v>81</v>
      </c>
      <c r="E342" s="15" t="s">
        <v>82</v>
      </c>
      <c r="F342" s="16">
        <v>0.49583333333333335</v>
      </c>
      <c r="G342" s="15" t="s">
        <v>83</v>
      </c>
      <c r="H342" s="15" t="s">
        <v>127</v>
      </c>
      <c r="I342" s="15" t="s">
        <v>70</v>
      </c>
      <c r="J342" s="15" t="s">
        <v>71</v>
      </c>
      <c r="K342" s="15"/>
      <c r="L342" s="15"/>
      <c r="M342" s="15"/>
      <c r="N342" s="15"/>
      <c r="O342" s="15"/>
      <c r="P342" s="15"/>
      <c r="Q342" s="15"/>
      <c r="R342" s="15"/>
      <c r="S342" s="15"/>
      <c r="T342" s="15"/>
      <c r="U342" s="15"/>
      <c r="V342" s="15"/>
      <c r="W342" s="15"/>
      <c r="X342" s="15"/>
      <c r="Y342" s="15"/>
      <c r="Z342" s="15"/>
      <c r="AA342" s="15">
        <v>123</v>
      </c>
      <c r="AB342" s="15"/>
      <c r="AC342" s="15"/>
      <c r="AD342" s="15"/>
      <c r="AE342" s="15"/>
      <c r="AF342" s="15"/>
      <c r="AG342" s="15"/>
      <c r="AH342" s="15">
        <v>1</v>
      </c>
      <c r="AI342" s="15"/>
      <c r="AJ342" s="15"/>
      <c r="AK342" s="15"/>
      <c r="AL342" s="15"/>
      <c r="AM342" s="15"/>
      <c r="AN342" s="15"/>
      <c r="AO342" s="15"/>
      <c r="AP342" s="15"/>
      <c r="AQ342" s="15"/>
      <c r="AR342" s="15"/>
      <c r="AS342" s="15"/>
      <c r="AT342" s="15"/>
      <c r="AU342" s="15"/>
      <c r="AV342" s="15"/>
      <c r="AW342" s="15"/>
      <c r="AX342" s="15">
        <v>1</v>
      </c>
      <c r="AY342" s="15"/>
      <c r="AZ342" s="15">
        <v>3</v>
      </c>
      <c r="BA342" s="15"/>
      <c r="BB342" s="15"/>
      <c r="BC342" s="15"/>
      <c r="BD342" s="15"/>
      <c r="BE342" s="19"/>
    </row>
    <row r="343" spans="1:57">
      <c r="A343" s="35" t="s">
        <v>835</v>
      </c>
      <c r="B343" s="35" t="s">
        <v>834</v>
      </c>
      <c r="C343" s="14">
        <v>44602</v>
      </c>
      <c r="D343" s="15" t="s">
        <v>81</v>
      </c>
      <c r="E343" s="15" t="s">
        <v>82</v>
      </c>
      <c r="F343" s="16">
        <v>0.55763888888888891</v>
      </c>
      <c r="G343" s="15" t="s">
        <v>83</v>
      </c>
      <c r="H343" s="15" t="s">
        <v>127</v>
      </c>
      <c r="I343" s="15" t="s">
        <v>70</v>
      </c>
      <c r="J343" s="15" t="s">
        <v>71</v>
      </c>
      <c r="K343" s="15"/>
      <c r="L343" s="15"/>
      <c r="M343" s="15">
        <v>1</v>
      </c>
      <c r="N343" s="15"/>
      <c r="O343" s="15"/>
      <c r="P343" s="15"/>
      <c r="Q343" s="15"/>
      <c r="R343" s="15"/>
      <c r="S343" s="15"/>
      <c r="T343" s="15"/>
      <c r="U343" s="15"/>
      <c r="V343" s="15"/>
      <c r="W343" s="15"/>
      <c r="X343" s="15"/>
      <c r="Y343" s="15"/>
      <c r="Z343" s="15"/>
      <c r="AA343" s="15">
        <v>5</v>
      </c>
      <c r="AB343" s="15"/>
      <c r="AC343" s="15"/>
      <c r="AD343" s="15">
        <v>4</v>
      </c>
      <c r="AE343" s="15"/>
      <c r="AF343" s="15"/>
      <c r="AG343" s="15"/>
      <c r="AH343" s="15">
        <v>1</v>
      </c>
      <c r="AI343" s="15"/>
      <c r="AJ343" s="15"/>
      <c r="AK343" s="15"/>
      <c r="AL343" s="15"/>
      <c r="AM343" s="15"/>
      <c r="AN343" s="15">
        <v>127</v>
      </c>
      <c r="AO343" s="15"/>
      <c r="AP343" s="15"/>
      <c r="AQ343" s="15"/>
      <c r="AR343" s="15"/>
      <c r="AS343" s="15"/>
      <c r="AT343" s="15"/>
      <c r="AU343" s="15"/>
      <c r="AV343" s="15"/>
      <c r="AW343" s="15"/>
      <c r="AX343" s="15"/>
      <c r="AY343" s="15"/>
      <c r="AZ343" s="15">
        <v>6</v>
      </c>
      <c r="BA343" s="15"/>
      <c r="BB343" s="15"/>
      <c r="BC343" s="15"/>
      <c r="BD343" s="15"/>
      <c r="BE343" s="18"/>
    </row>
    <row r="344" spans="1:57">
      <c r="A344" s="86" t="s">
        <v>836</v>
      </c>
      <c r="B344" s="35" t="s">
        <v>834</v>
      </c>
      <c r="C344" s="14">
        <v>44602</v>
      </c>
      <c r="D344" s="15" t="s">
        <v>81</v>
      </c>
      <c r="E344" s="15" t="s">
        <v>82</v>
      </c>
      <c r="F344" s="16">
        <v>0.47430555555555554</v>
      </c>
      <c r="G344" s="15" t="s">
        <v>83</v>
      </c>
      <c r="H344" s="15" t="s">
        <v>127</v>
      </c>
      <c r="I344" s="15" t="s">
        <v>70</v>
      </c>
      <c r="J344" s="15" t="s">
        <v>71</v>
      </c>
      <c r="K344" s="15"/>
      <c r="L344" s="15"/>
      <c r="M344" s="15"/>
      <c r="N344" s="15"/>
      <c r="O344" s="15"/>
      <c r="P344" s="15"/>
      <c r="Q344" s="15"/>
      <c r="R344" s="15"/>
      <c r="S344" s="15"/>
      <c r="T344" s="15"/>
      <c r="U344" s="15"/>
      <c r="V344" s="15"/>
      <c r="W344" s="15"/>
      <c r="X344" s="15"/>
      <c r="Y344" s="15"/>
      <c r="Z344" s="15"/>
      <c r="AA344" s="15">
        <v>74</v>
      </c>
      <c r="AB344" s="15"/>
      <c r="AC344" s="15"/>
      <c r="AD344" s="15"/>
      <c r="AE344" s="15"/>
      <c r="AF344" s="15"/>
      <c r="AG344" s="15"/>
      <c r="AH344" s="15">
        <v>7</v>
      </c>
      <c r="AI344" s="15"/>
      <c r="AJ344" s="15"/>
      <c r="AK344" s="15"/>
      <c r="AL344" s="15"/>
      <c r="AM344" s="15"/>
      <c r="AN344" s="15">
        <v>1</v>
      </c>
      <c r="AO344" s="15"/>
      <c r="AP344" s="15"/>
      <c r="AQ344" s="15"/>
      <c r="AR344" s="15"/>
      <c r="AS344" s="15"/>
      <c r="AT344" s="15"/>
      <c r="AU344" s="15"/>
      <c r="AV344" s="15"/>
      <c r="AW344" s="15"/>
      <c r="AX344" s="15">
        <v>9</v>
      </c>
      <c r="AY344" s="15"/>
      <c r="AZ344" s="15">
        <v>8</v>
      </c>
      <c r="BA344" s="15">
        <v>1</v>
      </c>
      <c r="BB344" s="15"/>
      <c r="BC344" s="15"/>
      <c r="BD344" s="15"/>
      <c r="BE344" s="19"/>
    </row>
    <row r="345" spans="1:57">
      <c r="A345" s="29" t="s">
        <v>837</v>
      </c>
      <c r="B345" s="24" t="s">
        <v>834</v>
      </c>
      <c r="C345" s="14">
        <v>44602</v>
      </c>
      <c r="D345" s="15" t="s">
        <v>81</v>
      </c>
      <c r="E345" s="15" t="s">
        <v>82</v>
      </c>
      <c r="F345" s="21">
        <v>0.5395833333333333</v>
      </c>
      <c r="G345" s="15" t="s">
        <v>83</v>
      </c>
      <c r="H345" s="15" t="s">
        <v>127</v>
      </c>
      <c r="I345" s="15" t="s">
        <v>70</v>
      </c>
      <c r="J345" s="15" t="s">
        <v>71</v>
      </c>
      <c r="K345" s="15"/>
      <c r="L345" s="15"/>
      <c r="M345" s="15"/>
      <c r="N345" s="15"/>
      <c r="O345" s="15"/>
      <c r="P345" s="15"/>
      <c r="Q345" s="15"/>
      <c r="R345" s="15"/>
      <c r="S345" s="15"/>
      <c r="T345" s="15"/>
      <c r="U345" s="15"/>
      <c r="V345" s="15"/>
      <c r="W345" s="15"/>
      <c r="X345" s="15"/>
      <c r="Y345" s="15"/>
      <c r="Z345" s="15"/>
      <c r="AA345" s="15">
        <v>83</v>
      </c>
      <c r="AB345" s="15"/>
      <c r="AC345" s="15"/>
      <c r="AD345" s="15"/>
      <c r="AE345" s="15"/>
      <c r="AF345" s="15"/>
      <c r="AG345" s="15"/>
      <c r="AH345" s="15">
        <v>2</v>
      </c>
      <c r="AI345" s="15"/>
      <c r="AJ345" s="15"/>
      <c r="AK345" s="15"/>
      <c r="AL345" s="15"/>
      <c r="AM345" s="15"/>
      <c r="AN345" s="15">
        <v>36</v>
      </c>
      <c r="AO345" s="15"/>
      <c r="AP345" s="15"/>
      <c r="AQ345" s="15"/>
      <c r="AR345" s="15"/>
      <c r="AS345" s="15"/>
      <c r="AT345" s="15"/>
      <c r="AU345" s="15"/>
      <c r="AV345" s="15"/>
      <c r="AW345" s="15"/>
      <c r="AX345" s="15">
        <v>10</v>
      </c>
      <c r="AY345" s="15"/>
      <c r="AZ345" s="15">
        <v>11</v>
      </c>
      <c r="BA345" s="15"/>
      <c r="BB345" s="15"/>
      <c r="BC345" s="15"/>
      <c r="BD345" s="15"/>
      <c r="BE345" s="19"/>
    </row>
    <row r="346" spans="1:57">
      <c r="A346" s="13" t="s">
        <v>838</v>
      </c>
      <c r="B346" s="13" t="s">
        <v>834</v>
      </c>
      <c r="C346" s="14">
        <v>44602</v>
      </c>
      <c r="D346" s="15" t="s">
        <v>81</v>
      </c>
      <c r="E346" s="15" t="s">
        <v>82</v>
      </c>
      <c r="F346" s="16">
        <v>0.50694444444444442</v>
      </c>
      <c r="G346" s="15" t="s">
        <v>83</v>
      </c>
      <c r="H346" s="15" t="s">
        <v>127</v>
      </c>
      <c r="I346" s="15" t="s">
        <v>70</v>
      </c>
      <c r="J346" s="15" t="s">
        <v>71</v>
      </c>
      <c r="K346" s="15"/>
      <c r="L346" s="15"/>
      <c r="M346" s="15"/>
      <c r="N346" s="15"/>
      <c r="O346" s="15"/>
      <c r="P346" s="15"/>
      <c r="Q346" s="15"/>
      <c r="R346" s="15"/>
      <c r="S346" s="15"/>
      <c r="T346" s="15"/>
      <c r="U346" s="15"/>
      <c r="V346" s="15"/>
      <c r="W346" s="15"/>
      <c r="X346" s="15"/>
      <c r="Y346" s="15"/>
      <c r="Z346" s="15"/>
      <c r="AA346" s="15">
        <v>33</v>
      </c>
      <c r="AB346" s="15"/>
      <c r="AC346" s="15"/>
      <c r="AD346" s="15">
        <v>1</v>
      </c>
      <c r="AE346" s="15"/>
      <c r="AF346" s="15"/>
      <c r="AG346" s="15"/>
      <c r="AH346" s="15">
        <v>2</v>
      </c>
      <c r="AI346" s="15"/>
      <c r="AJ346" s="15"/>
      <c r="AK346" s="15"/>
      <c r="AL346" s="15"/>
      <c r="AM346" s="15"/>
      <c r="AN346" s="15">
        <v>33</v>
      </c>
      <c r="AO346" s="15"/>
      <c r="AP346" s="15"/>
      <c r="AQ346" s="15"/>
      <c r="AR346" s="15"/>
      <c r="AS346" s="15"/>
      <c r="AT346" s="15">
        <v>6</v>
      </c>
      <c r="AU346" s="15"/>
      <c r="AV346" s="15"/>
      <c r="AW346" s="15"/>
      <c r="AX346" s="15">
        <v>10</v>
      </c>
      <c r="AY346" s="15"/>
      <c r="AZ346" s="15">
        <v>6</v>
      </c>
      <c r="BA346" s="15">
        <v>2</v>
      </c>
      <c r="BB346" s="15"/>
      <c r="BC346" s="15"/>
      <c r="BD346" s="15"/>
      <c r="BE346" s="18" t="s">
        <v>373</v>
      </c>
    </row>
    <row r="347" spans="1:57">
      <c r="A347" s="13" t="s">
        <v>839</v>
      </c>
      <c r="B347" s="13" t="s">
        <v>834</v>
      </c>
      <c r="C347" s="14">
        <v>44602</v>
      </c>
      <c r="D347" s="15" t="s">
        <v>81</v>
      </c>
      <c r="E347" s="15" t="s">
        <v>82</v>
      </c>
      <c r="F347" s="16">
        <v>0.41736111111111113</v>
      </c>
      <c r="G347" s="15" t="s">
        <v>83</v>
      </c>
      <c r="H347" s="15" t="s">
        <v>127</v>
      </c>
      <c r="I347" s="15" t="s">
        <v>70</v>
      </c>
      <c r="J347" s="15" t="s">
        <v>71</v>
      </c>
      <c r="K347" s="15"/>
      <c r="L347" s="15"/>
      <c r="M347" s="15"/>
      <c r="N347" s="15"/>
      <c r="O347" s="15"/>
      <c r="P347" s="15"/>
      <c r="Q347" s="15"/>
      <c r="R347" s="15"/>
      <c r="S347" s="15"/>
      <c r="T347" s="15"/>
      <c r="U347" s="15"/>
      <c r="V347" s="15"/>
      <c r="W347" s="15"/>
      <c r="X347" s="15"/>
      <c r="Y347" s="15"/>
      <c r="Z347" s="15"/>
      <c r="AA347" s="15">
        <v>87</v>
      </c>
      <c r="AB347" s="15"/>
      <c r="AC347" s="15"/>
      <c r="AD347" s="15">
        <v>4</v>
      </c>
      <c r="AE347" s="15"/>
      <c r="AF347" s="15"/>
      <c r="AG347" s="15"/>
      <c r="AH347" s="15"/>
      <c r="AI347" s="15"/>
      <c r="AJ347" s="15"/>
      <c r="AK347" s="15"/>
      <c r="AL347" s="15"/>
      <c r="AM347" s="15"/>
      <c r="AN347" s="15"/>
      <c r="AO347" s="15"/>
      <c r="AP347" s="15">
        <v>1</v>
      </c>
      <c r="AQ347" s="15"/>
      <c r="AR347" s="15"/>
      <c r="AS347" s="15"/>
      <c r="AT347" s="15"/>
      <c r="AU347" s="15"/>
      <c r="AV347" s="15"/>
      <c r="AW347" s="15">
        <v>1</v>
      </c>
      <c r="AX347" s="15">
        <v>4</v>
      </c>
      <c r="AY347" s="15"/>
      <c r="AZ347" s="15"/>
      <c r="BA347" s="15"/>
      <c r="BB347" s="15"/>
      <c r="BC347" s="15"/>
      <c r="BD347" s="15"/>
      <c r="BE347" s="18"/>
    </row>
    <row r="348" spans="1:57">
      <c r="A348" s="13" t="s">
        <v>840</v>
      </c>
      <c r="B348" s="13" t="s">
        <v>834</v>
      </c>
      <c r="C348" s="14">
        <v>44602</v>
      </c>
      <c r="D348" s="15" t="s">
        <v>81</v>
      </c>
      <c r="E348" s="15" t="s">
        <v>82</v>
      </c>
      <c r="F348" s="16">
        <v>0.56874999999999998</v>
      </c>
      <c r="G348" s="15" t="s">
        <v>83</v>
      </c>
      <c r="H348" s="15" t="s">
        <v>127</v>
      </c>
      <c r="I348" s="15" t="s">
        <v>70</v>
      </c>
      <c r="J348" s="15" t="s">
        <v>71</v>
      </c>
      <c r="K348" s="15"/>
      <c r="L348" s="15"/>
      <c r="M348" s="15"/>
      <c r="N348" s="15"/>
      <c r="O348" s="15"/>
      <c r="P348" s="15"/>
      <c r="Q348" s="15"/>
      <c r="R348" s="15"/>
      <c r="S348" s="15"/>
      <c r="T348" s="15"/>
      <c r="U348" s="15"/>
      <c r="V348" s="15"/>
      <c r="W348" s="15"/>
      <c r="X348" s="15"/>
      <c r="Y348" s="15"/>
      <c r="Z348" s="15"/>
      <c r="AA348" s="15">
        <v>12</v>
      </c>
      <c r="AB348" s="15"/>
      <c r="AC348" s="15"/>
      <c r="AD348" s="15"/>
      <c r="AE348" s="15"/>
      <c r="AF348" s="15"/>
      <c r="AG348" s="15"/>
      <c r="AH348" s="15">
        <v>4</v>
      </c>
      <c r="AI348" s="15"/>
      <c r="AJ348" s="15"/>
      <c r="AK348" s="15"/>
      <c r="AL348" s="15"/>
      <c r="AM348" s="15"/>
      <c r="AN348" s="15">
        <v>8</v>
      </c>
      <c r="AO348" s="15"/>
      <c r="AP348" s="15"/>
      <c r="AQ348" s="15"/>
      <c r="AR348" s="15"/>
      <c r="AS348" s="15"/>
      <c r="AT348" s="15">
        <v>17</v>
      </c>
      <c r="AU348" s="15"/>
      <c r="AV348" s="15"/>
      <c r="AW348" s="15">
        <v>1</v>
      </c>
      <c r="AX348" s="15">
        <v>7</v>
      </c>
      <c r="AY348" s="15"/>
      <c r="AZ348" s="15">
        <v>18</v>
      </c>
      <c r="BA348" s="15"/>
      <c r="BB348" s="15"/>
      <c r="BC348" s="15"/>
      <c r="BD348" s="15"/>
      <c r="BE348" s="59"/>
    </row>
    <row r="349" spans="1:57" ht="12.75">
      <c r="A349" s="48" t="s">
        <v>841</v>
      </c>
      <c r="B349" s="48" t="s">
        <v>282</v>
      </c>
      <c r="C349" s="43">
        <v>44600</v>
      </c>
      <c r="D349" s="15" t="s">
        <v>842</v>
      </c>
      <c r="E349" s="15" t="s">
        <v>843</v>
      </c>
      <c r="F349" s="16">
        <v>0.3125</v>
      </c>
      <c r="G349" s="15" t="s">
        <v>844</v>
      </c>
      <c r="H349" s="15" t="s">
        <v>127</v>
      </c>
      <c r="I349" s="15" t="s">
        <v>70</v>
      </c>
      <c r="J349" s="15" t="s">
        <v>71</v>
      </c>
      <c r="M349" s="15">
        <v>2</v>
      </c>
      <c r="AN349" s="15">
        <v>19</v>
      </c>
      <c r="AP349" s="15">
        <v>5</v>
      </c>
      <c r="AS349" s="15">
        <v>3</v>
      </c>
      <c r="AT349" s="15">
        <v>4</v>
      </c>
      <c r="AX349" s="15">
        <v>15</v>
      </c>
      <c r="AZ349" s="15">
        <v>3</v>
      </c>
      <c r="BE349" s="18" t="s">
        <v>845</v>
      </c>
    </row>
    <row r="350" spans="1:57" ht="12.75">
      <c r="A350" s="87"/>
      <c r="B350" s="87"/>
      <c r="C350" s="17"/>
      <c r="F350" s="33"/>
      <c r="Z350" s="15">
        <v>2</v>
      </c>
      <c r="AA350" s="15">
        <v>35</v>
      </c>
      <c r="AB350" s="15">
        <v>2</v>
      </c>
      <c r="AH350" s="15">
        <v>1</v>
      </c>
      <c r="BE350" s="19"/>
    </row>
    <row r="351" spans="1:57" ht="12.75">
      <c r="A351" s="48" t="s">
        <v>846</v>
      </c>
      <c r="B351" s="48" t="s">
        <v>847</v>
      </c>
      <c r="C351" s="30">
        <v>44599</v>
      </c>
      <c r="D351" s="15" t="s">
        <v>361</v>
      </c>
      <c r="E351" s="15" t="s">
        <v>362</v>
      </c>
      <c r="F351" s="16">
        <v>0.73958333333333337</v>
      </c>
      <c r="J351" s="15" t="s">
        <v>848</v>
      </c>
      <c r="N351" s="15">
        <v>8</v>
      </c>
      <c r="O351" s="15">
        <v>10</v>
      </c>
      <c r="P351" s="15">
        <v>6</v>
      </c>
      <c r="Q351" s="15">
        <v>50</v>
      </c>
      <c r="R351" s="15">
        <v>20</v>
      </c>
      <c r="T351" s="15">
        <v>30</v>
      </c>
      <c r="BE351" s="19"/>
    </row>
    <row r="352" spans="1:57" ht="15">
      <c r="A352" s="88" t="s">
        <v>849</v>
      </c>
      <c r="B352" s="48" t="s">
        <v>401</v>
      </c>
      <c r="C352" s="30">
        <v>44601</v>
      </c>
      <c r="D352" s="15" t="s">
        <v>850</v>
      </c>
      <c r="E352" s="15" t="s">
        <v>851</v>
      </c>
      <c r="F352" s="26">
        <v>0.4375</v>
      </c>
      <c r="H352" s="15" t="s">
        <v>127</v>
      </c>
      <c r="I352" s="15" t="s">
        <v>70</v>
      </c>
      <c r="J352" s="15" t="s">
        <v>848</v>
      </c>
      <c r="K352" s="15">
        <v>21</v>
      </c>
      <c r="Q352" s="15">
        <v>110</v>
      </c>
      <c r="Z352" s="15">
        <v>11</v>
      </c>
      <c r="AA352" s="15">
        <v>4</v>
      </c>
      <c r="AB352" s="15">
        <v>141</v>
      </c>
      <c r="AE352" s="15">
        <v>1</v>
      </c>
      <c r="AH352" s="15">
        <v>7</v>
      </c>
      <c r="AM352" s="15">
        <v>70</v>
      </c>
      <c r="AN352" s="15">
        <v>1</v>
      </c>
      <c r="AP352" s="15">
        <v>111</v>
      </c>
      <c r="AQ352" s="15">
        <v>1</v>
      </c>
      <c r="AS352" s="15">
        <v>345</v>
      </c>
      <c r="AT352" s="15">
        <v>11</v>
      </c>
      <c r="AW352" s="15">
        <v>1</v>
      </c>
      <c r="AX352" s="15">
        <v>1250</v>
      </c>
      <c r="AZ352" s="15">
        <v>116</v>
      </c>
      <c r="BA352" s="15">
        <v>167</v>
      </c>
      <c r="BE352" s="18" t="s">
        <v>852</v>
      </c>
    </row>
    <row r="353" spans="1:57" ht="12.75">
      <c r="A353" s="48" t="s">
        <v>853</v>
      </c>
      <c r="B353" s="48" t="s">
        <v>401</v>
      </c>
      <c r="C353" s="30">
        <v>44602</v>
      </c>
      <c r="D353" s="15" t="s">
        <v>850</v>
      </c>
      <c r="E353" s="15" t="s">
        <v>851</v>
      </c>
      <c r="F353" s="16">
        <v>0.41319444444444442</v>
      </c>
      <c r="H353" s="15" t="s">
        <v>127</v>
      </c>
      <c r="I353" s="15" t="s">
        <v>70</v>
      </c>
      <c r="J353" s="15" t="s">
        <v>848</v>
      </c>
      <c r="K353" s="15">
        <v>6</v>
      </c>
      <c r="L353" s="15"/>
      <c r="M353" s="15"/>
      <c r="N353" s="15">
        <v>158</v>
      </c>
      <c r="O353" s="15"/>
      <c r="Q353" s="15">
        <v>23</v>
      </c>
      <c r="S353" s="15">
        <v>1</v>
      </c>
      <c r="Z353" s="15">
        <v>3</v>
      </c>
      <c r="AA353" s="15">
        <v>19</v>
      </c>
      <c r="AB353" s="15">
        <v>34</v>
      </c>
      <c r="AE353" s="15">
        <v>6</v>
      </c>
      <c r="AF353" s="15">
        <v>110</v>
      </c>
      <c r="AH353" s="15">
        <v>44</v>
      </c>
      <c r="AP353" s="15">
        <v>139</v>
      </c>
      <c r="AQ353" s="15">
        <v>1</v>
      </c>
      <c r="AS353" s="15">
        <v>48</v>
      </c>
      <c r="AT353" s="15">
        <v>2</v>
      </c>
      <c r="AX353" s="15">
        <v>151</v>
      </c>
      <c r="AZ353" s="15">
        <v>4</v>
      </c>
      <c r="BA353" s="15">
        <v>116</v>
      </c>
      <c r="BD353" s="15">
        <v>4</v>
      </c>
      <c r="BE353" s="18" t="s">
        <v>854</v>
      </c>
    </row>
    <row r="354" spans="1:57" ht="25.5">
      <c r="A354" s="48" t="s">
        <v>855</v>
      </c>
      <c r="B354" s="48" t="s">
        <v>145</v>
      </c>
      <c r="C354" s="30">
        <v>44605</v>
      </c>
      <c r="D354" s="15" t="s">
        <v>856</v>
      </c>
      <c r="E354" s="15" t="s">
        <v>424</v>
      </c>
      <c r="F354" s="16">
        <v>0.45833333333333331</v>
      </c>
      <c r="G354" s="15" t="s">
        <v>156</v>
      </c>
      <c r="H354" s="15" t="s">
        <v>127</v>
      </c>
      <c r="I354" s="15" t="s">
        <v>857</v>
      </c>
      <c r="J354" s="15" t="s">
        <v>858</v>
      </c>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v>3</v>
      </c>
      <c r="BA354" s="15"/>
      <c r="BB354" s="15"/>
      <c r="BC354" s="15"/>
      <c r="BD354" s="15"/>
      <c r="BE354" s="18" t="s">
        <v>859</v>
      </c>
    </row>
    <row r="355" spans="1:57" ht="12.75">
      <c r="A355" s="48" t="s">
        <v>860</v>
      </c>
      <c r="B355" s="87"/>
      <c r="C355" s="17"/>
      <c r="D355" s="15" t="s">
        <v>375</v>
      </c>
      <c r="E355" s="15" t="s">
        <v>376</v>
      </c>
      <c r="F355" s="33"/>
      <c r="BE355" s="19"/>
    </row>
    <row r="356" spans="1:57">
      <c r="A356" s="12" t="s">
        <v>861</v>
      </c>
      <c r="B356" s="12" t="s">
        <v>216</v>
      </c>
      <c r="C356" s="14">
        <v>44599</v>
      </c>
      <c r="D356" s="15" t="s">
        <v>793</v>
      </c>
      <c r="E356" s="15" t="s">
        <v>794</v>
      </c>
      <c r="F356" s="26">
        <v>0.66180555555555554</v>
      </c>
      <c r="G356" s="15"/>
      <c r="H356" s="15"/>
      <c r="I356" s="15"/>
      <c r="J356" s="15" t="s">
        <v>71</v>
      </c>
      <c r="K356" s="15">
        <v>26</v>
      </c>
      <c r="L356" s="15"/>
      <c r="M356" s="15">
        <v>4</v>
      </c>
      <c r="N356" s="15">
        <v>271</v>
      </c>
      <c r="O356" s="15"/>
      <c r="P356" s="15"/>
      <c r="Q356" s="15">
        <v>1</v>
      </c>
      <c r="R356" s="15"/>
      <c r="S356" s="15"/>
      <c r="T356" s="15"/>
      <c r="U356" s="15"/>
      <c r="V356" s="15"/>
      <c r="W356" s="15">
        <v>1</v>
      </c>
      <c r="X356" s="15"/>
      <c r="Y356" s="15"/>
      <c r="Z356" s="15">
        <v>12</v>
      </c>
      <c r="AA356" s="15">
        <v>51</v>
      </c>
      <c r="AB356" s="15">
        <v>36</v>
      </c>
      <c r="AC356" s="15"/>
      <c r="AD356" s="15"/>
      <c r="AE356" s="15"/>
      <c r="AF356" s="15"/>
      <c r="AG356" s="15"/>
      <c r="AH356" s="15">
        <v>39</v>
      </c>
      <c r="AI356" s="15"/>
      <c r="AJ356" s="15"/>
      <c r="AK356" s="15">
        <v>5</v>
      </c>
      <c r="AL356" s="15"/>
      <c r="AM356" s="15"/>
      <c r="AN356" s="15"/>
      <c r="AO356" s="15"/>
      <c r="AP356" s="15"/>
      <c r="AQ356" s="15"/>
      <c r="AR356" s="15"/>
      <c r="AS356" s="15">
        <v>1</v>
      </c>
      <c r="AT356" s="15"/>
      <c r="AU356" s="15"/>
      <c r="AV356" s="15"/>
      <c r="AW356" s="15">
        <v>1</v>
      </c>
      <c r="AX356" s="15"/>
      <c r="AY356" s="15"/>
      <c r="AZ356" s="15">
        <v>11</v>
      </c>
      <c r="BA356" s="15"/>
      <c r="BB356" s="15"/>
      <c r="BC356" s="15"/>
      <c r="BD356" s="15"/>
      <c r="BE356" s="78" t="s">
        <v>862</v>
      </c>
    </row>
    <row r="357" spans="1:57" ht="12.75">
      <c r="A357" s="87"/>
      <c r="B357" s="87"/>
      <c r="C357" s="17"/>
      <c r="F357" s="33"/>
      <c r="BE357" s="19"/>
    </row>
    <row r="358" spans="1:57" ht="12.75">
      <c r="A358" s="87"/>
      <c r="B358" s="87"/>
      <c r="C358" s="17"/>
      <c r="F358" s="33"/>
      <c r="BE358" s="19"/>
    </row>
    <row r="359" spans="1:57" ht="12.75">
      <c r="A359" s="87"/>
      <c r="B359" s="87"/>
      <c r="C359" s="17"/>
      <c r="F359" s="33"/>
      <c r="BE359" s="19"/>
    </row>
    <row r="360" spans="1:57" ht="12.75">
      <c r="A360" s="87"/>
      <c r="B360" s="87"/>
      <c r="C360" s="17"/>
      <c r="F360" s="33"/>
      <c r="BE360" s="19"/>
    </row>
    <row r="361" spans="1:57" ht="12.75">
      <c r="A361" s="89"/>
      <c r="B361" s="89"/>
      <c r="C361" s="17"/>
      <c r="F361" s="33"/>
      <c r="BE361" s="19"/>
    </row>
    <row r="362" spans="1:57" ht="12.75">
      <c r="A362" s="89"/>
      <c r="B362" s="89"/>
      <c r="C362" s="17"/>
      <c r="F362" s="33"/>
      <c r="BE362" s="19"/>
    </row>
    <row r="363" spans="1:57" ht="12.75">
      <c r="A363" s="89"/>
      <c r="B363" s="89"/>
      <c r="C363" s="17"/>
      <c r="F363" s="33"/>
      <c r="BE363" s="19"/>
    </row>
    <row r="364" spans="1:57" ht="12.75">
      <c r="A364" s="89"/>
      <c r="B364" s="89"/>
      <c r="C364" s="17"/>
      <c r="F364" s="33"/>
      <c r="BE364" s="19"/>
    </row>
    <row r="365" spans="1:57" ht="12.75">
      <c r="A365" s="89"/>
      <c r="B365" s="89"/>
      <c r="C365" s="17"/>
      <c r="F365" s="33"/>
      <c r="BE365" s="19"/>
    </row>
    <row r="366" spans="1:57" ht="12.75">
      <c r="A366" s="89"/>
      <c r="B366" s="89"/>
      <c r="C366" s="17"/>
      <c r="F366" s="33"/>
      <c r="BE366" s="19"/>
    </row>
    <row r="367" spans="1:57" ht="12.75">
      <c r="A367" s="89"/>
      <c r="B367" s="89"/>
      <c r="C367" s="17"/>
      <c r="F367" s="33"/>
      <c r="BE367" s="19"/>
    </row>
    <row r="368" spans="1:57" ht="12.75">
      <c r="A368" s="89"/>
      <c r="B368" s="89"/>
      <c r="C368" s="17"/>
      <c r="BE368" s="19"/>
    </row>
    <row r="369" spans="1:57" ht="12.75">
      <c r="A369" s="89"/>
      <c r="B369" s="89"/>
      <c r="C369" s="17"/>
      <c r="BE369" s="19"/>
    </row>
    <row r="370" spans="1:57" ht="12.75">
      <c r="A370" s="89"/>
      <c r="B370" s="89"/>
      <c r="C370" s="17"/>
      <c r="BE370" s="19"/>
    </row>
    <row r="371" spans="1:57" ht="12.75">
      <c r="A371" s="89"/>
      <c r="B371" s="89"/>
      <c r="C371" s="17"/>
      <c r="BE371" s="19"/>
    </row>
    <row r="372" spans="1:57" ht="12.75">
      <c r="A372" s="89"/>
      <c r="B372" s="89"/>
      <c r="C372" s="17"/>
      <c r="BE372" s="19"/>
    </row>
    <row r="373" spans="1:57" ht="12.75">
      <c r="A373" s="89"/>
      <c r="B373" s="89"/>
      <c r="C373" s="17"/>
      <c r="BE373" s="19"/>
    </row>
    <row r="374" spans="1:57" ht="12.75">
      <c r="A374" s="89"/>
      <c r="B374" s="89"/>
      <c r="C374" s="17"/>
      <c r="BE374" s="19"/>
    </row>
    <row r="375" spans="1:57" ht="12.75">
      <c r="A375" s="89"/>
      <c r="B375" s="89"/>
      <c r="C375" s="17"/>
      <c r="BE375" s="19"/>
    </row>
    <row r="376" spans="1:57" ht="12.75">
      <c r="A376" s="89"/>
      <c r="B376" s="89"/>
      <c r="C376" s="17"/>
      <c r="BE376" s="19"/>
    </row>
    <row r="377" spans="1:57" ht="12.75">
      <c r="A377" s="89"/>
      <c r="B377" s="89"/>
      <c r="C377" s="17"/>
      <c r="BE377" s="19"/>
    </row>
    <row r="378" spans="1:57" ht="12.75">
      <c r="A378" s="89"/>
      <c r="B378" s="89"/>
      <c r="C378" s="17"/>
      <c r="BE378" s="19"/>
    </row>
    <row r="379" spans="1:57" ht="12.75">
      <c r="A379" s="89"/>
      <c r="B379" s="89"/>
      <c r="C379" s="17"/>
      <c r="BE379" s="19"/>
    </row>
    <row r="380" spans="1:57" ht="12.75">
      <c r="A380" s="89"/>
      <c r="B380" s="89"/>
      <c r="C380" s="17"/>
      <c r="BE380" s="19"/>
    </row>
    <row r="381" spans="1:57" ht="12.75">
      <c r="A381" s="89"/>
      <c r="B381" s="89"/>
      <c r="C381" s="17"/>
      <c r="BE381" s="19"/>
    </row>
    <row r="382" spans="1:57" ht="12.75">
      <c r="A382" s="89"/>
      <c r="B382" s="89"/>
      <c r="C382" s="17"/>
      <c r="BE382" s="19"/>
    </row>
    <row r="383" spans="1:57" ht="12.75">
      <c r="A383" s="89"/>
      <c r="B383" s="89"/>
      <c r="C383" s="17"/>
      <c r="BE383" s="19"/>
    </row>
    <row r="384" spans="1:57" ht="12.75">
      <c r="A384" s="89"/>
      <c r="B384" s="89"/>
      <c r="C384" s="17"/>
      <c r="BE384" s="19"/>
    </row>
    <row r="385" spans="1:57" ht="12.75">
      <c r="A385" s="89"/>
      <c r="B385" s="89"/>
      <c r="C385" s="17"/>
      <c r="BE385" s="19"/>
    </row>
    <row r="386" spans="1:57" ht="12.75">
      <c r="A386" s="89"/>
      <c r="B386" s="89"/>
      <c r="C386" s="17"/>
      <c r="BE386" s="19"/>
    </row>
    <row r="387" spans="1:57" ht="12.75">
      <c r="A387" s="89"/>
      <c r="B387" s="89"/>
      <c r="C387" s="17"/>
      <c r="BE387" s="19"/>
    </row>
    <row r="388" spans="1:57" ht="12.75">
      <c r="A388" s="89"/>
      <c r="B388" s="89"/>
      <c r="C388" s="17"/>
      <c r="BE388" s="19"/>
    </row>
    <row r="389" spans="1:57" ht="12.75">
      <c r="A389" s="89"/>
      <c r="B389" s="89"/>
      <c r="C389" s="17"/>
      <c r="BE389" s="19"/>
    </row>
    <row r="390" spans="1:57" ht="12.75">
      <c r="A390" s="89"/>
      <c r="B390" s="89"/>
      <c r="C390" s="17"/>
      <c r="BE390" s="19"/>
    </row>
    <row r="391" spans="1:57" ht="12.75">
      <c r="A391" s="89"/>
      <c r="B391" s="89"/>
      <c r="C391" s="17"/>
      <c r="BE391" s="19"/>
    </row>
    <row r="392" spans="1:57" ht="12.75">
      <c r="A392" s="89"/>
      <c r="B392" s="89"/>
      <c r="C392" s="17"/>
      <c r="BE392" s="19"/>
    </row>
    <row r="393" spans="1:57" ht="12.75">
      <c r="A393" s="89"/>
      <c r="B393" s="89"/>
      <c r="C393" s="17"/>
      <c r="BE393" s="19"/>
    </row>
    <row r="394" spans="1:57" ht="12.75">
      <c r="A394" s="89"/>
      <c r="B394" s="89"/>
      <c r="C394" s="17"/>
      <c r="BE394" s="19"/>
    </row>
    <row r="395" spans="1:57" ht="12.75">
      <c r="A395" s="89"/>
      <c r="B395" s="89"/>
      <c r="C395" s="17"/>
      <c r="BE395" s="19"/>
    </row>
    <row r="396" spans="1:57" ht="12.75">
      <c r="A396" s="89"/>
      <c r="B396" s="89"/>
      <c r="C396" s="17"/>
      <c r="BE396" s="19"/>
    </row>
    <row r="397" spans="1:57" ht="12.75">
      <c r="A397" s="89"/>
      <c r="B397" s="89"/>
      <c r="C397" s="17"/>
      <c r="BE397" s="19"/>
    </row>
    <row r="398" spans="1:57" ht="12.75">
      <c r="A398" s="89"/>
      <c r="B398" s="89"/>
      <c r="C398" s="17"/>
      <c r="BE398" s="19"/>
    </row>
    <row r="399" spans="1:57" ht="12.75">
      <c r="A399" s="89"/>
      <c r="B399" s="89"/>
      <c r="C399" s="17"/>
      <c r="BE399" s="19"/>
    </row>
    <row r="400" spans="1:57" ht="12.75">
      <c r="A400" s="89"/>
      <c r="B400" s="89"/>
      <c r="C400" s="17"/>
      <c r="BE400" s="19"/>
    </row>
    <row r="401" spans="1:57" ht="12.75">
      <c r="A401" s="89"/>
      <c r="B401" s="89"/>
      <c r="C401" s="17"/>
      <c r="BE401" s="19"/>
    </row>
    <row r="402" spans="1:57" ht="12.75">
      <c r="A402" s="89"/>
      <c r="B402" s="89"/>
      <c r="C402" s="17"/>
      <c r="BE402" s="19"/>
    </row>
    <row r="403" spans="1:57" ht="12.75">
      <c r="A403" s="89"/>
      <c r="B403" s="89"/>
      <c r="C403" s="17"/>
      <c r="BE403" s="19"/>
    </row>
    <row r="404" spans="1:57" ht="12.75">
      <c r="A404" s="89"/>
      <c r="B404" s="89"/>
      <c r="C404" s="17"/>
      <c r="BE404" s="19"/>
    </row>
    <row r="405" spans="1:57" ht="12.75">
      <c r="A405" s="89"/>
      <c r="B405" s="89"/>
      <c r="C405" s="17"/>
      <c r="BE405" s="19"/>
    </row>
    <row r="406" spans="1:57" ht="12.75">
      <c r="A406" s="89"/>
      <c r="B406" s="89"/>
      <c r="C406" s="17"/>
      <c r="BE406" s="19"/>
    </row>
    <row r="407" spans="1:57" ht="12.75">
      <c r="A407" s="89"/>
      <c r="B407" s="89"/>
      <c r="C407" s="17"/>
      <c r="BE407" s="19"/>
    </row>
    <row r="408" spans="1:57" ht="12.75">
      <c r="A408" s="89"/>
      <c r="B408" s="89"/>
      <c r="C408" s="17"/>
      <c r="BE408" s="19"/>
    </row>
    <row r="409" spans="1:57" ht="12.75">
      <c r="A409" s="89"/>
      <c r="B409" s="89"/>
      <c r="C409" s="17"/>
      <c r="BE409" s="19"/>
    </row>
    <row r="410" spans="1:57" ht="12.75">
      <c r="A410" s="89"/>
      <c r="B410" s="89"/>
      <c r="C410" s="17"/>
      <c r="BE410" s="19"/>
    </row>
    <row r="411" spans="1:57" ht="12.75">
      <c r="A411" s="89"/>
      <c r="B411" s="89"/>
      <c r="C411" s="17"/>
      <c r="BE411" s="19"/>
    </row>
    <row r="412" spans="1:57" ht="12.75">
      <c r="A412" s="89"/>
      <c r="B412" s="89"/>
      <c r="C412" s="17"/>
      <c r="BE412" s="19"/>
    </row>
    <row r="413" spans="1:57" ht="12.75">
      <c r="A413" s="89"/>
      <c r="B413" s="89"/>
      <c r="C413" s="17"/>
      <c r="BE413" s="19"/>
    </row>
    <row r="414" spans="1:57" ht="12.75">
      <c r="A414" s="89"/>
      <c r="B414" s="89"/>
      <c r="C414" s="17"/>
      <c r="BE414" s="19"/>
    </row>
    <row r="415" spans="1:57" ht="12.75">
      <c r="A415" s="89"/>
      <c r="B415" s="89"/>
      <c r="C415" s="17"/>
      <c r="BE415" s="19"/>
    </row>
    <row r="416" spans="1:57" ht="12.75">
      <c r="A416" s="89"/>
      <c r="B416" s="89"/>
      <c r="C416" s="17"/>
      <c r="BE416" s="19"/>
    </row>
    <row r="417" spans="1:57" ht="12.75">
      <c r="A417" s="89"/>
      <c r="B417" s="89"/>
      <c r="C417" s="17"/>
      <c r="BE417" s="19"/>
    </row>
    <row r="418" spans="1:57" ht="12.75">
      <c r="A418" s="89"/>
      <c r="B418" s="89"/>
      <c r="C418" s="17"/>
      <c r="BE418" s="19"/>
    </row>
    <row r="419" spans="1:57" ht="12.75">
      <c r="A419" s="89"/>
      <c r="B419" s="89"/>
      <c r="C419" s="17"/>
      <c r="BE419" s="19"/>
    </row>
    <row r="420" spans="1:57" ht="12.75">
      <c r="A420" s="89"/>
      <c r="B420" s="89"/>
      <c r="C420" s="17"/>
      <c r="BE420" s="19"/>
    </row>
    <row r="421" spans="1:57" ht="12.75">
      <c r="A421" s="89"/>
      <c r="B421" s="89"/>
      <c r="C421" s="17"/>
      <c r="BE421" s="19"/>
    </row>
    <row r="422" spans="1:57" ht="12.75">
      <c r="A422" s="89"/>
      <c r="B422" s="89"/>
      <c r="C422" s="17"/>
      <c r="BE422" s="19"/>
    </row>
    <row r="423" spans="1:57" ht="12.75">
      <c r="A423" s="89"/>
      <c r="B423" s="89"/>
      <c r="C423" s="17"/>
      <c r="BE423" s="19"/>
    </row>
    <row r="424" spans="1:57" ht="12.75">
      <c r="A424" s="89"/>
      <c r="B424" s="89"/>
      <c r="C424" s="17"/>
      <c r="BE424" s="19"/>
    </row>
    <row r="425" spans="1:57" ht="12.75">
      <c r="A425" s="89"/>
      <c r="B425" s="89"/>
      <c r="C425" s="17"/>
      <c r="BE425" s="19"/>
    </row>
    <row r="426" spans="1:57" ht="12.75">
      <c r="A426" s="89"/>
      <c r="B426" s="89"/>
      <c r="C426" s="17"/>
      <c r="BE426" s="19"/>
    </row>
    <row r="427" spans="1:57" ht="12.75">
      <c r="A427" s="89"/>
      <c r="B427" s="89"/>
      <c r="C427" s="17"/>
      <c r="BE427" s="19"/>
    </row>
    <row r="428" spans="1:57" ht="12.75">
      <c r="A428" s="89"/>
      <c r="B428" s="89"/>
      <c r="C428" s="17"/>
      <c r="BE428" s="19"/>
    </row>
    <row r="429" spans="1:57" ht="12.75">
      <c r="A429" s="89"/>
      <c r="B429" s="89"/>
      <c r="C429" s="17"/>
      <c r="BE429" s="19"/>
    </row>
    <row r="430" spans="1:57" ht="12.75">
      <c r="A430" s="89"/>
      <c r="B430" s="89"/>
      <c r="C430" s="17"/>
      <c r="BE430" s="19"/>
    </row>
    <row r="431" spans="1:57" ht="12.75">
      <c r="A431" s="89"/>
      <c r="B431" s="89"/>
      <c r="C431" s="17"/>
      <c r="BE431" s="19"/>
    </row>
    <row r="432" spans="1:57" ht="12.75">
      <c r="A432" s="89"/>
      <c r="B432" s="89"/>
      <c r="C432" s="17"/>
      <c r="BE432" s="19"/>
    </row>
    <row r="433" spans="1:57" ht="12.75">
      <c r="A433" s="89"/>
      <c r="B433" s="89"/>
      <c r="C433" s="17"/>
      <c r="BE433" s="19"/>
    </row>
    <row r="434" spans="1:57" ht="12.75">
      <c r="A434" s="89"/>
      <c r="B434" s="89"/>
      <c r="C434" s="17"/>
      <c r="BE434" s="19"/>
    </row>
    <row r="435" spans="1:57" ht="12.75">
      <c r="A435" s="89"/>
      <c r="B435" s="89"/>
      <c r="C435" s="17"/>
      <c r="BE435" s="19"/>
    </row>
    <row r="436" spans="1:57" ht="12.75">
      <c r="A436" s="89"/>
      <c r="B436" s="89"/>
      <c r="C436" s="17"/>
      <c r="BE436" s="19"/>
    </row>
    <row r="437" spans="1:57" ht="12.75">
      <c r="A437" s="89"/>
      <c r="B437" s="89"/>
      <c r="C437" s="17"/>
      <c r="BE437" s="19"/>
    </row>
    <row r="438" spans="1:57" ht="12.75">
      <c r="A438" s="89"/>
      <c r="B438" s="89"/>
      <c r="C438" s="17"/>
      <c r="BE438" s="19"/>
    </row>
    <row r="439" spans="1:57" ht="12.75">
      <c r="A439" s="89"/>
      <c r="B439" s="89"/>
      <c r="C439" s="17"/>
      <c r="BE439" s="19"/>
    </row>
    <row r="440" spans="1:57" ht="12.75">
      <c r="A440" s="89"/>
      <c r="B440" s="89"/>
      <c r="C440" s="17"/>
      <c r="BE440" s="19"/>
    </row>
    <row r="441" spans="1:57" ht="12.75">
      <c r="A441" s="89"/>
      <c r="B441" s="89"/>
      <c r="C441" s="17"/>
      <c r="BE441" s="19"/>
    </row>
    <row r="442" spans="1:57" ht="12.75">
      <c r="A442" s="89"/>
      <c r="B442" s="89"/>
      <c r="C442" s="17"/>
      <c r="BE442" s="19"/>
    </row>
    <row r="443" spans="1:57" ht="12.75">
      <c r="A443" s="89"/>
      <c r="B443" s="89"/>
      <c r="C443" s="17"/>
      <c r="BE443" s="19"/>
    </row>
    <row r="444" spans="1:57" ht="12.75">
      <c r="A444" s="89"/>
      <c r="B444" s="89"/>
      <c r="C444" s="17"/>
      <c r="BE444" s="19"/>
    </row>
    <row r="445" spans="1:57" ht="12.75">
      <c r="A445" s="89"/>
      <c r="B445" s="89"/>
      <c r="C445" s="17"/>
      <c r="BE445" s="19"/>
    </row>
    <row r="446" spans="1:57" ht="12.75">
      <c r="A446" s="89"/>
      <c r="B446" s="89"/>
      <c r="C446" s="17"/>
      <c r="BE446" s="19"/>
    </row>
    <row r="447" spans="1:57" ht="12.75">
      <c r="A447" s="89"/>
      <c r="B447" s="89"/>
      <c r="C447" s="17"/>
      <c r="BE447" s="19"/>
    </row>
    <row r="448" spans="1:57" ht="12.75">
      <c r="A448" s="89"/>
      <c r="B448" s="89"/>
      <c r="C448" s="17"/>
      <c r="BE448" s="19"/>
    </row>
    <row r="449" spans="1:57" ht="12.75">
      <c r="A449" s="89"/>
      <c r="B449" s="89"/>
      <c r="C449" s="17"/>
      <c r="BE449" s="19"/>
    </row>
    <row r="450" spans="1:57" ht="12.75">
      <c r="A450" s="89"/>
      <c r="B450" s="89"/>
      <c r="C450" s="17"/>
      <c r="BE450" s="19"/>
    </row>
    <row r="451" spans="1:57" ht="12.75">
      <c r="A451" s="89"/>
      <c r="B451" s="89"/>
      <c r="C451" s="17"/>
      <c r="BE451" s="19"/>
    </row>
    <row r="452" spans="1:57" ht="12.75">
      <c r="A452" s="89"/>
      <c r="B452" s="89"/>
      <c r="C452" s="17"/>
      <c r="BE452" s="19"/>
    </row>
    <row r="453" spans="1:57" ht="12.75">
      <c r="A453" s="89"/>
      <c r="B453" s="89"/>
      <c r="C453" s="17"/>
      <c r="BE453" s="19"/>
    </row>
    <row r="454" spans="1:57" ht="12.75">
      <c r="A454" s="89"/>
      <c r="B454" s="89"/>
      <c r="C454" s="17"/>
      <c r="BE454" s="19"/>
    </row>
    <row r="455" spans="1:57" ht="12.75">
      <c r="A455" s="89"/>
      <c r="B455" s="89"/>
      <c r="C455" s="17"/>
      <c r="BE455" s="19"/>
    </row>
    <row r="456" spans="1:57" ht="12.75">
      <c r="A456" s="89"/>
      <c r="B456" s="89"/>
      <c r="C456" s="17"/>
      <c r="BE456" s="19"/>
    </row>
    <row r="457" spans="1:57" ht="12.75">
      <c r="A457" s="89"/>
      <c r="B457" s="89"/>
      <c r="C457" s="17"/>
      <c r="BE457" s="19"/>
    </row>
    <row r="458" spans="1:57" ht="12.75">
      <c r="A458" s="89"/>
      <c r="B458" s="89"/>
      <c r="C458" s="17"/>
      <c r="BE458" s="19"/>
    </row>
    <row r="459" spans="1:57" ht="12.75">
      <c r="A459" s="89"/>
      <c r="B459" s="89"/>
      <c r="C459" s="17"/>
      <c r="BE459" s="19"/>
    </row>
    <row r="460" spans="1:57" ht="12.75">
      <c r="A460" s="89"/>
      <c r="B460" s="89"/>
      <c r="C460" s="17"/>
      <c r="BE460" s="19"/>
    </row>
    <row r="461" spans="1:57" ht="12.75">
      <c r="A461" s="89"/>
      <c r="B461" s="89"/>
      <c r="C461" s="17"/>
      <c r="BE461" s="19"/>
    </row>
    <row r="462" spans="1:57" ht="12.75">
      <c r="A462" s="89"/>
      <c r="B462" s="89"/>
      <c r="C462" s="17"/>
      <c r="BE462" s="19"/>
    </row>
    <row r="463" spans="1:57" ht="12.75">
      <c r="A463" s="89"/>
      <c r="B463" s="89"/>
      <c r="C463" s="17"/>
      <c r="BE463" s="19"/>
    </row>
    <row r="464" spans="1:57" ht="12.75">
      <c r="A464" s="89"/>
      <c r="B464" s="89"/>
      <c r="C464" s="17"/>
      <c r="BE464" s="19"/>
    </row>
    <row r="465" spans="1:57" ht="12.75">
      <c r="A465" s="89"/>
      <c r="B465" s="89"/>
      <c r="C465" s="17"/>
      <c r="BE465" s="19"/>
    </row>
    <row r="466" spans="1:57" ht="12.75">
      <c r="A466" s="89"/>
      <c r="B466" s="89"/>
      <c r="C466" s="17"/>
      <c r="BE466" s="19"/>
    </row>
    <row r="467" spans="1:57" ht="12.75">
      <c r="A467" s="89"/>
      <c r="B467" s="89"/>
      <c r="C467" s="17"/>
      <c r="BE467" s="19"/>
    </row>
    <row r="468" spans="1:57" ht="12.75">
      <c r="A468" s="89"/>
      <c r="B468" s="89"/>
      <c r="C468" s="17"/>
      <c r="BE468" s="19"/>
    </row>
    <row r="469" spans="1:57" ht="12.75">
      <c r="A469" s="89"/>
      <c r="B469" s="89"/>
      <c r="C469" s="17"/>
      <c r="BE469" s="19"/>
    </row>
    <row r="470" spans="1:57" ht="12.75">
      <c r="A470" s="89"/>
      <c r="B470" s="89"/>
      <c r="C470" s="17"/>
      <c r="BE470" s="19"/>
    </row>
    <row r="471" spans="1:57" ht="12.75">
      <c r="A471" s="89"/>
      <c r="B471" s="89"/>
      <c r="C471" s="17"/>
      <c r="BE471" s="19"/>
    </row>
    <row r="472" spans="1:57" ht="12.75">
      <c r="A472" s="89"/>
      <c r="B472" s="89"/>
      <c r="C472" s="17"/>
      <c r="BE472" s="19"/>
    </row>
    <row r="473" spans="1:57" ht="12.75">
      <c r="A473" s="89"/>
      <c r="B473" s="89"/>
      <c r="C473" s="17"/>
      <c r="BE473" s="19"/>
    </row>
    <row r="474" spans="1:57" ht="12.75">
      <c r="A474" s="89"/>
      <c r="B474" s="89"/>
      <c r="C474" s="17"/>
      <c r="BE474" s="19"/>
    </row>
    <row r="475" spans="1:57" ht="12.75">
      <c r="A475" s="89"/>
      <c r="B475" s="89"/>
      <c r="C475" s="17"/>
      <c r="BE475" s="19"/>
    </row>
    <row r="476" spans="1:57" ht="12.75">
      <c r="A476" s="89"/>
      <c r="B476" s="89"/>
      <c r="C476" s="17"/>
      <c r="BE476" s="19"/>
    </row>
    <row r="477" spans="1:57" ht="12.75">
      <c r="A477" s="89"/>
      <c r="B477" s="89"/>
      <c r="C477" s="17"/>
      <c r="BE477" s="19"/>
    </row>
    <row r="478" spans="1:57" ht="12.75">
      <c r="A478" s="89"/>
      <c r="B478" s="89"/>
      <c r="C478" s="17"/>
      <c r="BE478" s="19"/>
    </row>
    <row r="479" spans="1:57" ht="12.75">
      <c r="A479" s="89"/>
      <c r="B479" s="89"/>
      <c r="C479" s="17"/>
      <c r="BE479" s="19"/>
    </row>
    <row r="480" spans="1:57" ht="12.75">
      <c r="A480" s="89"/>
      <c r="B480" s="89"/>
      <c r="C480" s="17"/>
      <c r="BE480" s="19"/>
    </row>
    <row r="481" spans="1:57" ht="12.75">
      <c r="A481" s="89"/>
      <c r="B481" s="89"/>
      <c r="C481" s="17"/>
      <c r="BE481" s="19"/>
    </row>
    <row r="482" spans="1:57" ht="12.75">
      <c r="A482" s="89"/>
      <c r="B482" s="89"/>
      <c r="C482" s="17"/>
      <c r="BE482" s="19"/>
    </row>
    <row r="483" spans="1:57" ht="12.75">
      <c r="A483" s="89"/>
      <c r="B483" s="89"/>
      <c r="C483" s="17"/>
      <c r="BE483" s="19"/>
    </row>
    <row r="484" spans="1:57" ht="12.75">
      <c r="A484" s="89"/>
      <c r="B484" s="89"/>
      <c r="C484" s="17"/>
      <c r="BE484" s="19"/>
    </row>
    <row r="485" spans="1:57" ht="12.75">
      <c r="A485" s="89"/>
      <c r="B485" s="89"/>
      <c r="C485" s="17"/>
      <c r="BE485" s="19"/>
    </row>
    <row r="486" spans="1:57" ht="12.75">
      <c r="A486" s="89"/>
      <c r="B486" s="89"/>
      <c r="C486" s="17"/>
      <c r="BE486" s="19"/>
    </row>
    <row r="487" spans="1:57" ht="12.75">
      <c r="A487" s="89"/>
      <c r="B487" s="89"/>
      <c r="C487" s="17"/>
      <c r="BE487" s="19"/>
    </row>
    <row r="488" spans="1:57" ht="12.75">
      <c r="A488" s="89"/>
      <c r="B488" s="89"/>
      <c r="C488" s="17"/>
      <c r="BE488" s="19"/>
    </row>
    <row r="489" spans="1:57" ht="12.75">
      <c r="A489" s="89"/>
      <c r="B489" s="89"/>
      <c r="C489" s="17"/>
      <c r="BE489" s="19"/>
    </row>
    <row r="490" spans="1:57" ht="12.75">
      <c r="A490" s="89"/>
      <c r="B490" s="89"/>
      <c r="C490" s="17"/>
      <c r="BE490" s="19"/>
    </row>
    <row r="491" spans="1:57" ht="12.75">
      <c r="A491" s="89"/>
      <c r="B491" s="89"/>
      <c r="C491" s="17"/>
      <c r="BE491" s="19"/>
    </row>
    <row r="492" spans="1:57" ht="12.75">
      <c r="A492" s="89"/>
      <c r="B492" s="89"/>
      <c r="C492" s="17"/>
      <c r="BE492" s="19"/>
    </row>
    <row r="493" spans="1:57" ht="12.75">
      <c r="A493" s="89"/>
      <c r="B493" s="89"/>
      <c r="C493" s="17"/>
      <c r="BE493" s="19"/>
    </row>
    <row r="494" spans="1:57" ht="12.75">
      <c r="A494" s="89"/>
      <c r="B494" s="89"/>
      <c r="C494" s="17"/>
      <c r="BE494" s="19"/>
    </row>
    <row r="495" spans="1:57" ht="12.75">
      <c r="A495" s="89"/>
      <c r="B495" s="89"/>
      <c r="C495" s="17"/>
      <c r="BE495" s="19"/>
    </row>
    <row r="496" spans="1:57" ht="12.75">
      <c r="A496" s="89"/>
      <c r="B496" s="89"/>
      <c r="C496" s="17"/>
      <c r="BE496" s="19"/>
    </row>
    <row r="497" spans="1:57" ht="12.75">
      <c r="A497" s="89"/>
      <c r="B497" s="89"/>
      <c r="C497" s="17"/>
      <c r="BE497" s="19"/>
    </row>
    <row r="498" spans="1:57" ht="12.75">
      <c r="A498" s="89"/>
      <c r="B498" s="89"/>
      <c r="C498" s="17"/>
      <c r="BE498" s="19"/>
    </row>
    <row r="499" spans="1:57" ht="12.75">
      <c r="A499" s="89"/>
      <c r="B499" s="89"/>
      <c r="C499" s="17"/>
      <c r="BE499" s="19"/>
    </row>
    <row r="500" spans="1:57" ht="12.75">
      <c r="A500" s="89"/>
      <c r="B500" s="89"/>
      <c r="C500" s="17"/>
      <c r="BE500" s="19"/>
    </row>
    <row r="501" spans="1:57" ht="12.75">
      <c r="A501" s="89"/>
      <c r="B501" s="89"/>
      <c r="C501" s="17"/>
      <c r="BE501" s="19"/>
    </row>
    <row r="502" spans="1:57" ht="12.75">
      <c r="A502" s="89"/>
      <c r="B502" s="89"/>
      <c r="C502" s="17"/>
      <c r="BE502" s="19"/>
    </row>
    <row r="503" spans="1:57" ht="12.75">
      <c r="A503" s="89"/>
      <c r="B503" s="89"/>
      <c r="C503" s="17"/>
      <c r="BE503" s="19"/>
    </row>
    <row r="504" spans="1:57" ht="12.75">
      <c r="A504" s="89"/>
      <c r="B504" s="89"/>
      <c r="C504" s="17"/>
      <c r="BE504" s="19"/>
    </row>
    <row r="505" spans="1:57" ht="12.75">
      <c r="A505" s="89"/>
      <c r="B505" s="89"/>
      <c r="C505" s="17"/>
      <c r="BE505" s="19"/>
    </row>
    <row r="506" spans="1:57" ht="12.75">
      <c r="A506" s="89"/>
      <c r="B506" s="89"/>
      <c r="C506" s="17"/>
      <c r="BE506" s="19"/>
    </row>
    <row r="507" spans="1:57" ht="12.75">
      <c r="A507" s="89"/>
      <c r="B507" s="89"/>
      <c r="C507" s="17"/>
      <c r="BE507" s="19"/>
    </row>
    <row r="508" spans="1:57" ht="12.75">
      <c r="A508" s="89"/>
      <c r="B508" s="89"/>
      <c r="C508" s="17"/>
      <c r="BE508" s="19"/>
    </row>
    <row r="509" spans="1:57" ht="12.75">
      <c r="A509" s="89"/>
      <c r="B509" s="89"/>
      <c r="C509" s="17"/>
      <c r="BE509" s="19"/>
    </row>
    <row r="510" spans="1:57" ht="12.75">
      <c r="A510" s="89"/>
      <c r="B510" s="89"/>
      <c r="C510" s="17"/>
      <c r="BE510" s="19"/>
    </row>
    <row r="511" spans="1:57" ht="12.75">
      <c r="A511" s="89"/>
      <c r="B511" s="89"/>
      <c r="C511" s="17"/>
      <c r="BE511" s="19"/>
    </row>
    <row r="512" spans="1:57" ht="12.75">
      <c r="A512" s="89"/>
      <c r="B512" s="89"/>
      <c r="C512" s="17"/>
      <c r="BE512" s="19"/>
    </row>
    <row r="513" spans="1:57" ht="12.75">
      <c r="A513" s="89"/>
      <c r="B513" s="89"/>
      <c r="C513" s="17"/>
      <c r="BE513" s="19"/>
    </row>
    <row r="514" spans="1:57" ht="12.75">
      <c r="A514" s="89"/>
      <c r="B514" s="89"/>
      <c r="C514" s="17"/>
      <c r="BE514" s="19"/>
    </row>
    <row r="515" spans="1:57" ht="12.75">
      <c r="A515" s="89"/>
      <c r="B515" s="89"/>
      <c r="C515" s="17"/>
      <c r="BE515" s="19"/>
    </row>
    <row r="516" spans="1:57" ht="12.75">
      <c r="A516" s="89"/>
      <c r="B516" s="89"/>
      <c r="C516" s="17"/>
      <c r="BE516" s="19"/>
    </row>
    <row r="517" spans="1:57" ht="12.75">
      <c r="A517" s="89"/>
      <c r="B517" s="89"/>
      <c r="C517" s="17"/>
      <c r="BE517" s="19"/>
    </row>
    <row r="518" spans="1:57" ht="12.75">
      <c r="A518" s="89"/>
      <c r="B518" s="89"/>
      <c r="C518" s="17"/>
      <c r="BE518" s="19"/>
    </row>
    <row r="519" spans="1:57" ht="12.75">
      <c r="A519" s="89"/>
      <c r="B519" s="89"/>
      <c r="C519" s="17"/>
      <c r="BE519" s="19"/>
    </row>
    <row r="520" spans="1:57" ht="12.75">
      <c r="A520" s="89"/>
      <c r="B520" s="89"/>
      <c r="C520" s="17"/>
      <c r="BE520" s="19"/>
    </row>
    <row r="521" spans="1:57" ht="12.75">
      <c r="A521" s="89"/>
      <c r="B521" s="89"/>
      <c r="C521" s="17"/>
      <c r="BE521" s="19"/>
    </row>
    <row r="522" spans="1:57" ht="12.75">
      <c r="A522" s="89"/>
      <c r="B522" s="89"/>
      <c r="C522" s="17"/>
      <c r="BE522" s="19"/>
    </row>
    <row r="523" spans="1:57" ht="12.75">
      <c r="A523" s="89"/>
      <c r="B523" s="89"/>
      <c r="C523" s="17"/>
      <c r="BE523" s="19"/>
    </row>
    <row r="524" spans="1:57" ht="12.75">
      <c r="A524" s="89"/>
      <c r="B524" s="89"/>
      <c r="C524" s="17"/>
      <c r="BE524" s="19"/>
    </row>
    <row r="525" spans="1:57" ht="12.75">
      <c r="A525" s="89"/>
      <c r="B525" s="89"/>
      <c r="C525" s="17"/>
      <c r="BE525" s="19"/>
    </row>
    <row r="526" spans="1:57" ht="12.75">
      <c r="A526" s="89"/>
      <c r="B526" s="89"/>
      <c r="C526" s="17"/>
      <c r="BE526" s="19"/>
    </row>
    <row r="527" spans="1:57" ht="12.75">
      <c r="A527" s="89"/>
      <c r="B527" s="89"/>
      <c r="C527" s="17"/>
      <c r="BE527" s="19"/>
    </row>
    <row r="528" spans="1:57" ht="12.75">
      <c r="A528" s="89"/>
      <c r="B528" s="89"/>
      <c r="C528" s="17"/>
      <c r="BE528" s="19"/>
    </row>
    <row r="529" spans="1:57" ht="12.75">
      <c r="A529" s="89"/>
      <c r="B529" s="89"/>
      <c r="C529" s="17"/>
      <c r="BE529" s="19"/>
    </row>
    <row r="530" spans="1:57" ht="12.75">
      <c r="A530" s="89"/>
      <c r="B530" s="89"/>
      <c r="C530" s="17"/>
      <c r="BE530" s="19"/>
    </row>
    <row r="531" spans="1:57" ht="12.75">
      <c r="A531" s="89"/>
      <c r="B531" s="89"/>
      <c r="C531" s="17"/>
      <c r="BE531" s="19"/>
    </row>
    <row r="532" spans="1:57" ht="12.75">
      <c r="A532" s="89"/>
      <c r="B532" s="89"/>
      <c r="C532" s="17"/>
      <c r="BE532" s="19"/>
    </row>
    <row r="533" spans="1:57" ht="12.75">
      <c r="A533" s="89"/>
      <c r="B533" s="89"/>
      <c r="C533" s="17"/>
      <c r="BE533" s="19"/>
    </row>
    <row r="534" spans="1:57" ht="12.75">
      <c r="A534" s="89"/>
      <c r="B534" s="89"/>
      <c r="C534" s="17"/>
      <c r="BE534" s="19"/>
    </row>
    <row r="535" spans="1:57" ht="12.75">
      <c r="A535" s="89"/>
      <c r="B535" s="89"/>
      <c r="C535" s="17"/>
      <c r="BE535" s="19"/>
    </row>
    <row r="536" spans="1:57" ht="12.75">
      <c r="A536" s="89"/>
      <c r="B536" s="89"/>
      <c r="C536" s="17"/>
      <c r="BE536" s="19"/>
    </row>
    <row r="537" spans="1:57" ht="12.75">
      <c r="A537" s="89"/>
      <c r="B537" s="89"/>
      <c r="C537" s="17"/>
      <c r="BE537" s="19"/>
    </row>
    <row r="538" spans="1:57" ht="12.75">
      <c r="A538" s="89"/>
      <c r="B538" s="89"/>
      <c r="C538" s="17"/>
      <c r="BE538" s="19"/>
    </row>
    <row r="539" spans="1:57" ht="12.75">
      <c r="A539" s="89"/>
      <c r="B539" s="89"/>
      <c r="C539" s="17"/>
      <c r="BE539" s="19"/>
    </row>
    <row r="540" spans="1:57" ht="12.75">
      <c r="A540" s="89"/>
      <c r="B540" s="89"/>
      <c r="C540" s="17"/>
      <c r="BE540" s="19"/>
    </row>
    <row r="541" spans="1:57" ht="12.75">
      <c r="A541" s="89"/>
      <c r="B541" s="89"/>
      <c r="C541" s="17"/>
      <c r="BE541" s="19"/>
    </row>
    <row r="542" spans="1:57" ht="12.75">
      <c r="A542" s="89"/>
      <c r="B542" s="89"/>
      <c r="C542" s="17"/>
      <c r="BE542" s="19"/>
    </row>
    <row r="543" spans="1:57" ht="12.75">
      <c r="A543" s="89"/>
      <c r="B543" s="89"/>
      <c r="C543" s="17"/>
      <c r="BE543" s="19"/>
    </row>
    <row r="544" spans="1:57" ht="12.75">
      <c r="A544" s="89"/>
      <c r="B544" s="89"/>
      <c r="C544" s="17"/>
      <c r="BE544" s="19"/>
    </row>
    <row r="545" spans="1:57" ht="12.75">
      <c r="A545" s="89"/>
      <c r="B545" s="89"/>
      <c r="C545" s="17"/>
      <c r="BE545" s="19"/>
    </row>
    <row r="546" spans="1:57" ht="12.75">
      <c r="A546" s="89"/>
      <c r="B546" s="89"/>
      <c r="C546" s="17"/>
      <c r="BE546" s="19"/>
    </row>
    <row r="547" spans="1:57" ht="12.75">
      <c r="A547" s="89"/>
      <c r="B547" s="89"/>
      <c r="C547" s="17"/>
      <c r="BE547" s="19"/>
    </row>
    <row r="548" spans="1:57" ht="12.75">
      <c r="A548" s="89"/>
      <c r="B548" s="89"/>
      <c r="C548" s="17"/>
      <c r="BE548" s="19"/>
    </row>
    <row r="549" spans="1:57" ht="12.75">
      <c r="A549" s="89"/>
      <c r="B549" s="89"/>
      <c r="C549" s="17"/>
      <c r="BE549" s="19"/>
    </row>
    <row r="550" spans="1:57" ht="12.75">
      <c r="A550" s="89"/>
      <c r="B550" s="89"/>
      <c r="C550" s="17"/>
      <c r="BE550" s="19"/>
    </row>
    <row r="551" spans="1:57" ht="12.75">
      <c r="A551" s="89"/>
      <c r="B551" s="89"/>
      <c r="C551" s="17"/>
      <c r="BE551" s="19"/>
    </row>
    <row r="552" spans="1:57" ht="12.75">
      <c r="A552" s="89"/>
      <c r="B552" s="89"/>
      <c r="C552" s="17"/>
      <c r="BE552" s="19"/>
    </row>
    <row r="553" spans="1:57" ht="12.75">
      <c r="A553" s="89"/>
      <c r="B553" s="89"/>
      <c r="C553" s="17"/>
      <c r="BE553" s="19"/>
    </row>
    <row r="554" spans="1:57" ht="12.75">
      <c r="A554" s="89"/>
      <c r="B554" s="89"/>
      <c r="C554" s="17"/>
      <c r="BE554" s="19"/>
    </row>
    <row r="555" spans="1:57" ht="12.75">
      <c r="A555" s="89"/>
      <c r="B555" s="89"/>
      <c r="C555" s="17"/>
      <c r="BE555" s="19"/>
    </row>
    <row r="556" spans="1:57" ht="12.75">
      <c r="A556" s="89"/>
      <c r="B556" s="89"/>
      <c r="C556" s="17"/>
      <c r="BE556" s="19"/>
    </row>
    <row r="557" spans="1:57" ht="12.75">
      <c r="A557" s="89"/>
      <c r="B557" s="89"/>
      <c r="C557" s="17"/>
      <c r="BE557" s="19"/>
    </row>
    <row r="558" spans="1:57" ht="12.75">
      <c r="A558" s="89"/>
      <c r="B558" s="89"/>
      <c r="C558" s="17"/>
      <c r="BE558" s="19"/>
    </row>
    <row r="559" spans="1:57" ht="12.75">
      <c r="A559" s="89"/>
      <c r="B559" s="89"/>
      <c r="C559" s="17"/>
      <c r="BE559" s="19"/>
    </row>
    <row r="560" spans="1:57" ht="12.75">
      <c r="A560" s="89"/>
      <c r="B560" s="89"/>
      <c r="C560" s="17"/>
      <c r="BE560" s="19"/>
    </row>
    <row r="561" spans="1:57" ht="12.75">
      <c r="A561" s="89"/>
      <c r="B561" s="89"/>
      <c r="C561" s="17"/>
      <c r="BE561" s="19"/>
    </row>
    <row r="562" spans="1:57" ht="12.75">
      <c r="A562" s="89"/>
      <c r="B562" s="89"/>
      <c r="C562" s="17"/>
      <c r="BE562" s="19"/>
    </row>
    <row r="563" spans="1:57" ht="12.75">
      <c r="A563" s="89"/>
      <c r="B563" s="89"/>
      <c r="C563" s="17"/>
      <c r="BE563" s="19"/>
    </row>
    <row r="564" spans="1:57" ht="12.75">
      <c r="A564" s="89"/>
      <c r="B564" s="89"/>
      <c r="C564" s="17"/>
      <c r="BE564" s="19"/>
    </row>
    <row r="565" spans="1:57" ht="12.75">
      <c r="A565" s="89"/>
      <c r="B565" s="89"/>
      <c r="C565" s="17"/>
      <c r="BE565" s="19"/>
    </row>
    <row r="566" spans="1:57" ht="12.75">
      <c r="A566" s="89"/>
      <c r="B566" s="89"/>
      <c r="C566" s="17"/>
      <c r="BE566" s="19"/>
    </row>
    <row r="567" spans="1:57" ht="12.75">
      <c r="A567" s="89"/>
      <c r="B567" s="89"/>
      <c r="C567" s="17"/>
      <c r="BE567" s="19"/>
    </row>
    <row r="568" spans="1:57" ht="12.75">
      <c r="A568" s="89"/>
      <c r="B568" s="89"/>
      <c r="C568" s="17"/>
      <c r="BE568" s="19"/>
    </row>
    <row r="569" spans="1:57" ht="12.75">
      <c r="A569" s="89"/>
      <c r="B569" s="89"/>
      <c r="C569" s="17"/>
      <c r="BE569" s="19"/>
    </row>
    <row r="570" spans="1:57" ht="12.75">
      <c r="A570" s="89"/>
      <c r="B570" s="89"/>
      <c r="C570" s="17"/>
      <c r="BE570" s="19"/>
    </row>
    <row r="571" spans="1:57" ht="12.75">
      <c r="A571" s="89"/>
      <c r="B571" s="89"/>
      <c r="C571" s="17"/>
      <c r="BE571" s="19"/>
    </row>
    <row r="572" spans="1:57" ht="12.75">
      <c r="A572" s="89"/>
      <c r="B572" s="89"/>
      <c r="C572" s="17"/>
      <c r="BE572" s="19"/>
    </row>
    <row r="573" spans="1:57" ht="12.75">
      <c r="A573" s="89"/>
      <c r="B573" s="89"/>
      <c r="C573" s="17"/>
      <c r="BE573" s="19"/>
    </row>
    <row r="574" spans="1:57" ht="12.75">
      <c r="A574" s="89"/>
      <c r="B574" s="89"/>
      <c r="C574" s="17"/>
      <c r="BE574" s="19"/>
    </row>
    <row r="575" spans="1:57" ht="12.75">
      <c r="A575" s="89"/>
      <c r="B575" s="89"/>
      <c r="C575" s="17"/>
      <c r="BE575" s="19"/>
    </row>
    <row r="576" spans="1:57" ht="12.75">
      <c r="A576" s="89"/>
      <c r="B576" s="89"/>
      <c r="C576" s="17"/>
      <c r="BE576" s="19"/>
    </row>
    <row r="577" spans="1:57" ht="12.75">
      <c r="A577" s="89"/>
      <c r="B577" s="89"/>
      <c r="C577" s="17"/>
      <c r="BE577" s="19"/>
    </row>
    <row r="578" spans="1:57" ht="12.75">
      <c r="A578" s="89"/>
      <c r="B578" s="89"/>
      <c r="C578" s="17"/>
      <c r="BE578" s="19"/>
    </row>
    <row r="579" spans="1:57" ht="12.75">
      <c r="A579" s="89"/>
      <c r="B579" s="89"/>
      <c r="C579" s="17"/>
      <c r="BE579" s="19"/>
    </row>
    <row r="580" spans="1:57" ht="12.75">
      <c r="A580" s="89"/>
      <c r="B580" s="89"/>
      <c r="C580" s="17"/>
      <c r="BE580" s="19"/>
    </row>
    <row r="581" spans="1:57" ht="12.75">
      <c r="A581" s="89"/>
      <c r="B581" s="89"/>
      <c r="C581" s="17"/>
      <c r="BE581" s="19"/>
    </row>
    <row r="582" spans="1:57" ht="12.75">
      <c r="A582" s="89"/>
      <c r="B582" s="89"/>
      <c r="C582" s="17"/>
      <c r="BE582" s="19"/>
    </row>
    <row r="583" spans="1:57" ht="12.75">
      <c r="A583" s="89"/>
      <c r="B583" s="89"/>
      <c r="C583" s="17"/>
      <c r="BE583" s="19"/>
    </row>
    <row r="584" spans="1:57" ht="12.75">
      <c r="A584" s="89"/>
      <c r="B584" s="89"/>
      <c r="C584" s="17"/>
      <c r="BE584" s="19"/>
    </row>
    <row r="585" spans="1:57" ht="12.75">
      <c r="A585" s="89"/>
      <c r="B585" s="89"/>
      <c r="C585" s="17"/>
      <c r="BE585" s="19"/>
    </row>
    <row r="586" spans="1:57" ht="12.75">
      <c r="A586" s="89"/>
      <c r="B586" s="89"/>
      <c r="C586" s="17"/>
      <c r="BE586" s="19"/>
    </row>
    <row r="587" spans="1:57" ht="12.75">
      <c r="A587" s="89"/>
      <c r="B587" s="89"/>
      <c r="C587" s="17"/>
      <c r="BE587" s="19"/>
    </row>
    <row r="588" spans="1:57" ht="12.75">
      <c r="A588" s="89"/>
      <c r="B588" s="89"/>
      <c r="C588" s="17"/>
      <c r="BE588" s="19"/>
    </row>
    <row r="589" spans="1:57" ht="12.75">
      <c r="A589" s="89"/>
      <c r="B589" s="89"/>
      <c r="C589" s="17"/>
      <c r="BE589" s="19"/>
    </row>
    <row r="590" spans="1:57" ht="12.75">
      <c r="A590" s="89"/>
      <c r="B590" s="89"/>
      <c r="C590" s="17"/>
      <c r="BE590" s="19"/>
    </row>
    <row r="591" spans="1:57" ht="12.75">
      <c r="A591" s="89"/>
      <c r="B591" s="89"/>
      <c r="C591" s="17"/>
      <c r="BE591" s="19"/>
    </row>
    <row r="592" spans="1:57" ht="12.75">
      <c r="A592" s="89"/>
      <c r="B592" s="89"/>
      <c r="C592" s="17"/>
      <c r="BE592" s="19"/>
    </row>
    <row r="593" spans="1:57" ht="12.75">
      <c r="A593" s="89"/>
      <c r="B593" s="89"/>
      <c r="C593" s="17"/>
      <c r="BE593" s="19"/>
    </row>
    <row r="594" spans="1:57" ht="12.75">
      <c r="A594" s="89"/>
      <c r="B594" s="89"/>
      <c r="C594" s="17"/>
      <c r="BE594" s="19"/>
    </row>
    <row r="595" spans="1:57" ht="12.75">
      <c r="A595" s="89"/>
      <c r="B595" s="89"/>
      <c r="C595" s="17"/>
      <c r="BE595" s="19"/>
    </row>
    <row r="596" spans="1:57" ht="12.75">
      <c r="A596" s="89"/>
      <c r="B596" s="89"/>
      <c r="C596" s="17"/>
      <c r="BE596" s="19"/>
    </row>
    <row r="597" spans="1:57" ht="12.75">
      <c r="A597" s="89"/>
      <c r="B597" s="89"/>
      <c r="C597" s="17"/>
      <c r="BE597" s="19"/>
    </row>
    <row r="598" spans="1:57" ht="12.75">
      <c r="A598" s="89"/>
      <c r="B598" s="89"/>
      <c r="C598" s="17"/>
      <c r="BE598" s="19"/>
    </row>
    <row r="599" spans="1:57" ht="12.75">
      <c r="A599" s="89"/>
      <c r="B599" s="89"/>
      <c r="C599" s="17"/>
      <c r="BE599" s="19"/>
    </row>
    <row r="600" spans="1:57" ht="12.75">
      <c r="A600" s="89"/>
      <c r="B600" s="89"/>
      <c r="C600" s="17"/>
      <c r="BE600" s="19"/>
    </row>
    <row r="601" spans="1:57" ht="12.75">
      <c r="A601" s="89"/>
      <c r="B601" s="89"/>
      <c r="C601" s="17"/>
      <c r="BE601" s="19"/>
    </row>
    <row r="602" spans="1:57" ht="12.75">
      <c r="A602" s="89"/>
      <c r="B602" s="89"/>
      <c r="C602" s="17"/>
      <c r="BE602" s="19"/>
    </row>
    <row r="603" spans="1:57" ht="12.75">
      <c r="A603" s="89"/>
      <c r="B603" s="89"/>
      <c r="C603" s="17"/>
      <c r="BE603" s="19"/>
    </row>
    <row r="604" spans="1:57" ht="12.75">
      <c r="A604" s="89"/>
      <c r="B604" s="89"/>
      <c r="C604" s="17"/>
      <c r="BE604" s="19"/>
    </row>
    <row r="605" spans="1:57" ht="12.75">
      <c r="A605" s="89"/>
      <c r="B605" s="89"/>
      <c r="C605" s="17"/>
      <c r="BE605" s="19"/>
    </row>
    <row r="606" spans="1:57" ht="12.75">
      <c r="A606" s="89"/>
      <c r="B606" s="89"/>
      <c r="C606" s="17"/>
      <c r="BE606" s="19"/>
    </row>
    <row r="607" spans="1:57" ht="12.75">
      <c r="A607" s="89"/>
      <c r="B607" s="89"/>
      <c r="C607" s="17"/>
      <c r="BE607" s="19"/>
    </row>
    <row r="608" spans="1:57" ht="12.75">
      <c r="A608" s="89"/>
      <c r="B608" s="89"/>
      <c r="C608" s="17"/>
      <c r="BE608" s="19"/>
    </row>
    <row r="609" spans="1:57" ht="12.75">
      <c r="A609" s="89"/>
      <c r="B609" s="89"/>
      <c r="C609" s="17"/>
      <c r="BE609" s="19"/>
    </row>
    <row r="610" spans="1:57" ht="12.75">
      <c r="A610" s="89"/>
      <c r="B610" s="89"/>
      <c r="C610" s="17"/>
      <c r="BE610" s="19"/>
    </row>
    <row r="611" spans="1:57" ht="12.75">
      <c r="A611" s="89"/>
      <c r="B611" s="89"/>
      <c r="C611" s="17"/>
      <c r="BE611" s="19"/>
    </row>
    <row r="612" spans="1:57" ht="12.75">
      <c r="A612" s="89"/>
      <c r="B612" s="89"/>
      <c r="C612" s="17"/>
      <c r="BE612" s="19"/>
    </row>
    <row r="613" spans="1:57" ht="12.75">
      <c r="A613" s="89"/>
      <c r="B613" s="89"/>
      <c r="C613" s="17"/>
      <c r="BE613" s="19"/>
    </row>
    <row r="614" spans="1:57" ht="12.75">
      <c r="A614" s="89"/>
      <c r="B614" s="89"/>
      <c r="C614" s="17"/>
      <c r="BE614" s="19"/>
    </row>
    <row r="615" spans="1:57" ht="12.75">
      <c r="A615" s="89"/>
      <c r="B615" s="89"/>
      <c r="C615" s="17"/>
      <c r="BE615" s="19"/>
    </row>
    <row r="616" spans="1:57" ht="12.75">
      <c r="A616" s="89"/>
      <c r="B616" s="89"/>
      <c r="C616" s="17"/>
      <c r="BE616" s="19"/>
    </row>
    <row r="617" spans="1:57" ht="12.75">
      <c r="A617" s="89"/>
      <c r="B617" s="89"/>
      <c r="C617" s="17"/>
      <c r="BE617" s="19"/>
    </row>
    <row r="618" spans="1:57" ht="12.75">
      <c r="A618" s="89"/>
      <c r="B618" s="89"/>
      <c r="C618" s="17"/>
      <c r="BE618" s="19"/>
    </row>
    <row r="619" spans="1:57" ht="12.75">
      <c r="A619" s="89"/>
      <c r="B619" s="89"/>
      <c r="C619" s="17"/>
      <c r="BE619" s="19"/>
    </row>
    <row r="620" spans="1:57" ht="12.75">
      <c r="A620" s="89"/>
      <c r="B620" s="89"/>
      <c r="C620" s="17"/>
      <c r="BE620" s="19"/>
    </row>
    <row r="621" spans="1:57" ht="12.75">
      <c r="A621" s="89"/>
      <c r="B621" s="89"/>
      <c r="C621" s="17"/>
      <c r="BE621" s="19"/>
    </row>
    <row r="622" spans="1:57" ht="12.75">
      <c r="A622" s="89"/>
      <c r="B622" s="89"/>
      <c r="C622" s="17"/>
      <c r="BE622" s="19"/>
    </row>
    <row r="623" spans="1:57" ht="12.75">
      <c r="A623" s="89"/>
      <c r="B623" s="89"/>
      <c r="C623" s="17"/>
      <c r="BE623" s="19"/>
    </row>
    <row r="624" spans="1:57" ht="12.75">
      <c r="A624" s="89"/>
      <c r="B624" s="89"/>
      <c r="C624" s="17"/>
      <c r="BE624" s="19"/>
    </row>
    <row r="625" spans="1:57" ht="12.75">
      <c r="A625" s="89"/>
      <c r="B625" s="89"/>
      <c r="C625" s="17"/>
      <c r="BE625" s="19"/>
    </row>
    <row r="626" spans="1:57" ht="12.75">
      <c r="A626" s="89"/>
      <c r="B626" s="89"/>
      <c r="C626" s="17"/>
      <c r="BE626" s="19"/>
    </row>
    <row r="627" spans="1:57" ht="12.75">
      <c r="A627" s="89"/>
      <c r="B627" s="89"/>
      <c r="C627" s="17"/>
      <c r="BE627" s="19"/>
    </row>
    <row r="628" spans="1:57" ht="12.75">
      <c r="A628" s="89"/>
      <c r="B628" s="89"/>
      <c r="C628" s="17"/>
      <c r="BE628" s="19"/>
    </row>
    <row r="629" spans="1:57" ht="12.75">
      <c r="A629" s="89"/>
      <c r="B629" s="89"/>
      <c r="C629" s="17"/>
      <c r="BE629" s="19"/>
    </row>
    <row r="630" spans="1:57" ht="12.75">
      <c r="A630" s="89"/>
      <c r="B630" s="89"/>
      <c r="C630" s="17"/>
      <c r="BE630" s="19"/>
    </row>
    <row r="631" spans="1:57" ht="12.75">
      <c r="A631" s="89"/>
      <c r="B631" s="89"/>
      <c r="C631" s="17"/>
      <c r="BE631" s="19"/>
    </row>
    <row r="632" spans="1:57" ht="12.75">
      <c r="A632" s="89"/>
      <c r="B632" s="89"/>
      <c r="C632" s="17"/>
      <c r="BE632" s="19"/>
    </row>
    <row r="633" spans="1:57" ht="12.75">
      <c r="A633" s="89"/>
      <c r="B633" s="89"/>
      <c r="C633" s="17"/>
      <c r="BE633" s="19"/>
    </row>
    <row r="634" spans="1:57" ht="12.75">
      <c r="A634" s="89"/>
      <c r="B634" s="89"/>
      <c r="C634" s="17"/>
      <c r="BE634" s="19"/>
    </row>
    <row r="635" spans="1:57" ht="12.75">
      <c r="A635" s="89"/>
      <c r="B635" s="89"/>
      <c r="C635" s="17"/>
      <c r="BE635" s="19"/>
    </row>
    <row r="636" spans="1:57" ht="12.75">
      <c r="A636" s="89"/>
      <c r="B636" s="89"/>
      <c r="C636" s="17"/>
      <c r="BE636" s="19"/>
    </row>
    <row r="637" spans="1:57" ht="12.75">
      <c r="A637" s="89"/>
      <c r="B637" s="89"/>
      <c r="C637" s="17"/>
      <c r="BE637" s="19"/>
    </row>
    <row r="638" spans="1:57" ht="12.75">
      <c r="A638" s="89"/>
      <c r="B638" s="89"/>
      <c r="C638" s="17"/>
      <c r="BE638" s="19"/>
    </row>
    <row r="639" spans="1:57" ht="12.75">
      <c r="A639" s="89"/>
      <c r="B639" s="89"/>
      <c r="C639" s="17"/>
      <c r="BE639" s="19"/>
    </row>
    <row r="640" spans="1:57" ht="12.75">
      <c r="A640" s="89"/>
      <c r="B640" s="89"/>
      <c r="C640" s="17"/>
      <c r="BE640" s="19"/>
    </row>
    <row r="641" spans="1:57" ht="12.75">
      <c r="A641" s="89"/>
      <c r="B641" s="89"/>
      <c r="C641" s="17"/>
      <c r="BE641" s="19"/>
    </row>
    <row r="642" spans="1:57" ht="12.75">
      <c r="A642" s="89"/>
      <c r="B642" s="89"/>
      <c r="C642" s="17"/>
      <c r="BE642" s="19"/>
    </row>
    <row r="643" spans="1:57" ht="12.75">
      <c r="A643" s="89"/>
      <c r="B643" s="89"/>
      <c r="C643" s="17"/>
      <c r="BE643" s="19"/>
    </row>
    <row r="644" spans="1:57" ht="12.75">
      <c r="A644" s="89"/>
      <c r="B644" s="89"/>
      <c r="C644" s="17"/>
      <c r="BE644" s="19"/>
    </row>
    <row r="645" spans="1:57" ht="12.75">
      <c r="A645" s="89"/>
      <c r="B645" s="89"/>
      <c r="C645" s="17"/>
      <c r="BE645" s="19"/>
    </row>
    <row r="646" spans="1:57" ht="12.75">
      <c r="A646" s="89"/>
      <c r="B646" s="89"/>
      <c r="C646" s="17"/>
      <c r="BE646" s="19"/>
    </row>
    <row r="647" spans="1:57" ht="12.75">
      <c r="A647" s="89"/>
      <c r="B647" s="89"/>
      <c r="C647" s="17"/>
      <c r="BE647" s="19"/>
    </row>
    <row r="648" spans="1:57" ht="12.75">
      <c r="A648" s="89"/>
      <c r="B648" s="89"/>
      <c r="C648" s="17"/>
      <c r="BE648" s="19"/>
    </row>
    <row r="649" spans="1:57" ht="12.75">
      <c r="A649" s="89"/>
      <c r="B649" s="89"/>
      <c r="C649" s="17"/>
      <c r="BE649" s="19"/>
    </row>
    <row r="650" spans="1:57" ht="12.75">
      <c r="A650" s="89"/>
      <c r="B650" s="89"/>
      <c r="C650" s="17"/>
      <c r="BE650" s="19"/>
    </row>
    <row r="651" spans="1:57" ht="12.75">
      <c r="A651" s="89"/>
      <c r="B651" s="89"/>
      <c r="C651" s="17"/>
      <c r="BE651" s="19"/>
    </row>
    <row r="652" spans="1:57" ht="12.75">
      <c r="A652" s="89"/>
      <c r="B652" s="89"/>
      <c r="C652" s="17"/>
      <c r="BE652" s="19"/>
    </row>
    <row r="653" spans="1:57" ht="12.75">
      <c r="A653" s="89"/>
      <c r="B653" s="89"/>
      <c r="C653" s="17"/>
      <c r="BE653" s="19"/>
    </row>
    <row r="654" spans="1:57" ht="12.75">
      <c r="A654" s="89"/>
      <c r="B654" s="89"/>
      <c r="C654" s="17"/>
      <c r="BE654" s="19"/>
    </row>
    <row r="655" spans="1:57" ht="12.75">
      <c r="A655" s="89"/>
      <c r="B655" s="89"/>
      <c r="C655" s="17"/>
      <c r="BE655" s="19"/>
    </row>
    <row r="656" spans="1:57" ht="12.75">
      <c r="A656" s="89"/>
      <c r="B656" s="89"/>
      <c r="C656" s="17"/>
      <c r="BE656" s="19"/>
    </row>
    <row r="657" spans="1:57" ht="12.75">
      <c r="A657" s="89"/>
      <c r="B657" s="89"/>
      <c r="C657" s="17"/>
      <c r="BE657" s="19"/>
    </row>
    <row r="658" spans="1:57" ht="12.75">
      <c r="A658" s="89"/>
      <c r="B658" s="89"/>
      <c r="C658" s="17"/>
      <c r="BE658" s="19"/>
    </row>
    <row r="659" spans="1:57" ht="12.75">
      <c r="A659" s="89"/>
      <c r="B659" s="89"/>
      <c r="C659" s="17"/>
      <c r="BE659" s="19"/>
    </row>
    <row r="660" spans="1:57" ht="12.75">
      <c r="A660" s="89"/>
      <c r="B660" s="89"/>
      <c r="C660" s="17"/>
      <c r="BE660" s="19"/>
    </row>
    <row r="661" spans="1:57" ht="12.75">
      <c r="A661" s="89"/>
      <c r="B661" s="89"/>
      <c r="C661" s="17"/>
      <c r="BE661" s="19"/>
    </row>
    <row r="662" spans="1:57" ht="12.75">
      <c r="A662" s="89"/>
      <c r="B662" s="89"/>
      <c r="C662" s="17"/>
      <c r="BE662" s="19"/>
    </row>
    <row r="663" spans="1:57" ht="12.75">
      <c r="A663" s="89"/>
      <c r="B663" s="89"/>
      <c r="C663" s="17"/>
      <c r="BE663" s="19"/>
    </row>
    <row r="664" spans="1:57" ht="12.75">
      <c r="A664" s="89"/>
      <c r="B664" s="89"/>
      <c r="C664" s="17"/>
      <c r="BE664" s="19"/>
    </row>
    <row r="665" spans="1:57" ht="12.75">
      <c r="A665" s="89"/>
      <c r="B665" s="89"/>
      <c r="C665" s="17"/>
      <c r="BE665" s="19"/>
    </row>
    <row r="666" spans="1:57" ht="12.75">
      <c r="A666" s="89"/>
      <c r="B666" s="89"/>
      <c r="C666" s="17"/>
      <c r="BE666" s="19"/>
    </row>
    <row r="667" spans="1:57" ht="12.75">
      <c r="A667" s="89"/>
      <c r="B667" s="89"/>
      <c r="C667" s="17"/>
      <c r="BE667" s="19"/>
    </row>
    <row r="668" spans="1:57" ht="12.75">
      <c r="A668" s="89"/>
      <c r="B668" s="89"/>
      <c r="C668" s="17"/>
      <c r="BE668" s="19"/>
    </row>
    <row r="669" spans="1:57" ht="12.75">
      <c r="A669" s="89"/>
      <c r="B669" s="89"/>
      <c r="C669" s="17"/>
      <c r="BE669" s="19"/>
    </row>
    <row r="670" spans="1:57" ht="12.75">
      <c r="A670" s="89"/>
      <c r="B670" s="89"/>
      <c r="C670" s="17"/>
      <c r="BE670" s="19"/>
    </row>
    <row r="671" spans="1:57" ht="12.75">
      <c r="A671" s="89"/>
      <c r="B671" s="89"/>
      <c r="C671" s="17"/>
      <c r="BE671" s="19"/>
    </row>
    <row r="672" spans="1:57" ht="12.75">
      <c r="A672" s="89"/>
      <c r="B672" s="89"/>
      <c r="C672" s="17"/>
      <c r="BE672" s="19"/>
    </row>
    <row r="673" spans="1:57" ht="12.75">
      <c r="A673" s="89"/>
      <c r="B673" s="89"/>
      <c r="C673" s="17"/>
      <c r="BE673" s="19"/>
    </row>
    <row r="674" spans="1:57" ht="12.75">
      <c r="A674" s="89"/>
      <c r="B674" s="89"/>
      <c r="C674" s="17"/>
      <c r="BE674" s="19"/>
    </row>
    <row r="675" spans="1:57" ht="12.75">
      <c r="A675" s="89"/>
      <c r="B675" s="89"/>
      <c r="C675" s="17"/>
      <c r="BE675" s="19"/>
    </row>
    <row r="676" spans="1:57" ht="12.75">
      <c r="A676" s="89"/>
      <c r="B676" s="89"/>
      <c r="C676" s="17"/>
      <c r="BE676" s="19"/>
    </row>
    <row r="677" spans="1:57" ht="12.75">
      <c r="A677" s="89"/>
      <c r="B677" s="89"/>
      <c r="C677" s="17"/>
      <c r="BE677" s="19"/>
    </row>
    <row r="678" spans="1:57" ht="12.75">
      <c r="A678" s="89"/>
      <c r="B678" s="89"/>
      <c r="C678" s="17"/>
      <c r="BE678" s="19"/>
    </row>
    <row r="679" spans="1:57" ht="12.75">
      <c r="A679" s="89"/>
      <c r="B679" s="89"/>
      <c r="C679" s="17"/>
      <c r="BE679" s="19"/>
    </row>
    <row r="680" spans="1:57" ht="12.75">
      <c r="A680" s="89"/>
      <c r="B680" s="89"/>
      <c r="C680" s="17"/>
      <c r="BE680" s="19"/>
    </row>
    <row r="681" spans="1:57" ht="12.75">
      <c r="A681" s="89"/>
      <c r="B681" s="89"/>
      <c r="C681" s="17"/>
      <c r="BE681" s="19"/>
    </row>
    <row r="682" spans="1:57" ht="12.75">
      <c r="A682" s="89"/>
      <c r="B682" s="89"/>
      <c r="C682" s="17"/>
      <c r="BE682" s="19"/>
    </row>
    <row r="683" spans="1:57" ht="12.75">
      <c r="A683" s="89"/>
      <c r="B683" s="89"/>
      <c r="C683" s="17"/>
      <c r="BE683" s="19"/>
    </row>
    <row r="684" spans="1:57" ht="12.75">
      <c r="A684" s="89"/>
      <c r="B684" s="89"/>
      <c r="C684" s="17"/>
      <c r="BE684" s="19"/>
    </row>
    <row r="685" spans="1:57" ht="12.75">
      <c r="A685" s="89"/>
      <c r="B685" s="89"/>
      <c r="C685" s="17"/>
      <c r="BE685" s="19"/>
    </row>
    <row r="686" spans="1:57" ht="12.75">
      <c r="A686" s="89"/>
      <c r="B686" s="89"/>
      <c r="C686" s="17"/>
      <c r="BE686" s="19"/>
    </row>
    <row r="687" spans="1:57" ht="12.75">
      <c r="A687" s="89"/>
      <c r="B687" s="89"/>
      <c r="C687" s="17"/>
      <c r="BE687" s="19"/>
    </row>
    <row r="688" spans="1:57" ht="12.75">
      <c r="A688" s="89"/>
      <c r="B688" s="89"/>
      <c r="C688" s="17"/>
      <c r="BE688" s="19"/>
    </row>
    <row r="689" spans="1:57" ht="12.75">
      <c r="A689" s="89"/>
      <c r="B689" s="89"/>
      <c r="C689" s="17"/>
      <c r="BE689" s="19"/>
    </row>
    <row r="690" spans="1:57" ht="12.75">
      <c r="A690" s="89"/>
      <c r="B690" s="89"/>
      <c r="C690" s="17"/>
      <c r="BE690" s="19"/>
    </row>
    <row r="691" spans="1:57" ht="12.75">
      <c r="A691" s="89"/>
      <c r="B691" s="89"/>
      <c r="C691" s="17"/>
      <c r="BE691" s="19"/>
    </row>
    <row r="692" spans="1:57" ht="12.75">
      <c r="A692" s="89"/>
      <c r="B692" s="89"/>
      <c r="C692" s="17"/>
      <c r="BE692" s="19"/>
    </row>
    <row r="693" spans="1:57" ht="12.75">
      <c r="A693" s="89"/>
      <c r="B693" s="89"/>
      <c r="C693" s="17"/>
      <c r="BE693" s="19"/>
    </row>
    <row r="694" spans="1:57" ht="12.75">
      <c r="A694" s="89"/>
      <c r="B694" s="89"/>
      <c r="C694" s="17"/>
      <c r="BE694" s="19"/>
    </row>
    <row r="695" spans="1:57" ht="12.75">
      <c r="A695" s="89"/>
      <c r="B695" s="89"/>
      <c r="C695" s="17"/>
      <c r="BE695" s="19"/>
    </row>
    <row r="696" spans="1:57" ht="12.75">
      <c r="A696" s="89"/>
      <c r="B696" s="89"/>
      <c r="C696" s="17"/>
      <c r="BE696" s="19"/>
    </row>
    <row r="697" spans="1:57" ht="12.75">
      <c r="A697" s="89"/>
      <c r="B697" s="89"/>
      <c r="C697" s="17"/>
      <c r="BE697" s="19"/>
    </row>
    <row r="698" spans="1:57" ht="12.75">
      <c r="A698" s="89"/>
      <c r="B698" s="89"/>
      <c r="C698" s="17"/>
      <c r="BE698" s="19"/>
    </row>
    <row r="699" spans="1:57" ht="12.75">
      <c r="A699" s="89"/>
      <c r="B699" s="89"/>
      <c r="C699" s="17"/>
      <c r="BE699" s="19"/>
    </row>
    <row r="700" spans="1:57" ht="12.75">
      <c r="A700" s="89"/>
      <c r="B700" s="89"/>
      <c r="C700" s="17"/>
      <c r="BE700" s="19"/>
    </row>
    <row r="701" spans="1:57" ht="12.75">
      <c r="A701" s="89"/>
      <c r="B701" s="89"/>
      <c r="C701" s="17"/>
      <c r="BE701" s="19"/>
    </row>
    <row r="702" spans="1:57" ht="12.75">
      <c r="A702" s="89"/>
      <c r="B702" s="89"/>
      <c r="C702" s="17"/>
      <c r="BE702" s="19"/>
    </row>
    <row r="703" spans="1:57" ht="12.75">
      <c r="A703" s="89"/>
      <c r="B703" s="89"/>
      <c r="C703" s="17"/>
      <c r="BE703" s="19"/>
    </row>
    <row r="704" spans="1:57" ht="12.75">
      <c r="A704" s="89"/>
      <c r="B704" s="89"/>
      <c r="C704" s="17"/>
      <c r="BE704" s="19"/>
    </row>
    <row r="705" spans="1:57" ht="12.75">
      <c r="A705" s="89"/>
      <c r="B705" s="89"/>
      <c r="C705" s="17"/>
      <c r="BE705" s="19"/>
    </row>
    <row r="706" spans="1:57" ht="12.75">
      <c r="A706" s="89"/>
      <c r="B706" s="89"/>
      <c r="C706" s="17"/>
      <c r="BE706" s="19"/>
    </row>
    <row r="707" spans="1:57" ht="12.75">
      <c r="A707" s="89"/>
      <c r="B707" s="89"/>
      <c r="C707" s="17"/>
      <c r="BE707" s="19"/>
    </row>
    <row r="708" spans="1:57" ht="12.75">
      <c r="A708" s="89"/>
      <c r="B708" s="89"/>
      <c r="C708" s="17"/>
      <c r="BE708" s="19"/>
    </row>
    <row r="709" spans="1:57" ht="12.75">
      <c r="A709" s="89"/>
      <c r="B709" s="89"/>
      <c r="C709" s="17"/>
      <c r="BE709" s="19"/>
    </row>
    <row r="710" spans="1:57" ht="12.75">
      <c r="A710" s="89"/>
      <c r="B710" s="89"/>
      <c r="C710" s="17"/>
      <c r="BE710" s="19"/>
    </row>
    <row r="711" spans="1:57" ht="12.75">
      <c r="A711" s="89"/>
      <c r="B711" s="89"/>
      <c r="C711" s="17"/>
      <c r="BE711" s="19"/>
    </row>
    <row r="712" spans="1:57" ht="12.75">
      <c r="A712" s="89"/>
      <c r="B712" s="89"/>
      <c r="C712" s="17"/>
      <c r="BE712" s="19"/>
    </row>
    <row r="713" spans="1:57" ht="12.75">
      <c r="A713" s="89"/>
      <c r="B713" s="89"/>
      <c r="C713" s="17"/>
      <c r="BE713" s="19"/>
    </row>
    <row r="714" spans="1:57" ht="12.75">
      <c r="A714" s="89"/>
      <c r="B714" s="89"/>
      <c r="C714" s="17"/>
      <c r="BE714" s="19"/>
    </row>
    <row r="715" spans="1:57" ht="12.75">
      <c r="A715" s="89"/>
      <c r="B715" s="89"/>
      <c r="C715" s="17"/>
      <c r="BE715" s="19"/>
    </row>
    <row r="716" spans="1:57" ht="12.75">
      <c r="A716" s="89"/>
      <c r="B716" s="89"/>
      <c r="C716" s="17"/>
      <c r="BE716" s="19"/>
    </row>
    <row r="717" spans="1:57" ht="12.75">
      <c r="A717" s="89"/>
      <c r="B717" s="89"/>
      <c r="C717" s="17"/>
      <c r="BE717" s="19"/>
    </row>
    <row r="718" spans="1:57" ht="12.75">
      <c r="A718" s="89"/>
      <c r="B718" s="89"/>
      <c r="C718" s="17"/>
      <c r="BE718" s="19"/>
    </row>
    <row r="719" spans="1:57" ht="12.75">
      <c r="A719" s="89"/>
      <c r="B719" s="89"/>
      <c r="C719" s="17"/>
      <c r="BE719" s="19"/>
    </row>
    <row r="720" spans="1:57" ht="12.75">
      <c r="A720" s="89"/>
      <c r="B720" s="89"/>
      <c r="C720" s="17"/>
      <c r="BE720" s="19"/>
    </row>
    <row r="721" spans="1:57" ht="12.75">
      <c r="A721" s="89"/>
      <c r="B721" s="89"/>
      <c r="C721" s="17"/>
      <c r="BE721" s="19"/>
    </row>
    <row r="722" spans="1:57" ht="12.75">
      <c r="A722" s="89"/>
      <c r="B722" s="89"/>
      <c r="C722" s="17"/>
      <c r="BE722" s="19"/>
    </row>
    <row r="723" spans="1:57" ht="12.75">
      <c r="A723" s="89"/>
      <c r="B723" s="89"/>
      <c r="C723" s="17"/>
      <c r="BE723" s="19"/>
    </row>
    <row r="724" spans="1:57" ht="12.75">
      <c r="A724" s="89"/>
      <c r="B724" s="89"/>
      <c r="C724" s="17"/>
      <c r="BE724" s="19"/>
    </row>
    <row r="725" spans="1:57" ht="12.75">
      <c r="A725" s="89"/>
      <c r="B725" s="89"/>
      <c r="C725" s="17"/>
      <c r="BE725" s="19"/>
    </row>
    <row r="726" spans="1:57" ht="12.75">
      <c r="A726" s="89"/>
      <c r="B726" s="89"/>
      <c r="C726" s="17"/>
      <c r="BE726" s="19"/>
    </row>
    <row r="727" spans="1:57" ht="12.75">
      <c r="A727" s="89"/>
      <c r="B727" s="89"/>
      <c r="C727" s="17"/>
      <c r="BE727" s="19"/>
    </row>
    <row r="728" spans="1:57" ht="12.75">
      <c r="A728" s="89"/>
      <c r="B728" s="89"/>
      <c r="C728" s="17"/>
      <c r="BE728" s="19"/>
    </row>
    <row r="729" spans="1:57" ht="12.75">
      <c r="A729" s="89"/>
      <c r="B729" s="89"/>
      <c r="C729" s="17"/>
      <c r="BE729" s="19"/>
    </row>
    <row r="730" spans="1:57" ht="12.75">
      <c r="A730" s="89"/>
      <c r="B730" s="89"/>
      <c r="C730" s="17"/>
      <c r="BE730" s="19"/>
    </row>
    <row r="731" spans="1:57" ht="12.75">
      <c r="A731" s="89"/>
      <c r="B731" s="89"/>
      <c r="C731" s="17"/>
      <c r="BE731" s="19"/>
    </row>
    <row r="732" spans="1:57" ht="12.75">
      <c r="A732" s="89"/>
      <c r="B732" s="89"/>
      <c r="C732" s="17"/>
      <c r="BE732" s="19"/>
    </row>
    <row r="733" spans="1:57" ht="12.75">
      <c r="A733" s="89"/>
      <c r="B733" s="89"/>
      <c r="C733" s="17"/>
      <c r="BE733" s="19"/>
    </row>
    <row r="734" spans="1:57" ht="12.75">
      <c r="A734" s="89"/>
      <c r="B734" s="89"/>
      <c r="C734" s="17"/>
      <c r="BE734" s="19"/>
    </row>
    <row r="735" spans="1:57" ht="12.75">
      <c r="A735" s="89"/>
      <c r="B735" s="89"/>
      <c r="C735" s="17"/>
      <c r="BE735" s="19"/>
    </row>
    <row r="736" spans="1:57" ht="12.75">
      <c r="A736" s="89"/>
      <c r="B736" s="89"/>
      <c r="C736" s="17"/>
      <c r="BE736" s="19"/>
    </row>
    <row r="737" spans="1:57" ht="12.75">
      <c r="A737" s="89"/>
      <c r="B737" s="89"/>
      <c r="C737" s="17"/>
      <c r="BE737" s="19"/>
    </row>
    <row r="738" spans="1:57" ht="12.75">
      <c r="A738" s="89"/>
      <c r="B738" s="89"/>
      <c r="C738" s="17"/>
      <c r="BE738" s="19"/>
    </row>
    <row r="739" spans="1:57" ht="12.75">
      <c r="A739" s="89"/>
      <c r="B739" s="89"/>
      <c r="C739" s="17"/>
      <c r="BE739" s="19"/>
    </row>
    <row r="740" spans="1:57" ht="12.75">
      <c r="A740" s="89"/>
      <c r="B740" s="89"/>
      <c r="C740" s="17"/>
      <c r="BE740" s="19"/>
    </row>
    <row r="741" spans="1:57" ht="12.75">
      <c r="A741" s="89"/>
      <c r="B741" s="89"/>
      <c r="C741" s="17"/>
      <c r="BE741" s="19"/>
    </row>
    <row r="742" spans="1:57" ht="12.75">
      <c r="A742" s="89"/>
      <c r="B742" s="89"/>
      <c r="C742" s="17"/>
      <c r="BE742" s="19"/>
    </row>
    <row r="743" spans="1:57" ht="12.75">
      <c r="A743" s="89"/>
      <c r="B743" s="89"/>
      <c r="C743" s="17"/>
      <c r="BE743" s="19"/>
    </row>
    <row r="744" spans="1:57" ht="12.75">
      <c r="A744" s="89"/>
      <c r="B744" s="89"/>
      <c r="C744" s="17"/>
      <c r="BE744" s="19"/>
    </row>
    <row r="745" spans="1:57" ht="12.75">
      <c r="A745" s="89"/>
      <c r="B745" s="89"/>
      <c r="C745" s="17"/>
      <c r="BE745" s="19"/>
    </row>
    <row r="746" spans="1:57" ht="12.75">
      <c r="A746" s="89"/>
      <c r="B746" s="89"/>
      <c r="C746" s="17"/>
      <c r="BE746" s="19"/>
    </row>
    <row r="747" spans="1:57" ht="12.75">
      <c r="A747" s="89"/>
      <c r="B747" s="89"/>
      <c r="C747" s="17"/>
      <c r="BE747" s="19"/>
    </row>
    <row r="748" spans="1:57" ht="12.75">
      <c r="A748" s="89"/>
      <c r="B748" s="89"/>
      <c r="C748" s="17"/>
      <c r="BE748" s="19"/>
    </row>
    <row r="749" spans="1:57" ht="12.75">
      <c r="A749" s="89"/>
      <c r="B749" s="89"/>
      <c r="C749" s="17"/>
      <c r="BE749" s="19"/>
    </row>
    <row r="750" spans="1:57" ht="12.75">
      <c r="A750" s="89"/>
      <c r="B750" s="89"/>
      <c r="C750" s="17"/>
      <c r="BE750" s="19"/>
    </row>
    <row r="751" spans="1:57" ht="12.75">
      <c r="A751" s="89"/>
      <c r="B751" s="89"/>
      <c r="C751" s="17"/>
      <c r="BE751" s="19"/>
    </row>
    <row r="752" spans="1:57" ht="12.75">
      <c r="A752" s="89"/>
      <c r="B752" s="89"/>
      <c r="C752" s="17"/>
      <c r="BE752" s="19"/>
    </row>
    <row r="753" spans="1:57" ht="12.75">
      <c r="A753" s="89"/>
      <c r="B753" s="89"/>
      <c r="C753" s="17"/>
      <c r="BE753" s="19"/>
    </row>
    <row r="754" spans="1:57" ht="12.75">
      <c r="A754" s="89"/>
      <c r="B754" s="89"/>
      <c r="C754" s="17"/>
      <c r="BE754" s="19"/>
    </row>
    <row r="755" spans="1:57" ht="12.75">
      <c r="A755" s="89"/>
      <c r="B755" s="89"/>
      <c r="C755" s="17"/>
      <c r="BE755" s="19"/>
    </row>
    <row r="756" spans="1:57" ht="12.75">
      <c r="A756" s="89"/>
      <c r="B756" s="89"/>
      <c r="C756" s="17"/>
      <c r="BE756" s="19"/>
    </row>
    <row r="757" spans="1:57" ht="12.75">
      <c r="A757" s="89"/>
      <c r="B757" s="89"/>
      <c r="C757" s="17"/>
      <c r="BE757" s="19"/>
    </row>
    <row r="758" spans="1:57" ht="12.75">
      <c r="A758" s="89"/>
      <c r="B758" s="89"/>
      <c r="C758" s="17"/>
      <c r="BE758" s="19"/>
    </row>
    <row r="759" spans="1:57" ht="12.75">
      <c r="A759" s="89"/>
      <c r="B759" s="89"/>
      <c r="C759" s="17"/>
      <c r="BE759" s="19"/>
    </row>
    <row r="760" spans="1:57" ht="12.75">
      <c r="A760" s="89"/>
      <c r="B760" s="89"/>
      <c r="C760" s="17"/>
      <c r="BE760" s="19"/>
    </row>
    <row r="761" spans="1:57" ht="12.75">
      <c r="A761" s="89"/>
      <c r="B761" s="89"/>
      <c r="C761" s="17"/>
      <c r="BE761" s="19"/>
    </row>
    <row r="762" spans="1:57" ht="12.75">
      <c r="A762" s="89"/>
      <c r="B762" s="89"/>
      <c r="C762" s="17"/>
      <c r="BE762" s="19"/>
    </row>
    <row r="763" spans="1:57" ht="12.75">
      <c r="A763" s="89"/>
      <c r="B763" s="89"/>
      <c r="C763" s="17"/>
      <c r="BE763" s="19"/>
    </row>
    <row r="764" spans="1:57" ht="12.75">
      <c r="A764" s="89"/>
      <c r="B764" s="89"/>
      <c r="C764" s="17"/>
      <c r="BE764" s="19"/>
    </row>
    <row r="765" spans="1:57" ht="12.75">
      <c r="A765" s="89"/>
      <c r="B765" s="89"/>
      <c r="C765" s="17"/>
      <c r="BE765" s="19"/>
    </row>
    <row r="766" spans="1:57" ht="12.75">
      <c r="A766" s="89"/>
      <c r="B766" s="89"/>
      <c r="C766" s="17"/>
      <c r="BE766" s="19"/>
    </row>
    <row r="767" spans="1:57" ht="12.75">
      <c r="A767" s="89"/>
      <c r="B767" s="89"/>
      <c r="C767" s="17"/>
      <c r="BE767" s="19"/>
    </row>
    <row r="768" spans="1:57" ht="12.75">
      <c r="A768" s="89"/>
      <c r="B768" s="89"/>
      <c r="C768" s="17"/>
      <c r="BE768" s="19"/>
    </row>
    <row r="769" spans="1:57" ht="12.75">
      <c r="A769" s="89"/>
      <c r="B769" s="89"/>
      <c r="C769" s="17"/>
      <c r="BE769" s="19"/>
    </row>
    <row r="770" spans="1:57" ht="12.75">
      <c r="A770" s="89"/>
      <c r="B770" s="89"/>
      <c r="C770" s="17"/>
      <c r="BE770" s="19"/>
    </row>
    <row r="771" spans="1:57" ht="12.75">
      <c r="A771" s="89"/>
      <c r="B771" s="89"/>
      <c r="C771" s="17"/>
      <c r="BE771" s="19"/>
    </row>
    <row r="772" spans="1:57" ht="12.75">
      <c r="A772" s="89"/>
      <c r="B772" s="89"/>
      <c r="C772" s="17"/>
      <c r="BE772" s="19"/>
    </row>
    <row r="773" spans="1:57" ht="12.75">
      <c r="A773" s="89"/>
      <c r="B773" s="89"/>
      <c r="C773" s="17"/>
      <c r="BE773" s="19"/>
    </row>
    <row r="774" spans="1:57" ht="12.75">
      <c r="A774" s="89"/>
      <c r="B774" s="89"/>
      <c r="C774" s="17"/>
      <c r="BE774" s="19"/>
    </row>
    <row r="775" spans="1:57" ht="12.75">
      <c r="A775" s="89"/>
      <c r="B775" s="89"/>
      <c r="C775" s="17"/>
      <c r="BE775" s="19"/>
    </row>
    <row r="776" spans="1:57" ht="12.75">
      <c r="A776" s="89"/>
      <c r="B776" s="89"/>
      <c r="C776" s="17"/>
      <c r="BE776" s="19"/>
    </row>
    <row r="777" spans="1:57" ht="12.75">
      <c r="A777" s="89"/>
      <c r="B777" s="89"/>
      <c r="C777" s="17"/>
      <c r="BE777" s="19"/>
    </row>
    <row r="778" spans="1:57" ht="12.75">
      <c r="A778" s="89"/>
      <c r="B778" s="89"/>
      <c r="C778" s="17"/>
      <c r="BE778" s="19"/>
    </row>
    <row r="779" spans="1:57" ht="12.75">
      <c r="A779" s="89"/>
      <c r="B779" s="89"/>
      <c r="C779" s="17"/>
      <c r="BE779" s="19"/>
    </row>
    <row r="780" spans="1:57" ht="12.75">
      <c r="A780" s="89"/>
      <c r="B780" s="89"/>
      <c r="C780" s="17"/>
      <c r="BE780" s="19"/>
    </row>
    <row r="781" spans="1:57" ht="12.75">
      <c r="A781" s="89"/>
      <c r="B781" s="89"/>
      <c r="C781" s="17"/>
      <c r="BE781" s="19"/>
    </row>
    <row r="782" spans="1:57" ht="12.75">
      <c r="A782" s="89"/>
      <c r="B782" s="89"/>
      <c r="C782" s="17"/>
      <c r="BE782" s="19"/>
    </row>
    <row r="783" spans="1:57" ht="12.75">
      <c r="A783" s="89"/>
      <c r="B783" s="89"/>
      <c r="C783" s="17"/>
      <c r="BE783" s="19"/>
    </row>
    <row r="784" spans="1:57" ht="12.75">
      <c r="A784" s="89"/>
      <c r="B784" s="89"/>
      <c r="C784" s="17"/>
      <c r="BE784" s="19"/>
    </row>
    <row r="785" spans="1:57" ht="12.75">
      <c r="A785" s="89"/>
      <c r="B785" s="89"/>
      <c r="C785" s="17"/>
      <c r="BE785" s="19"/>
    </row>
    <row r="786" spans="1:57" ht="12.75">
      <c r="A786" s="89"/>
      <c r="B786" s="89"/>
      <c r="C786" s="17"/>
      <c r="BE786" s="19"/>
    </row>
    <row r="787" spans="1:57" ht="12.75">
      <c r="A787" s="89"/>
      <c r="B787" s="89"/>
      <c r="C787" s="17"/>
      <c r="BE787" s="19"/>
    </row>
    <row r="788" spans="1:57" ht="12.75">
      <c r="A788" s="89"/>
      <c r="B788" s="89"/>
      <c r="C788" s="17"/>
      <c r="BE788" s="19"/>
    </row>
    <row r="789" spans="1:57" ht="12.75">
      <c r="A789" s="89"/>
      <c r="B789" s="89"/>
      <c r="C789" s="17"/>
      <c r="BE789" s="19"/>
    </row>
    <row r="790" spans="1:57" ht="12.75">
      <c r="A790" s="89"/>
      <c r="B790" s="89"/>
      <c r="C790" s="17"/>
      <c r="BE790" s="19"/>
    </row>
    <row r="791" spans="1:57" ht="12.75">
      <c r="A791" s="89"/>
      <c r="B791" s="89"/>
      <c r="C791" s="17"/>
      <c r="BE791" s="19"/>
    </row>
    <row r="792" spans="1:57" ht="12.75">
      <c r="A792" s="89"/>
      <c r="B792" s="89"/>
      <c r="C792" s="17"/>
      <c r="BE792" s="19"/>
    </row>
    <row r="793" spans="1:57" ht="12.75">
      <c r="A793" s="89"/>
      <c r="B793" s="89"/>
      <c r="C793" s="17"/>
      <c r="BE793" s="19"/>
    </row>
    <row r="794" spans="1:57" ht="12.75">
      <c r="A794" s="89"/>
      <c r="B794" s="89"/>
      <c r="C794" s="17"/>
      <c r="BE794" s="19"/>
    </row>
    <row r="795" spans="1:57" ht="12.75">
      <c r="A795" s="89"/>
      <c r="B795" s="89"/>
      <c r="C795" s="17"/>
      <c r="BE795" s="19"/>
    </row>
    <row r="796" spans="1:57" ht="12.75">
      <c r="A796" s="89"/>
      <c r="B796" s="89"/>
      <c r="C796" s="17"/>
      <c r="BE796" s="19"/>
    </row>
    <row r="797" spans="1:57" ht="12.75">
      <c r="A797" s="89"/>
      <c r="B797" s="89"/>
      <c r="C797" s="17"/>
      <c r="BE797" s="19"/>
    </row>
    <row r="798" spans="1:57" ht="12.75">
      <c r="A798" s="89"/>
      <c r="B798" s="89"/>
      <c r="C798" s="17"/>
      <c r="BE798" s="19"/>
    </row>
    <row r="799" spans="1:57" ht="12.75">
      <c r="A799" s="89"/>
      <c r="B799" s="89"/>
      <c r="C799" s="17"/>
      <c r="BE799" s="19"/>
    </row>
    <row r="800" spans="1:57" ht="12.75">
      <c r="A800" s="89"/>
      <c r="B800" s="89"/>
      <c r="C800" s="17"/>
      <c r="BE800" s="19"/>
    </row>
    <row r="801" spans="1:57" ht="12.75">
      <c r="A801" s="89"/>
      <c r="B801" s="89"/>
      <c r="C801" s="17"/>
      <c r="BE801" s="19"/>
    </row>
    <row r="802" spans="1:57" ht="12.75">
      <c r="A802" s="89"/>
      <c r="B802" s="89"/>
      <c r="C802" s="17"/>
      <c r="BE802" s="19"/>
    </row>
    <row r="803" spans="1:57" ht="12.75">
      <c r="A803" s="89"/>
      <c r="B803" s="89"/>
      <c r="C803" s="17"/>
      <c r="BE803" s="19"/>
    </row>
    <row r="804" spans="1:57" ht="12.75">
      <c r="A804" s="89"/>
      <c r="B804" s="89"/>
      <c r="C804" s="17"/>
      <c r="BE804" s="19"/>
    </row>
    <row r="805" spans="1:57" ht="12.75">
      <c r="A805" s="89"/>
      <c r="B805" s="89"/>
      <c r="C805" s="17"/>
      <c r="BE805" s="19"/>
    </row>
    <row r="806" spans="1:57" ht="12.75">
      <c r="A806" s="89"/>
      <c r="B806" s="89"/>
      <c r="C806" s="17"/>
      <c r="BE806" s="19"/>
    </row>
    <row r="807" spans="1:57" ht="12.75">
      <c r="A807" s="89"/>
      <c r="B807" s="89"/>
      <c r="C807" s="17"/>
      <c r="BE807" s="19"/>
    </row>
    <row r="808" spans="1:57" ht="12.75">
      <c r="A808" s="89"/>
      <c r="B808" s="89"/>
      <c r="C808" s="17"/>
      <c r="BE808" s="19"/>
    </row>
    <row r="809" spans="1:57" ht="12.75">
      <c r="A809" s="89"/>
      <c r="B809" s="89"/>
      <c r="C809" s="17"/>
      <c r="BE809" s="19"/>
    </row>
    <row r="810" spans="1:57" ht="12.75">
      <c r="A810" s="89"/>
      <c r="B810" s="89"/>
      <c r="C810" s="17"/>
      <c r="BE810" s="19"/>
    </row>
    <row r="811" spans="1:57" ht="12.75">
      <c r="A811" s="89"/>
      <c r="B811" s="89"/>
      <c r="C811" s="17"/>
      <c r="BE811" s="19"/>
    </row>
    <row r="812" spans="1:57" ht="12.75">
      <c r="A812" s="89"/>
      <c r="B812" s="89"/>
      <c r="C812" s="17"/>
      <c r="BE812" s="19"/>
    </row>
    <row r="813" spans="1:57" ht="12.75">
      <c r="A813" s="89"/>
      <c r="B813" s="89"/>
      <c r="C813" s="17"/>
      <c r="BE813" s="19"/>
    </row>
    <row r="814" spans="1:57" ht="12.75">
      <c r="A814" s="89"/>
      <c r="B814" s="89"/>
      <c r="C814" s="17"/>
      <c r="BE814" s="19"/>
    </row>
    <row r="815" spans="1:57" ht="12.75">
      <c r="A815" s="89"/>
      <c r="B815" s="89"/>
      <c r="C815" s="17"/>
      <c r="BE815" s="19"/>
    </row>
    <row r="816" spans="1:57" ht="12.75">
      <c r="A816" s="89"/>
      <c r="B816" s="89"/>
      <c r="C816" s="17"/>
      <c r="BE816" s="19"/>
    </row>
    <row r="817" spans="1:57" ht="12.75">
      <c r="A817" s="89"/>
      <c r="B817" s="89"/>
      <c r="C817" s="17"/>
      <c r="BE817" s="19"/>
    </row>
    <row r="818" spans="1:57" ht="12.75">
      <c r="A818" s="89"/>
      <c r="B818" s="89"/>
      <c r="C818" s="17"/>
      <c r="BE818" s="19"/>
    </row>
    <row r="819" spans="1:57" ht="12.75">
      <c r="A819" s="89"/>
      <c r="B819" s="89"/>
      <c r="C819" s="17"/>
      <c r="BE819" s="19"/>
    </row>
    <row r="820" spans="1:57" ht="12.75">
      <c r="A820" s="89"/>
      <c r="B820" s="89"/>
      <c r="C820" s="17"/>
      <c r="BE820" s="19"/>
    </row>
    <row r="821" spans="1:57" ht="12.75">
      <c r="A821" s="89"/>
      <c r="B821" s="89"/>
      <c r="C821" s="17"/>
      <c r="BE821" s="19"/>
    </row>
    <row r="822" spans="1:57" ht="12.75">
      <c r="A822" s="89"/>
      <c r="B822" s="89"/>
      <c r="C822" s="17"/>
      <c r="BE822" s="19"/>
    </row>
    <row r="823" spans="1:57" ht="12.75">
      <c r="A823" s="89"/>
      <c r="B823" s="89"/>
      <c r="C823" s="17"/>
      <c r="BE823" s="19"/>
    </row>
    <row r="824" spans="1:57" ht="12.75">
      <c r="A824" s="89"/>
      <c r="B824" s="89"/>
      <c r="C824" s="17"/>
      <c r="BE824" s="19"/>
    </row>
    <row r="825" spans="1:57" ht="12.75">
      <c r="A825" s="89"/>
      <c r="B825" s="89"/>
      <c r="C825" s="17"/>
      <c r="BE825" s="19"/>
    </row>
    <row r="826" spans="1:57" ht="12.75">
      <c r="A826" s="89"/>
      <c r="B826" s="89"/>
      <c r="C826" s="17"/>
      <c r="BE826" s="19"/>
    </row>
    <row r="827" spans="1:57" ht="12.75">
      <c r="A827" s="89"/>
      <c r="B827" s="89"/>
      <c r="C827" s="17"/>
      <c r="BE827" s="19"/>
    </row>
    <row r="828" spans="1:57" ht="12.75">
      <c r="A828" s="89"/>
      <c r="B828" s="89"/>
      <c r="C828" s="17"/>
      <c r="BE828" s="19"/>
    </row>
    <row r="829" spans="1:57" ht="12.75">
      <c r="A829" s="89"/>
      <c r="B829" s="89"/>
      <c r="C829" s="17"/>
      <c r="BE829" s="19"/>
    </row>
    <row r="830" spans="1:57" ht="12.75">
      <c r="A830" s="89"/>
      <c r="B830" s="89"/>
      <c r="C830" s="17"/>
      <c r="BE830" s="19"/>
    </row>
    <row r="831" spans="1:57" ht="12.75">
      <c r="A831" s="89"/>
      <c r="B831" s="89"/>
      <c r="C831" s="17"/>
      <c r="BE831" s="19"/>
    </row>
    <row r="832" spans="1:57" ht="12.75">
      <c r="A832" s="89"/>
      <c r="B832" s="89"/>
      <c r="C832" s="17"/>
      <c r="BE832" s="19"/>
    </row>
    <row r="833" spans="1:57" ht="12.75">
      <c r="A833" s="89"/>
      <c r="B833" s="89"/>
      <c r="C833" s="17"/>
      <c r="BE833" s="19"/>
    </row>
    <row r="834" spans="1:57" ht="12.75">
      <c r="A834" s="89"/>
      <c r="B834" s="89"/>
      <c r="C834" s="17"/>
      <c r="BE834" s="19"/>
    </row>
    <row r="835" spans="1:57" ht="12.75">
      <c r="A835" s="89"/>
      <c r="B835" s="89"/>
      <c r="C835" s="17"/>
      <c r="BE835" s="19"/>
    </row>
    <row r="836" spans="1:57" ht="12.75">
      <c r="A836" s="89"/>
      <c r="B836" s="89"/>
      <c r="C836" s="17"/>
      <c r="BE836" s="19"/>
    </row>
    <row r="837" spans="1:57" ht="12.75">
      <c r="A837" s="89"/>
      <c r="B837" s="89"/>
      <c r="C837" s="17"/>
      <c r="BE837" s="19"/>
    </row>
    <row r="838" spans="1:57" ht="12.75">
      <c r="A838" s="89"/>
      <c r="B838" s="89"/>
      <c r="C838" s="17"/>
      <c r="BE838" s="19"/>
    </row>
    <row r="839" spans="1:57" ht="12.75">
      <c r="A839" s="89"/>
      <c r="B839" s="89"/>
      <c r="C839" s="17"/>
      <c r="BE839" s="19"/>
    </row>
    <row r="840" spans="1:57" ht="12.75">
      <c r="A840" s="89"/>
      <c r="B840" s="89"/>
      <c r="C840" s="17"/>
      <c r="BE840" s="19"/>
    </row>
    <row r="841" spans="1:57" ht="12.75">
      <c r="A841" s="89"/>
      <c r="B841" s="89"/>
      <c r="C841" s="17"/>
      <c r="BE841" s="19"/>
    </row>
    <row r="842" spans="1:57" ht="12.75">
      <c r="A842" s="89"/>
      <c r="B842" s="89"/>
      <c r="C842" s="17"/>
      <c r="BE842" s="19"/>
    </row>
    <row r="843" spans="1:57" ht="12.75">
      <c r="A843" s="89"/>
      <c r="B843" s="89"/>
      <c r="C843" s="17"/>
      <c r="BE843" s="19"/>
    </row>
    <row r="844" spans="1:57" ht="12.75">
      <c r="A844" s="89"/>
      <c r="B844" s="89"/>
      <c r="C844" s="17"/>
      <c r="BE844" s="19"/>
    </row>
    <row r="845" spans="1:57" ht="12.75">
      <c r="A845" s="89"/>
      <c r="B845" s="89"/>
      <c r="C845" s="17"/>
      <c r="BE845" s="19"/>
    </row>
    <row r="846" spans="1:57" ht="12.75">
      <c r="A846" s="89"/>
      <c r="B846" s="89"/>
      <c r="C846" s="17"/>
      <c r="BE846" s="19"/>
    </row>
    <row r="847" spans="1:57" ht="12.75">
      <c r="A847" s="89"/>
      <c r="B847" s="89"/>
      <c r="C847" s="17"/>
      <c r="BE847" s="19"/>
    </row>
    <row r="848" spans="1:57" ht="12.75">
      <c r="A848" s="89"/>
      <c r="B848" s="89"/>
      <c r="C848" s="17"/>
      <c r="BE848" s="19"/>
    </row>
    <row r="849" spans="1:57" ht="12.75">
      <c r="A849" s="89"/>
      <c r="B849" s="89"/>
      <c r="C849" s="17"/>
      <c r="BE849" s="19"/>
    </row>
    <row r="850" spans="1:57" ht="12.75">
      <c r="A850" s="89"/>
      <c r="B850" s="89"/>
      <c r="C850" s="17"/>
      <c r="BE850" s="19"/>
    </row>
    <row r="851" spans="1:57" ht="12.75">
      <c r="A851" s="89"/>
      <c r="B851" s="89"/>
      <c r="C851" s="17"/>
      <c r="BE851" s="19"/>
    </row>
    <row r="852" spans="1:57" ht="12.75">
      <c r="A852" s="89"/>
      <c r="B852" s="89"/>
      <c r="C852" s="17"/>
      <c r="BE852" s="19"/>
    </row>
    <row r="853" spans="1:57" ht="12.75">
      <c r="A853" s="89"/>
      <c r="B853" s="89"/>
      <c r="C853" s="17"/>
      <c r="BE853" s="19"/>
    </row>
    <row r="854" spans="1:57" ht="12.75">
      <c r="A854" s="89"/>
      <c r="B854" s="89"/>
      <c r="C854" s="17"/>
      <c r="BE854" s="19"/>
    </row>
    <row r="855" spans="1:57" ht="12.75">
      <c r="A855" s="89"/>
      <c r="B855" s="89"/>
      <c r="C855" s="17"/>
      <c r="BE855" s="19"/>
    </row>
    <row r="856" spans="1:57" ht="12.75">
      <c r="A856" s="89"/>
      <c r="B856" s="89"/>
      <c r="C856" s="17"/>
      <c r="BE856" s="19"/>
    </row>
    <row r="857" spans="1:57" ht="12.75">
      <c r="A857" s="89"/>
      <c r="B857" s="89"/>
      <c r="C857" s="17"/>
      <c r="BE857" s="19"/>
    </row>
    <row r="858" spans="1:57" ht="12.75">
      <c r="A858" s="89"/>
      <c r="B858" s="89"/>
      <c r="C858" s="17"/>
      <c r="BE858" s="19"/>
    </row>
    <row r="859" spans="1:57" ht="12.75">
      <c r="A859" s="89"/>
      <c r="B859" s="89"/>
      <c r="C859" s="17"/>
      <c r="BE859" s="19"/>
    </row>
    <row r="860" spans="1:57" ht="12.75">
      <c r="A860" s="89"/>
      <c r="B860" s="89"/>
      <c r="C860" s="17"/>
      <c r="BE860" s="19"/>
    </row>
    <row r="861" spans="1:57" ht="12.75">
      <c r="A861" s="89"/>
      <c r="B861" s="89"/>
      <c r="C861" s="17"/>
      <c r="BE861" s="19"/>
    </row>
    <row r="862" spans="1:57" ht="12.75">
      <c r="A862" s="89"/>
      <c r="B862" s="89"/>
      <c r="C862" s="17"/>
      <c r="BE862" s="19"/>
    </row>
    <row r="863" spans="1:57" ht="12.75">
      <c r="A863" s="89"/>
      <c r="B863" s="89"/>
      <c r="C863" s="17"/>
      <c r="BE863" s="19"/>
    </row>
    <row r="864" spans="1:57" ht="12.75">
      <c r="A864" s="89"/>
      <c r="B864" s="89"/>
      <c r="C864" s="17"/>
      <c r="BE864" s="19"/>
    </row>
    <row r="865" spans="1:57" ht="12.75">
      <c r="A865" s="89"/>
      <c r="B865" s="89"/>
      <c r="C865" s="17"/>
      <c r="BE865" s="19"/>
    </row>
    <row r="866" spans="1:57" ht="12.75">
      <c r="A866" s="89"/>
      <c r="B866" s="89"/>
      <c r="C866" s="17"/>
      <c r="BE866" s="19"/>
    </row>
    <row r="867" spans="1:57" ht="12.75">
      <c r="A867" s="89"/>
      <c r="B867" s="89"/>
      <c r="C867" s="17"/>
      <c r="BE867" s="19"/>
    </row>
    <row r="868" spans="1:57" ht="12.75">
      <c r="A868" s="89"/>
      <c r="B868" s="89"/>
      <c r="C868" s="17"/>
      <c r="BE868" s="19"/>
    </row>
    <row r="869" spans="1:57" ht="12.75">
      <c r="A869" s="89"/>
      <c r="B869" s="89"/>
      <c r="C869" s="17"/>
      <c r="BE869" s="19"/>
    </row>
    <row r="870" spans="1:57" ht="12.75">
      <c r="A870" s="89"/>
      <c r="B870" s="89"/>
      <c r="C870" s="17"/>
      <c r="BE870" s="19"/>
    </row>
    <row r="871" spans="1:57" ht="12.75">
      <c r="A871" s="89"/>
      <c r="B871" s="89"/>
      <c r="C871" s="17"/>
      <c r="BE871" s="19"/>
    </row>
    <row r="872" spans="1:57" ht="12.75">
      <c r="A872" s="89"/>
      <c r="B872" s="89"/>
      <c r="C872" s="17"/>
      <c r="BE872" s="19"/>
    </row>
    <row r="873" spans="1:57" ht="12.75">
      <c r="A873" s="89"/>
      <c r="B873" s="89"/>
      <c r="C873" s="17"/>
      <c r="BE873" s="19"/>
    </row>
    <row r="874" spans="1:57" ht="12.75">
      <c r="A874" s="89"/>
      <c r="B874" s="89"/>
      <c r="C874" s="17"/>
      <c r="BE874" s="19"/>
    </row>
    <row r="875" spans="1:57" ht="12.75">
      <c r="A875" s="89"/>
      <c r="B875" s="89"/>
      <c r="C875" s="17"/>
      <c r="BE875" s="19"/>
    </row>
    <row r="876" spans="1:57" ht="12.75">
      <c r="A876" s="89"/>
      <c r="B876" s="89"/>
      <c r="C876" s="17"/>
      <c r="BE876" s="19"/>
    </row>
    <row r="877" spans="1:57" ht="12.75">
      <c r="A877" s="89"/>
      <c r="B877" s="89"/>
      <c r="C877" s="17"/>
      <c r="BE877" s="19"/>
    </row>
    <row r="878" spans="1:57" ht="12.75">
      <c r="A878" s="89"/>
      <c r="B878" s="89"/>
      <c r="C878" s="17"/>
      <c r="BE878" s="19"/>
    </row>
    <row r="879" spans="1:57" ht="12.75">
      <c r="A879" s="89"/>
      <c r="B879" s="89"/>
      <c r="C879" s="17"/>
      <c r="BE879" s="19"/>
    </row>
    <row r="880" spans="1:57" ht="12.75">
      <c r="A880" s="89"/>
      <c r="B880" s="89"/>
      <c r="C880" s="17"/>
      <c r="BE880" s="19"/>
    </row>
    <row r="881" spans="1:57" ht="12.75">
      <c r="A881" s="89"/>
      <c r="B881" s="89"/>
      <c r="C881" s="17"/>
      <c r="BE881" s="19"/>
    </row>
    <row r="882" spans="1:57" ht="12.75">
      <c r="A882" s="89"/>
      <c r="B882" s="89"/>
      <c r="C882" s="17"/>
      <c r="BE882" s="19"/>
    </row>
    <row r="883" spans="1:57" ht="12.75">
      <c r="A883" s="89"/>
      <c r="B883" s="89"/>
      <c r="C883" s="17"/>
      <c r="BE883" s="19"/>
    </row>
    <row r="884" spans="1:57" ht="12.75">
      <c r="A884" s="89"/>
      <c r="B884" s="89"/>
      <c r="C884" s="17"/>
      <c r="BE884" s="19"/>
    </row>
    <row r="885" spans="1:57" ht="12.75">
      <c r="A885" s="89"/>
      <c r="B885" s="89"/>
      <c r="C885" s="17"/>
      <c r="BE885" s="19"/>
    </row>
    <row r="886" spans="1:57" ht="12.75">
      <c r="A886" s="89"/>
      <c r="B886" s="89"/>
      <c r="C886" s="17"/>
      <c r="BE886" s="19"/>
    </row>
    <row r="887" spans="1:57" ht="12.75">
      <c r="A887" s="89"/>
      <c r="B887" s="89"/>
      <c r="C887" s="17"/>
      <c r="BE887" s="19"/>
    </row>
    <row r="888" spans="1:57" ht="12.75">
      <c r="A888" s="89"/>
      <c r="B888" s="89"/>
      <c r="C888" s="17"/>
      <c r="BE888" s="19"/>
    </row>
    <row r="889" spans="1:57" ht="12.75">
      <c r="A889" s="89"/>
      <c r="B889" s="89"/>
      <c r="C889" s="17"/>
      <c r="BE889" s="19"/>
    </row>
    <row r="890" spans="1:57" ht="12.75">
      <c r="A890" s="89"/>
      <c r="B890" s="89"/>
      <c r="C890" s="17"/>
      <c r="BE890" s="19"/>
    </row>
    <row r="891" spans="1:57" ht="12.75">
      <c r="A891" s="89"/>
      <c r="B891" s="89"/>
      <c r="C891" s="17"/>
      <c r="BE891" s="19"/>
    </row>
    <row r="892" spans="1:57" ht="12.75">
      <c r="A892" s="89"/>
      <c r="B892" s="89"/>
      <c r="C892" s="17"/>
      <c r="BE892" s="19"/>
    </row>
    <row r="893" spans="1:57" ht="12.75">
      <c r="A893" s="89"/>
      <c r="B893" s="89"/>
      <c r="C893" s="17"/>
      <c r="BE893" s="19"/>
    </row>
    <row r="894" spans="1:57" ht="12.75">
      <c r="A894" s="89"/>
      <c r="B894" s="89"/>
      <c r="C894" s="17"/>
      <c r="BE894" s="19"/>
    </row>
    <row r="895" spans="1:57" ht="12.75">
      <c r="A895" s="89"/>
      <c r="B895" s="89"/>
      <c r="C895" s="17"/>
      <c r="BE895" s="19"/>
    </row>
    <row r="896" spans="1:57" ht="12.75">
      <c r="A896" s="89"/>
      <c r="B896" s="89"/>
      <c r="C896" s="17"/>
      <c r="BE896" s="19"/>
    </row>
    <row r="897" spans="1:57" ht="12.75">
      <c r="A897" s="89"/>
      <c r="B897" s="89"/>
      <c r="C897" s="17"/>
      <c r="BE897" s="19"/>
    </row>
    <row r="898" spans="1:57" ht="12.75">
      <c r="A898" s="89"/>
      <c r="B898" s="89"/>
      <c r="C898" s="17"/>
      <c r="BE898" s="19"/>
    </row>
    <row r="899" spans="1:57" ht="12.75">
      <c r="A899" s="89"/>
      <c r="B899" s="89"/>
      <c r="C899" s="17"/>
      <c r="BE899" s="19"/>
    </row>
    <row r="900" spans="1:57" ht="12.75">
      <c r="A900" s="89"/>
      <c r="B900" s="89"/>
      <c r="C900" s="17"/>
      <c r="BE900" s="19"/>
    </row>
    <row r="901" spans="1:57" ht="12.75">
      <c r="A901" s="89"/>
      <c r="B901" s="89"/>
      <c r="C901" s="17"/>
      <c r="BE901" s="19"/>
    </row>
    <row r="902" spans="1:57" ht="12.75">
      <c r="A902" s="89"/>
      <c r="B902" s="89"/>
      <c r="C902" s="17"/>
      <c r="BE902" s="19"/>
    </row>
    <row r="903" spans="1:57" ht="12.75">
      <c r="A903" s="89"/>
      <c r="B903" s="89"/>
      <c r="C903" s="17"/>
      <c r="BE903" s="19"/>
    </row>
    <row r="904" spans="1:57" ht="12.75">
      <c r="A904" s="89"/>
      <c r="B904" s="89"/>
      <c r="C904" s="17"/>
      <c r="BE904" s="19"/>
    </row>
    <row r="905" spans="1:57" ht="12.75">
      <c r="A905" s="89"/>
      <c r="B905" s="89"/>
      <c r="C905" s="17"/>
      <c r="BE905" s="19"/>
    </row>
    <row r="906" spans="1:57" ht="12.75">
      <c r="A906" s="89"/>
      <c r="B906" s="89"/>
      <c r="C906" s="17"/>
      <c r="BE906" s="19"/>
    </row>
    <row r="907" spans="1:57" ht="12.75">
      <c r="A907" s="89"/>
      <c r="B907" s="89"/>
      <c r="C907" s="17"/>
      <c r="BE907" s="19"/>
    </row>
    <row r="908" spans="1:57" ht="12.75">
      <c r="A908" s="89"/>
      <c r="B908" s="89"/>
      <c r="C908" s="17"/>
      <c r="BE908" s="19"/>
    </row>
    <row r="909" spans="1:57" ht="12.75">
      <c r="A909" s="89"/>
      <c r="B909" s="89"/>
      <c r="C909" s="17"/>
      <c r="BE909" s="19"/>
    </row>
    <row r="910" spans="1:57" ht="12.75">
      <c r="A910" s="89"/>
      <c r="B910" s="89"/>
      <c r="C910" s="17"/>
      <c r="BE910" s="19"/>
    </row>
    <row r="911" spans="1:57" ht="12.75">
      <c r="A911" s="89"/>
      <c r="B911" s="89"/>
      <c r="C911" s="17"/>
      <c r="BE911" s="19"/>
    </row>
    <row r="912" spans="1:57" ht="12.75">
      <c r="A912" s="89"/>
      <c r="B912" s="89"/>
      <c r="C912" s="17"/>
      <c r="BE912" s="19"/>
    </row>
    <row r="913" spans="1:57" ht="12.75">
      <c r="A913" s="89"/>
      <c r="B913" s="89"/>
      <c r="C913" s="17"/>
      <c r="BE913" s="19"/>
    </row>
    <row r="914" spans="1:57" ht="12.75">
      <c r="A914" s="89"/>
      <c r="B914" s="89"/>
      <c r="C914" s="17"/>
      <c r="BE914" s="19"/>
    </row>
    <row r="915" spans="1:57" ht="12.75">
      <c r="A915" s="89"/>
      <c r="B915" s="89"/>
      <c r="C915" s="17"/>
      <c r="BE915" s="19"/>
    </row>
    <row r="916" spans="1:57" ht="12.75">
      <c r="A916" s="89"/>
      <c r="B916" s="89"/>
      <c r="C916" s="17"/>
      <c r="BE916" s="19"/>
    </row>
    <row r="917" spans="1:57" ht="12.75">
      <c r="A917" s="89"/>
      <c r="B917" s="89"/>
      <c r="C917" s="17"/>
      <c r="BE917" s="19"/>
    </row>
    <row r="918" spans="1:57" ht="12.75">
      <c r="A918" s="89"/>
      <c r="B918" s="89"/>
      <c r="C918" s="17"/>
      <c r="BE918" s="19"/>
    </row>
    <row r="919" spans="1:57" ht="12.75">
      <c r="A919" s="89"/>
      <c r="B919" s="89"/>
      <c r="C919" s="17"/>
      <c r="BE919" s="19"/>
    </row>
    <row r="920" spans="1:57" ht="12.75">
      <c r="A920" s="89"/>
      <c r="B920" s="89"/>
      <c r="C920" s="17"/>
      <c r="BE920" s="19"/>
    </row>
    <row r="921" spans="1:57" ht="12.75">
      <c r="A921" s="89"/>
      <c r="B921" s="89"/>
      <c r="C921" s="17"/>
      <c r="BE921" s="19"/>
    </row>
    <row r="922" spans="1:57" ht="12.75">
      <c r="A922" s="89"/>
      <c r="B922" s="89"/>
      <c r="C922" s="17"/>
      <c r="BE922" s="19"/>
    </row>
    <row r="923" spans="1:57" ht="12.75">
      <c r="A923" s="89"/>
      <c r="B923" s="89"/>
      <c r="C923" s="17"/>
      <c r="BE923" s="19"/>
    </row>
    <row r="924" spans="1:57" ht="12.75">
      <c r="A924" s="89"/>
      <c r="B924" s="89"/>
      <c r="C924" s="17"/>
      <c r="BE924" s="19"/>
    </row>
    <row r="925" spans="1:57" ht="12.75">
      <c r="A925" s="89"/>
      <c r="B925" s="89"/>
      <c r="C925" s="17"/>
      <c r="BE925" s="19"/>
    </row>
    <row r="926" spans="1:57" ht="12.75">
      <c r="A926" s="89"/>
      <c r="B926" s="89"/>
      <c r="C926" s="17"/>
      <c r="BE926" s="19"/>
    </row>
    <row r="927" spans="1:57" ht="12.75">
      <c r="A927" s="89"/>
      <c r="B927" s="89"/>
      <c r="C927" s="17"/>
      <c r="BE927" s="19"/>
    </row>
    <row r="928" spans="1:57" ht="12.75">
      <c r="A928" s="89"/>
      <c r="B928" s="89"/>
      <c r="C928" s="17"/>
      <c r="BE928" s="19"/>
    </row>
    <row r="929" spans="1:57" ht="12.75">
      <c r="A929" s="89"/>
      <c r="B929" s="89"/>
      <c r="C929" s="17"/>
      <c r="BE929" s="19"/>
    </row>
    <row r="930" spans="1:57" ht="12.75">
      <c r="A930" s="89"/>
      <c r="B930" s="89"/>
      <c r="C930" s="17"/>
      <c r="BE930" s="19"/>
    </row>
    <row r="931" spans="1:57" ht="12.75">
      <c r="A931" s="89"/>
      <c r="B931" s="89"/>
      <c r="C931" s="17"/>
      <c r="BE931" s="19"/>
    </row>
    <row r="932" spans="1:57" ht="12.75">
      <c r="A932" s="89"/>
      <c r="B932" s="89"/>
      <c r="C932" s="17"/>
      <c r="BE932" s="19"/>
    </row>
    <row r="933" spans="1:57" ht="12.75">
      <c r="A933" s="89"/>
      <c r="B933" s="89"/>
      <c r="C933" s="17"/>
      <c r="BE933" s="19"/>
    </row>
    <row r="934" spans="1:57" ht="12.75">
      <c r="A934" s="89"/>
      <c r="B934" s="89"/>
      <c r="C934" s="17"/>
      <c r="BE934" s="19"/>
    </row>
    <row r="935" spans="1:57" ht="12.75">
      <c r="A935" s="89"/>
      <c r="B935" s="89"/>
      <c r="C935" s="17"/>
      <c r="BE935" s="19"/>
    </row>
    <row r="936" spans="1:57" ht="12.75">
      <c r="A936" s="89"/>
      <c r="B936" s="89"/>
      <c r="C936" s="17"/>
      <c r="BE936" s="19"/>
    </row>
    <row r="937" spans="1:57" ht="12.75">
      <c r="A937" s="89"/>
      <c r="B937" s="89"/>
      <c r="C937" s="17"/>
      <c r="BE937" s="19"/>
    </row>
    <row r="938" spans="1:57" ht="12.75">
      <c r="A938" s="89"/>
      <c r="B938" s="89"/>
      <c r="C938" s="17"/>
      <c r="BE938" s="19"/>
    </row>
    <row r="939" spans="1:57" ht="12.75">
      <c r="A939" s="89"/>
      <c r="B939" s="89"/>
      <c r="C939" s="17"/>
      <c r="BE939" s="19"/>
    </row>
    <row r="940" spans="1:57" ht="12.75">
      <c r="A940" s="89"/>
      <c r="B940" s="89"/>
      <c r="C940" s="17"/>
      <c r="BE940" s="19"/>
    </row>
    <row r="941" spans="1:57" ht="12.75">
      <c r="A941" s="89"/>
      <c r="B941" s="89"/>
      <c r="C941" s="17"/>
      <c r="BE941" s="19"/>
    </row>
    <row r="942" spans="1:57" ht="12.75">
      <c r="A942" s="89"/>
      <c r="B942" s="89"/>
      <c r="C942" s="17"/>
      <c r="BE942" s="19"/>
    </row>
    <row r="943" spans="1:57" ht="12.75">
      <c r="A943" s="89"/>
      <c r="B943" s="89"/>
      <c r="C943" s="17"/>
      <c r="BE943" s="19"/>
    </row>
    <row r="944" spans="1:57" ht="12.75">
      <c r="A944" s="89"/>
      <c r="B944" s="89"/>
      <c r="C944" s="17"/>
      <c r="BE944" s="19"/>
    </row>
    <row r="945" spans="1:57" ht="12.75">
      <c r="A945" s="89"/>
      <c r="B945" s="89"/>
      <c r="C945" s="17"/>
      <c r="BE945" s="19"/>
    </row>
    <row r="946" spans="1:57" ht="12.75">
      <c r="A946" s="89"/>
      <c r="B946" s="89"/>
      <c r="C946" s="17"/>
      <c r="BE946" s="19"/>
    </row>
    <row r="947" spans="1:57" ht="12.75">
      <c r="A947" s="89"/>
      <c r="B947" s="89"/>
      <c r="C947" s="17"/>
      <c r="BE947" s="19"/>
    </row>
    <row r="948" spans="1:57" ht="12.75">
      <c r="A948" s="89"/>
      <c r="B948" s="89"/>
      <c r="C948" s="17"/>
      <c r="BE948" s="19"/>
    </row>
    <row r="949" spans="1:57" ht="12.75">
      <c r="A949" s="89"/>
      <c r="B949" s="89"/>
      <c r="C949" s="17"/>
      <c r="BE949" s="19"/>
    </row>
    <row r="950" spans="1:57" ht="12.75">
      <c r="A950" s="89"/>
      <c r="B950" s="89"/>
      <c r="C950" s="17"/>
      <c r="BE950" s="19"/>
    </row>
    <row r="951" spans="1:57" ht="12.75">
      <c r="A951" s="89"/>
      <c r="B951" s="89"/>
      <c r="C951" s="17"/>
      <c r="BE951" s="19"/>
    </row>
    <row r="952" spans="1:57" ht="12.75">
      <c r="A952" s="89"/>
      <c r="B952" s="89"/>
      <c r="C952" s="17"/>
      <c r="BE952" s="19"/>
    </row>
    <row r="953" spans="1:57" ht="12.75">
      <c r="A953" s="89"/>
      <c r="B953" s="89"/>
      <c r="C953" s="17"/>
      <c r="BE953" s="19"/>
    </row>
    <row r="954" spans="1:57" ht="12.75">
      <c r="A954" s="89"/>
      <c r="B954" s="89"/>
      <c r="C954" s="17"/>
      <c r="BE954" s="19"/>
    </row>
    <row r="955" spans="1:57" ht="12.75">
      <c r="A955" s="89"/>
      <c r="B955" s="89"/>
      <c r="C955" s="17"/>
      <c r="BE955" s="19"/>
    </row>
    <row r="956" spans="1:57" ht="12.75">
      <c r="A956" s="89"/>
      <c r="B956" s="89"/>
      <c r="C956" s="17"/>
      <c r="BE956" s="19"/>
    </row>
    <row r="957" spans="1:57" ht="12.75">
      <c r="A957" s="89"/>
      <c r="B957" s="89"/>
      <c r="C957" s="17"/>
      <c r="BE957" s="19"/>
    </row>
    <row r="958" spans="1:57" ht="12.75">
      <c r="A958" s="89"/>
      <c r="B958" s="89"/>
      <c r="C958" s="17"/>
      <c r="BE958" s="19"/>
    </row>
    <row r="959" spans="1:57" ht="12.75">
      <c r="A959" s="89"/>
      <c r="B959" s="89"/>
      <c r="C959" s="17"/>
      <c r="BE959" s="19"/>
    </row>
    <row r="960" spans="1:57" ht="12.75">
      <c r="A960" s="89"/>
      <c r="B960" s="89"/>
      <c r="C960" s="17"/>
      <c r="BE960" s="19"/>
    </row>
    <row r="961" spans="1:57" ht="12.75">
      <c r="A961" s="89"/>
      <c r="B961" s="89"/>
      <c r="C961" s="17"/>
      <c r="BE961" s="19"/>
    </row>
    <row r="962" spans="1:57" ht="12.75">
      <c r="A962" s="89"/>
      <c r="B962" s="89"/>
      <c r="C962" s="17"/>
      <c r="BE962" s="19"/>
    </row>
    <row r="963" spans="1:57" ht="12.75">
      <c r="A963" s="89"/>
      <c r="B963" s="89"/>
      <c r="C963" s="17"/>
      <c r="BE963" s="19"/>
    </row>
    <row r="964" spans="1:57" ht="12.75">
      <c r="A964" s="89"/>
      <c r="B964" s="89"/>
      <c r="C964" s="17"/>
      <c r="BE964" s="19"/>
    </row>
    <row r="965" spans="1:57" ht="12.75">
      <c r="A965" s="89"/>
      <c r="B965" s="89"/>
      <c r="C965" s="17"/>
      <c r="BE965" s="19"/>
    </row>
    <row r="966" spans="1:57" ht="12.75">
      <c r="A966" s="89"/>
      <c r="B966" s="89"/>
      <c r="C966" s="17"/>
      <c r="BE966" s="19"/>
    </row>
    <row r="967" spans="1:57" ht="12.75">
      <c r="A967" s="89"/>
      <c r="B967" s="89"/>
      <c r="C967" s="17"/>
      <c r="BE967" s="19"/>
    </row>
    <row r="968" spans="1:57" ht="12.75">
      <c r="A968" s="89"/>
      <c r="B968" s="89"/>
      <c r="C968" s="17"/>
      <c r="BE968" s="19"/>
    </row>
    <row r="969" spans="1:57" ht="12.75">
      <c r="A969" s="89"/>
      <c r="B969" s="89"/>
      <c r="C969" s="17"/>
      <c r="BE969" s="19"/>
    </row>
    <row r="970" spans="1:57" ht="12.75">
      <c r="A970" s="89"/>
      <c r="B970" s="89"/>
      <c r="C970" s="17"/>
      <c r="BE970" s="19"/>
    </row>
    <row r="971" spans="1:57" ht="12.75">
      <c r="A971" s="89"/>
      <c r="B971" s="89"/>
      <c r="C971" s="17"/>
      <c r="BE971" s="19"/>
    </row>
    <row r="972" spans="1:57" ht="12.75">
      <c r="A972" s="89"/>
      <c r="B972" s="89"/>
      <c r="C972" s="17"/>
      <c r="BE972" s="19"/>
    </row>
    <row r="973" spans="1:57" ht="12.75">
      <c r="A973" s="89"/>
      <c r="B973" s="89"/>
      <c r="C973" s="17"/>
      <c r="BE973" s="19"/>
    </row>
    <row r="974" spans="1:57" ht="12.75">
      <c r="A974" s="89"/>
      <c r="B974" s="89"/>
      <c r="C974" s="17"/>
      <c r="BE974" s="19"/>
    </row>
    <row r="975" spans="1:57" ht="12.75">
      <c r="A975" s="89"/>
      <c r="B975" s="89"/>
      <c r="C975" s="17"/>
      <c r="BE975" s="19"/>
    </row>
    <row r="976" spans="1:57" ht="12.75">
      <c r="A976" s="89"/>
      <c r="B976" s="89"/>
      <c r="C976" s="17"/>
      <c r="BE976" s="19"/>
    </row>
    <row r="977" spans="1:57" ht="12.75">
      <c r="A977" s="89"/>
      <c r="B977" s="89"/>
      <c r="C977" s="17"/>
      <c r="BE977" s="19"/>
    </row>
    <row r="978" spans="1:57" ht="12.75">
      <c r="A978" s="89"/>
      <c r="B978" s="89"/>
      <c r="C978" s="17"/>
      <c r="BE978" s="19"/>
    </row>
    <row r="979" spans="1:57" ht="12.75">
      <c r="A979" s="89"/>
      <c r="B979" s="89"/>
      <c r="C979" s="17"/>
      <c r="BE979" s="19"/>
    </row>
    <row r="980" spans="1:57" ht="12.75">
      <c r="A980" s="89"/>
      <c r="B980" s="89"/>
      <c r="C980" s="17"/>
      <c r="BE980" s="19"/>
    </row>
    <row r="981" spans="1:57" ht="12.75">
      <c r="A981" s="89"/>
      <c r="B981" s="89"/>
      <c r="C981" s="17"/>
      <c r="BE981" s="19"/>
    </row>
    <row r="982" spans="1:57" ht="12.75">
      <c r="A982" s="89"/>
      <c r="B982" s="89"/>
      <c r="C982" s="17"/>
      <c r="BE982" s="19"/>
    </row>
    <row r="983" spans="1:57" ht="12.75">
      <c r="A983" s="89"/>
      <c r="B983" s="89"/>
      <c r="C983" s="17"/>
      <c r="BE983" s="19"/>
    </row>
  </sheetData>
  <conditionalFormatting sqref="D314">
    <cfRule type="notContainsBlanks" dxfId="2" priority="1">
      <formula>LEN(TRIM(D314))&gt;0</formula>
    </cfRule>
  </conditionalFormatting>
  <conditionalFormatting sqref="D192">
    <cfRule type="notContainsBlanks" dxfId="1" priority="2">
      <formula>LEN(TRIM(D192))&gt;0</formula>
    </cfRule>
  </conditionalFormatting>
  <dataValidations count="7">
    <dataValidation type="custom" allowBlank="1" showDropDown="1" showInputMessage="1" showErrorMessage="1" prompt="Enter a valid date mm/dd/2020" sqref="C2:C17 C19:C20 C22:C40 C43:C58 C65:C66 C68:C85 C88:C106 C108:C109 C111:C112 C114:C138 C144:C148 C151:C152 C155:C158 C160:C183 C185:C196 C198 C203:C205 C208 C210:C228 C230:C244 C246:C257 C263 C265 C267:C300 C304:C327 C329 C342:C348 C356" xr:uid="{00000000-0002-0000-0100-000000000000}">
      <formula1>OR(NOT(ISERROR(DATEVALUE(C2))), AND(ISNUMBER(C2), LEFT(CELL("format", C2))="D"))</formula1>
    </dataValidation>
    <dataValidation type="list" allowBlank="1" sqref="I2:I17 I19:I109 I111:I114 I116:I228 I230:I329 I331:I348 I356" xr:uid="{00000000-0002-0000-0100-000001000000}">
      <formula1>"no rain,light rain,heavy rain"</formula1>
    </dataValidation>
    <dataValidation type="list" allowBlank="1" showInputMessage="1" showErrorMessage="1" prompt="Click and enter a value from the list of items" sqref="H2:H17 H19:H109 H111:H114 H116:H228 H230:H329 H331:H348 H356" xr:uid="{00000000-0002-0000-0100-000002000000}">
      <formula1>"calm,light wind,medium wind,breezy"</formula1>
    </dataValidation>
    <dataValidation type="custom" allowBlank="1" showDropDown="1" showInputMessage="1" prompt="Enter a valid date mm/dd/yy" sqref="C41:C42 C59:C64 C67 C86:C87 C107 C110 C139:C143 C149 C153:C154 C159 C184 C197 C199:C202 C206:C207 C209 C245 C258:C259 C261:C262 C264 C266 C301:C303 C328 C330:C331 C333:C341 C349:C355 C357:C983" xr:uid="{00000000-0002-0000-0100-000003000000}">
      <formula1>OR(NOT(ISERROR(DATEVALUE(C41))), AND(ISNUMBER(C41), LEFT(CELL("format", C41))="D"))</formula1>
    </dataValidation>
    <dataValidation type="decimal" allowBlank="1" showDropDown="1" showInputMessage="1" prompt="Enter a whole number between 0 and 10000" sqref="AT229:BD229 BB303 BC304:BD304 AO331 AO333:AO337 AO341:AO342 K2:AC6 K116:AC138 L115:AC115 K114:AC114 K14:AC17 L13:AC13 K8:AC12 L7:AC7 K356:AJ356 AK356:BD356 V2:V17 AD2:AJ17 AK2:BD17 K19:AJ40 AK19:BD40 K43:AJ58 AK43:BD58 K65:AJ66 AK65:BD66 K68:AJ72 AK68:BD72 K74:AJ85 AK74:BD85 AK88:BD106 AK107:AO107 K88:AJ109 AK108:BD109 K111:AJ112 AK111:BD112 AK114:BD116 AK117:AR117 V114:V138 AD114:AJ138 AK118:BD138 K144:AJ148 AK144:BD148 K150:AJ152 AK150:BD152 K155:AJ158 AK155:BD158 K160:AJ183 AK160:BD183 K185:AJ196 AK185:BD196 K198:AJ198 AK198:BD198 K203:AJ205 AK203:BD205 K208:AJ208 AK208:BD208 K210:AJ228 AK210:BD228 K230:AJ243 AK230:BD243 K246:AJ249 AK246:BD249 AK251:BD257 AK258:BE259 K251:AJ263 AK260:BD263 K265:AJ300 AK265:BD300 AK304:BA304 K304:AJ327 AK305:BD327 K329:AJ329 AK329:BD329 K345:AJ348 AK345:BD348" xr:uid="{00000000-0002-0000-0100-000004000000}">
      <formula1>0</formula1>
      <formula2>10000</formula2>
    </dataValidation>
    <dataValidation type="list" allowBlank="1" showErrorMessage="1" sqref="J2:J17 J19:J114 J116:J228 J230:J329 J331:J348 J356" xr:uid="{00000000-0002-0000-0100-000005000000}">
      <formula1>"Complete Survey (all birds),Focal Survey"</formula1>
    </dataValidation>
    <dataValidation type="list" allowBlank="1" showInputMessage="1" showErrorMessage="1" prompt="Click and enter a value from the list of items" sqref="G2:G17 G19:G109 G111:G114 G116:G228 G230:G329 G331:G348 G356" xr:uid="{00000000-0002-0000-0100-000006000000}">
      <formula1>"&lt;30F,30-40F,41-50F,51-60F,61-70F,71-80F,81-90F,&gt;90F"</formula1>
    </dataValidation>
  </dataValidations>
  <hyperlinks>
    <hyperlink ref="E37" r:id="rId1" xr:uid="{00000000-0004-0000-0100-000000000000}"/>
    <hyperlink ref="E324" r:id="rId2" xr:uid="{00000000-0004-0000-0100-000001000000}"/>
  </hyperlinks>
  <printOptions horizontalCentered="1" gridLines="1"/>
  <pageMargins left="0.25" right="0.25"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pageSetUpPr fitToPage="1"/>
  </sheetPr>
  <dimension ref="A1:KY994"/>
  <sheetViews>
    <sheetView workbookViewId="0">
      <pane ySplit="2" topLeftCell="A3" activePane="bottomLeft" state="frozen"/>
      <selection pane="bottomLeft" activeCell="B4" sqref="B4"/>
    </sheetView>
  </sheetViews>
  <sheetFormatPr defaultColWidth="12.5703125" defaultRowHeight="15.75" customHeight="1"/>
  <cols>
    <col min="1" max="1" width="31.7109375" customWidth="1"/>
    <col min="3" max="3" width="12.85546875" customWidth="1"/>
    <col min="4" max="4" width="12.42578125" customWidth="1"/>
    <col min="5" max="5" width="11.42578125" customWidth="1"/>
    <col min="6" max="6" width="20.42578125" customWidth="1"/>
    <col min="7" max="7" width="10" customWidth="1"/>
    <col min="18" max="18" width="13" customWidth="1"/>
    <col min="19" max="19" width="12.42578125" customWidth="1"/>
    <col min="20" max="20" width="15.28515625" customWidth="1"/>
    <col min="21" max="21" width="20.42578125" customWidth="1"/>
    <col min="22" max="22" width="10" customWidth="1"/>
    <col min="25" max="25" width="15.85546875" customWidth="1"/>
    <col min="33" max="33" width="13" customWidth="1"/>
    <col min="34" max="34" width="12.42578125" customWidth="1"/>
    <col min="35" max="35" width="11.42578125" customWidth="1"/>
    <col min="36" max="36" width="20.42578125" customWidth="1"/>
    <col min="37" max="37" width="10" customWidth="1"/>
    <col min="48" max="48" width="13" customWidth="1"/>
    <col min="49" max="49" width="12.42578125" customWidth="1"/>
    <col min="50" max="50" width="11.42578125" customWidth="1"/>
    <col min="51" max="51" width="20.42578125" customWidth="1"/>
    <col min="52" max="52" width="10" customWidth="1"/>
    <col min="63" max="63" width="13" customWidth="1"/>
    <col min="64" max="64" width="12.42578125" customWidth="1"/>
    <col min="65" max="65" width="11.42578125" customWidth="1"/>
    <col min="66" max="66" width="20.42578125" customWidth="1"/>
    <col min="67" max="67" width="10" customWidth="1"/>
    <col min="78" max="78" width="13" customWidth="1"/>
    <col min="79" max="79" width="12.42578125" customWidth="1"/>
    <col min="80" max="80" width="11.42578125" customWidth="1"/>
    <col min="81" max="81" width="20.42578125" customWidth="1"/>
    <col min="82" max="82" width="10" customWidth="1"/>
    <col min="93" max="93" width="13" customWidth="1"/>
    <col min="94" max="94" width="12.42578125" customWidth="1"/>
    <col min="95" max="95" width="11.42578125" customWidth="1"/>
    <col min="96" max="96" width="20.42578125" customWidth="1"/>
    <col min="97" max="97" width="10" customWidth="1"/>
    <col min="108" max="108" width="13" customWidth="1"/>
    <col min="109" max="109" width="12.42578125" customWidth="1"/>
    <col min="110" max="110" width="11.42578125" customWidth="1"/>
    <col min="111" max="111" width="20.42578125" customWidth="1"/>
    <col min="112" max="112" width="10" customWidth="1"/>
    <col min="123" max="123" width="13" customWidth="1"/>
    <col min="124" max="124" width="12.42578125" customWidth="1"/>
    <col min="125" max="125" width="11.42578125" customWidth="1"/>
    <col min="126" max="126" width="20.42578125" customWidth="1"/>
    <col min="127" max="127" width="10" customWidth="1"/>
    <col min="138" max="138" width="13" customWidth="1"/>
    <col min="139" max="139" width="12.42578125" customWidth="1"/>
    <col min="140" max="140" width="11.42578125" customWidth="1"/>
    <col min="141" max="141" width="20.42578125" customWidth="1"/>
    <col min="142" max="142" width="10" customWidth="1"/>
    <col min="153" max="153" width="13" customWidth="1"/>
    <col min="154" max="154" width="12.42578125" customWidth="1"/>
    <col min="155" max="155" width="11.42578125" customWidth="1"/>
    <col min="156" max="156" width="20.42578125" customWidth="1"/>
    <col min="157" max="157" width="10" customWidth="1"/>
    <col min="168" max="168" width="13" customWidth="1"/>
    <col min="169" max="169" width="12.42578125" customWidth="1"/>
    <col min="170" max="170" width="11.42578125" customWidth="1"/>
    <col min="171" max="171" width="20.42578125" customWidth="1"/>
    <col min="172" max="172" width="10" customWidth="1"/>
    <col min="183" max="183" width="13" customWidth="1"/>
    <col min="184" max="184" width="12.42578125" customWidth="1"/>
    <col min="185" max="185" width="11.42578125" customWidth="1"/>
    <col min="186" max="186" width="20.42578125" customWidth="1"/>
    <col min="187" max="187" width="10" customWidth="1"/>
    <col min="198" max="198" width="13" customWidth="1"/>
    <col min="199" max="199" width="12.42578125" customWidth="1"/>
    <col min="200" max="200" width="11.42578125" customWidth="1"/>
    <col min="201" max="201" width="20.42578125" customWidth="1"/>
    <col min="202" max="202" width="10" customWidth="1"/>
    <col min="213" max="213" width="13" customWidth="1"/>
    <col min="214" max="214" width="12.42578125" customWidth="1"/>
    <col min="215" max="215" width="11.42578125" customWidth="1"/>
    <col min="216" max="216" width="20.42578125" customWidth="1"/>
    <col min="217" max="217" width="10" customWidth="1"/>
    <col min="228" max="228" width="13" customWidth="1"/>
    <col min="229" max="229" width="12.42578125" customWidth="1"/>
    <col min="230" max="230" width="11.42578125" customWidth="1"/>
    <col min="231" max="231" width="20.42578125" customWidth="1"/>
    <col min="232" max="232" width="10" customWidth="1"/>
  </cols>
  <sheetData>
    <row r="1" spans="1:311" ht="31.5">
      <c r="A1" s="90" t="s">
        <v>863</v>
      </c>
      <c r="B1" s="91"/>
      <c r="C1" s="92">
        <v>1</v>
      </c>
      <c r="D1" s="92">
        <v>1</v>
      </c>
      <c r="E1" s="92">
        <v>1</v>
      </c>
      <c r="F1" s="92">
        <v>1</v>
      </c>
      <c r="G1" s="92">
        <v>1</v>
      </c>
      <c r="H1" s="92">
        <v>1</v>
      </c>
      <c r="I1" s="92">
        <v>1</v>
      </c>
      <c r="J1" s="92">
        <v>1</v>
      </c>
      <c r="K1" s="92">
        <v>1</v>
      </c>
      <c r="L1" s="92">
        <v>1</v>
      </c>
      <c r="M1" s="92">
        <v>1</v>
      </c>
      <c r="N1" s="92">
        <v>1</v>
      </c>
      <c r="O1" s="92">
        <v>1</v>
      </c>
      <c r="P1" s="92">
        <v>1</v>
      </c>
      <c r="Q1" s="92">
        <v>1</v>
      </c>
      <c r="R1" s="92">
        <v>2</v>
      </c>
      <c r="S1" s="92">
        <v>2</v>
      </c>
      <c r="T1" s="92">
        <v>2</v>
      </c>
      <c r="U1" s="92">
        <v>2</v>
      </c>
      <c r="V1" s="92">
        <v>2</v>
      </c>
      <c r="W1" s="92">
        <v>2</v>
      </c>
      <c r="X1" s="92">
        <v>2</v>
      </c>
      <c r="Y1" s="92">
        <v>2</v>
      </c>
      <c r="Z1" s="92">
        <v>2</v>
      </c>
      <c r="AA1" s="92">
        <v>2</v>
      </c>
      <c r="AB1" s="92">
        <v>2</v>
      </c>
      <c r="AC1" s="92">
        <v>2</v>
      </c>
      <c r="AD1" s="92">
        <v>2</v>
      </c>
      <c r="AE1" s="92">
        <v>2</v>
      </c>
      <c r="AF1" s="92">
        <v>2</v>
      </c>
      <c r="AG1" s="92">
        <v>3</v>
      </c>
      <c r="AH1" s="92">
        <v>3</v>
      </c>
      <c r="AI1" s="92">
        <v>3</v>
      </c>
      <c r="AJ1" s="92">
        <v>3</v>
      </c>
      <c r="AK1" s="92">
        <v>3</v>
      </c>
      <c r="AL1" s="92">
        <v>3</v>
      </c>
      <c r="AM1" s="92">
        <v>3</v>
      </c>
      <c r="AN1" s="92">
        <v>3</v>
      </c>
      <c r="AO1" s="92">
        <v>3</v>
      </c>
      <c r="AP1" s="92">
        <v>3</v>
      </c>
      <c r="AQ1" s="92">
        <v>3</v>
      </c>
      <c r="AR1" s="92">
        <v>3</v>
      </c>
      <c r="AS1" s="92">
        <v>3</v>
      </c>
      <c r="AT1" s="92">
        <v>3</v>
      </c>
      <c r="AU1" s="92">
        <v>3</v>
      </c>
      <c r="AV1" s="92">
        <v>4</v>
      </c>
      <c r="AW1" s="92">
        <v>4</v>
      </c>
      <c r="AX1" s="92">
        <v>4</v>
      </c>
      <c r="AY1" s="92">
        <v>4</v>
      </c>
      <c r="AZ1" s="92">
        <v>4</v>
      </c>
      <c r="BA1" s="92">
        <v>4</v>
      </c>
      <c r="BB1" s="92">
        <v>4</v>
      </c>
      <c r="BC1" s="92">
        <v>4</v>
      </c>
      <c r="BD1" s="92">
        <v>4</v>
      </c>
      <c r="BE1" s="92">
        <v>4</v>
      </c>
      <c r="BF1" s="92">
        <v>4</v>
      </c>
      <c r="BG1" s="92">
        <v>4</v>
      </c>
      <c r="BH1" s="92">
        <v>4</v>
      </c>
      <c r="BI1" s="92">
        <v>4</v>
      </c>
      <c r="BJ1" s="92">
        <v>4</v>
      </c>
      <c r="BK1" s="92">
        <v>5</v>
      </c>
      <c r="BL1" s="92">
        <v>5</v>
      </c>
      <c r="BM1" s="92">
        <v>5</v>
      </c>
      <c r="BN1" s="92">
        <v>5</v>
      </c>
      <c r="BO1" s="92">
        <v>5</v>
      </c>
      <c r="BP1" s="92">
        <v>5</v>
      </c>
      <c r="BQ1" s="92">
        <v>5</v>
      </c>
      <c r="BR1" s="92">
        <v>5</v>
      </c>
      <c r="BS1" s="92">
        <v>5</v>
      </c>
      <c r="BT1" s="92">
        <v>5</v>
      </c>
      <c r="BU1" s="92">
        <v>5</v>
      </c>
      <c r="BV1" s="92">
        <v>5</v>
      </c>
      <c r="BW1" s="92">
        <v>5</v>
      </c>
      <c r="BX1" s="92">
        <v>5</v>
      </c>
      <c r="BY1" s="92">
        <v>5</v>
      </c>
      <c r="BZ1" s="92">
        <v>6</v>
      </c>
      <c r="CA1" s="92">
        <v>6</v>
      </c>
      <c r="CB1" s="92">
        <v>6</v>
      </c>
      <c r="CC1" s="92">
        <v>6</v>
      </c>
      <c r="CD1" s="92">
        <v>6</v>
      </c>
      <c r="CE1" s="92">
        <v>6</v>
      </c>
      <c r="CF1" s="92">
        <v>6</v>
      </c>
      <c r="CG1" s="92">
        <v>6</v>
      </c>
      <c r="CH1" s="92">
        <v>6</v>
      </c>
      <c r="CI1" s="92">
        <v>6</v>
      </c>
      <c r="CJ1" s="92">
        <v>6</v>
      </c>
      <c r="CK1" s="92">
        <v>6</v>
      </c>
      <c r="CL1" s="92">
        <v>6</v>
      </c>
      <c r="CM1" s="92">
        <v>6</v>
      </c>
      <c r="CN1" s="92">
        <v>6</v>
      </c>
      <c r="CO1" s="92">
        <v>7</v>
      </c>
      <c r="CP1" s="92">
        <v>7</v>
      </c>
      <c r="CQ1" s="92">
        <v>7</v>
      </c>
      <c r="CR1" s="92">
        <v>7</v>
      </c>
      <c r="CS1" s="92">
        <v>7</v>
      </c>
      <c r="CT1" s="92">
        <v>7</v>
      </c>
      <c r="CU1" s="92">
        <v>7</v>
      </c>
      <c r="CV1" s="92">
        <v>7</v>
      </c>
      <c r="CW1" s="92">
        <v>7</v>
      </c>
      <c r="CX1" s="92">
        <v>7</v>
      </c>
      <c r="CY1" s="92">
        <v>7</v>
      </c>
      <c r="CZ1" s="92">
        <v>7</v>
      </c>
      <c r="DA1" s="92">
        <v>7</v>
      </c>
      <c r="DB1" s="92">
        <v>7</v>
      </c>
      <c r="DC1" s="92">
        <v>7</v>
      </c>
      <c r="DD1" s="92">
        <v>8</v>
      </c>
      <c r="DE1" s="92">
        <v>8</v>
      </c>
      <c r="DF1" s="92">
        <v>8</v>
      </c>
      <c r="DG1" s="92">
        <v>8</v>
      </c>
      <c r="DH1" s="92">
        <v>8</v>
      </c>
      <c r="DI1" s="92">
        <v>8</v>
      </c>
      <c r="DJ1" s="92">
        <v>8</v>
      </c>
      <c r="DK1" s="92">
        <v>8</v>
      </c>
      <c r="DL1" s="92">
        <v>8</v>
      </c>
      <c r="DM1" s="92">
        <v>8</v>
      </c>
      <c r="DN1" s="92">
        <v>8</v>
      </c>
      <c r="DO1" s="92">
        <v>8</v>
      </c>
      <c r="DP1" s="92">
        <v>8</v>
      </c>
      <c r="DQ1" s="92">
        <v>8</v>
      </c>
      <c r="DR1" s="92">
        <v>8</v>
      </c>
      <c r="DS1" s="92">
        <v>9</v>
      </c>
      <c r="DT1" s="92">
        <v>9</v>
      </c>
      <c r="DU1" s="92">
        <v>9</v>
      </c>
      <c r="DV1" s="92">
        <v>9</v>
      </c>
      <c r="DW1" s="92">
        <v>9</v>
      </c>
      <c r="DX1" s="92">
        <v>9</v>
      </c>
      <c r="DY1" s="92">
        <v>9</v>
      </c>
      <c r="DZ1" s="92">
        <v>9</v>
      </c>
      <c r="EA1" s="92">
        <v>9</v>
      </c>
      <c r="EB1" s="92">
        <v>9</v>
      </c>
      <c r="EC1" s="92">
        <v>9</v>
      </c>
      <c r="ED1" s="92">
        <v>9</v>
      </c>
      <c r="EE1" s="92">
        <v>9</v>
      </c>
      <c r="EF1" s="92">
        <v>9</v>
      </c>
      <c r="EG1" s="92">
        <v>9</v>
      </c>
      <c r="EH1" s="92">
        <v>10</v>
      </c>
      <c r="EI1" s="92">
        <v>10</v>
      </c>
      <c r="EJ1" s="92">
        <v>10</v>
      </c>
      <c r="EK1" s="92">
        <v>10</v>
      </c>
      <c r="EL1" s="92">
        <v>10</v>
      </c>
      <c r="EM1" s="92">
        <v>10</v>
      </c>
      <c r="EN1" s="92">
        <v>10</v>
      </c>
      <c r="EO1" s="92">
        <v>10</v>
      </c>
      <c r="EP1" s="92">
        <v>10</v>
      </c>
      <c r="EQ1" s="92">
        <v>10</v>
      </c>
      <c r="ER1" s="92">
        <v>10</v>
      </c>
      <c r="ES1" s="92">
        <v>10</v>
      </c>
      <c r="ET1" s="92">
        <v>10</v>
      </c>
      <c r="EU1" s="92">
        <v>10</v>
      </c>
      <c r="EV1" s="92">
        <v>10</v>
      </c>
      <c r="EW1" s="92">
        <v>11</v>
      </c>
      <c r="EX1" s="92">
        <v>11</v>
      </c>
      <c r="EY1" s="92">
        <v>11</v>
      </c>
      <c r="EZ1" s="92">
        <v>11</v>
      </c>
      <c r="FA1" s="92">
        <v>11</v>
      </c>
      <c r="FB1" s="92">
        <v>11</v>
      </c>
      <c r="FC1" s="92">
        <v>11</v>
      </c>
      <c r="FD1" s="92">
        <v>11</v>
      </c>
      <c r="FE1" s="92">
        <v>11</v>
      </c>
      <c r="FF1" s="92">
        <v>11</v>
      </c>
      <c r="FG1" s="92">
        <v>11</v>
      </c>
      <c r="FH1" s="92">
        <v>11</v>
      </c>
      <c r="FI1" s="92">
        <v>11</v>
      </c>
      <c r="FJ1" s="92">
        <v>11</v>
      </c>
      <c r="FK1" s="92">
        <v>11</v>
      </c>
      <c r="FL1" s="92">
        <v>12</v>
      </c>
      <c r="FM1" s="92">
        <v>12</v>
      </c>
      <c r="FN1" s="92">
        <v>12</v>
      </c>
      <c r="FO1" s="92">
        <v>12</v>
      </c>
      <c r="FP1" s="92">
        <v>12</v>
      </c>
      <c r="FQ1" s="92">
        <v>12</v>
      </c>
      <c r="FR1" s="92">
        <v>12</v>
      </c>
      <c r="FS1" s="92">
        <v>12</v>
      </c>
      <c r="FT1" s="92">
        <v>12</v>
      </c>
      <c r="FU1" s="92">
        <v>12</v>
      </c>
      <c r="FV1" s="92">
        <v>12</v>
      </c>
      <c r="FW1" s="92">
        <v>12</v>
      </c>
      <c r="FX1" s="92">
        <v>12</v>
      </c>
      <c r="FY1" s="92">
        <v>12</v>
      </c>
      <c r="FZ1" s="92">
        <v>12</v>
      </c>
      <c r="GA1" s="92">
        <v>13</v>
      </c>
      <c r="GB1" s="92">
        <v>13</v>
      </c>
      <c r="GC1" s="92">
        <v>13</v>
      </c>
      <c r="GD1" s="92">
        <v>13</v>
      </c>
      <c r="GE1" s="92">
        <v>13</v>
      </c>
      <c r="GF1" s="92">
        <v>13</v>
      </c>
      <c r="GG1" s="92">
        <v>13</v>
      </c>
      <c r="GH1" s="92">
        <v>13</v>
      </c>
      <c r="GI1" s="92">
        <v>13</v>
      </c>
      <c r="GJ1" s="92">
        <v>13</v>
      </c>
      <c r="GK1" s="92">
        <v>13</v>
      </c>
      <c r="GL1" s="92">
        <v>13</v>
      </c>
      <c r="GM1" s="92">
        <v>13</v>
      </c>
      <c r="GN1" s="92">
        <v>13</v>
      </c>
      <c r="GO1" s="92">
        <v>13</v>
      </c>
      <c r="GP1" s="92">
        <v>14</v>
      </c>
      <c r="GQ1" s="92">
        <v>14</v>
      </c>
      <c r="GR1" s="92">
        <v>14</v>
      </c>
      <c r="GS1" s="92">
        <v>14</v>
      </c>
      <c r="GT1" s="92">
        <v>14</v>
      </c>
      <c r="GU1" s="92">
        <v>14</v>
      </c>
      <c r="GV1" s="92">
        <v>14</v>
      </c>
      <c r="GW1" s="92">
        <v>14</v>
      </c>
      <c r="GX1" s="92">
        <v>14</v>
      </c>
      <c r="GY1" s="92">
        <v>14</v>
      </c>
      <c r="GZ1" s="92">
        <v>14</v>
      </c>
      <c r="HA1" s="92">
        <v>14</v>
      </c>
      <c r="HB1" s="92">
        <v>14</v>
      </c>
      <c r="HC1" s="92">
        <v>14</v>
      </c>
      <c r="HD1" s="92">
        <v>14</v>
      </c>
      <c r="HE1" s="92">
        <v>15</v>
      </c>
      <c r="HF1" s="92">
        <v>15</v>
      </c>
      <c r="HG1" s="92">
        <v>15</v>
      </c>
      <c r="HH1" s="92">
        <v>15</v>
      </c>
      <c r="HI1" s="92">
        <v>15</v>
      </c>
      <c r="HJ1" s="92">
        <v>15</v>
      </c>
      <c r="HK1" s="92">
        <v>15</v>
      </c>
      <c r="HL1" s="92">
        <v>15</v>
      </c>
      <c r="HM1" s="92">
        <v>15</v>
      </c>
      <c r="HN1" s="92">
        <v>15</v>
      </c>
      <c r="HO1" s="92">
        <v>15</v>
      </c>
      <c r="HP1" s="92">
        <v>15</v>
      </c>
      <c r="HQ1" s="92">
        <v>15</v>
      </c>
      <c r="HR1" s="92">
        <v>15</v>
      </c>
      <c r="HS1" s="92">
        <v>15</v>
      </c>
      <c r="HT1" s="92">
        <v>16</v>
      </c>
      <c r="HU1" s="92">
        <v>16</v>
      </c>
      <c r="HV1" s="92">
        <v>16</v>
      </c>
      <c r="HW1" s="92">
        <v>16</v>
      </c>
      <c r="HX1" s="92">
        <v>16</v>
      </c>
      <c r="HY1" s="92">
        <v>16</v>
      </c>
      <c r="HZ1" s="92">
        <v>16</v>
      </c>
      <c r="IA1" s="92">
        <v>16</v>
      </c>
      <c r="IB1" s="92">
        <v>16</v>
      </c>
      <c r="IC1" s="92">
        <v>16</v>
      </c>
      <c r="ID1" s="92">
        <v>16</v>
      </c>
      <c r="IE1" s="92">
        <v>16</v>
      </c>
      <c r="IF1" s="92">
        <v>16</v>
      </c>
      <c r="IG1" s="92">
        <v>16</v>
      </c>
      <c r="IH1" s="92">
        <v>16</v>
      </c>
      <c r="II1" s="93">
        <v>17</v>
      </c>
      <c r="IJ1" s="93">
        <v>1</v>
      </c>
      <c r="IK1" s="93">
        <v>17</v>
      </c>
      <c r="IL1" s="93">
        <v>17</v>
      </c>
      <c r="IM1" s="93">
        <v>17</v>
      </c>
      <c r="IN1" s="93">
        <v>17</v>
      </c>
      <c r="IO1" s="93">
        <v>17</v>
      </c>
      <c r="IP1" s="93">
        <v>17</v>
      </c>
      <c r="IQ1" s="93">
        <v>17</v>
      </c>
      <c r="IR1" s="93">
        <v>17</v>
      </c>
      <c r="IS1" s="93">
        <v>17</v>
      </c>
      <c r="IT1" s="93">
        <v>17</v>
      </c>
      <c r="IU1" s="93">
        <v>17</v>
      </c>
      <c r="IV1" s="93">
        <v>17</v>
      </c>
      <c r="IW1" s="93">
        <v>17</v>
      </c>
      <c r="IX1" s="93">
        <v>18</v>
      </c>
      <c r="IY1" s="93">
        <v>18</v>
      </c>
      <c r="IZ1" s="93">
        <v>18</v>
      </c>
      <c r="JA1" s="93">
        <v>18</v>
      </c>
      <c r="JB1" s="93">
        <v>18</v>
      </c>
      <c r="JC1" s="93">
        <v>18</v>
      </c>
      <c r="JD1" s="93">
        <v>18</v>
      </c>
      <c r="JE1" s="93">
        <v>18</v>
      </c>
      <c r="JF1" s="93">
        <v>18</v>
      </c>
      <c r="JG1" s="93">
        <v>18</v>
      </c>
      <c r="JH1" s="93">
        <v>18</v>
      </c>
      <c r="JI1" s="93">
        <v>18</v>
      </c>
      <c r="JJ1" s="93">
        <v>18</v>
      </c>
      <c r="JK1" s="93">
        <v>18</v>
      </c>
      <c r="JL1" s="93">
        <v>18</v>
      </c>
      <c r="JM1" s="93">
        <v>19</v>
      </c>
      <c r="JN1" s="93">
        <v>19</v>
      </c>
      <c r="JO1" s="93">
        <v>19</v>
      </c>
      <c r="JP1" s="93">
        <v>19</v>
      </c>
      <c r="JQ1" s="93">
        <v>19</v>
      </c>
      <c r="JR1" s="93">
        <v>19</v>
      </c>
      <c r="JS1" s="93">
        <v>19</v>
      </c>
      <c r="JT1" s="93">
        <v>19</v>
      </c>
      <c r="JU1" s="93">
        <v>19</v>
      </c>
      <c r="JV1" s="93">
        <v>19</v>
      </c>
      <c r="JW1" s="93">
        <v>19</v>
      </c>
      <c r="JX1" s="93">
        <v>19</v>
      </c>
      <c r="JY1" s="93">
        <v>19</v>
      </c>
      <c r="JZ1" s="93">
        <v>19</v>
      </c>
      <c r="KA1" s="93">
        <v>19</v>
      </c>
      <c r="KB1" s="94"/>
      <c r="KC1" s="94"/>
      <c r="KD1" s="94"/>
      <c r="KE1" s="94"/>
      <c r="KF1" s="94"/>
      <c r="KG1" s="94"/>
      <c r="KH1" s="94"/>
      <c r="KI1" s="94"/>
      <c r="KJ1" s="94"/>
      <c r="KK1" s="94"/>
      <c r="KL1" s="94"/>
      <c r="KM1" s="94"/>
      <c r="KN1" s="94"/>
      <c r="KO1" s="94"/>
      <c r="KP1" s="94"/>
      <c r="KQ1" s="94"/>
      <c r="KR1" s="94"/>
      <c r="KS1" s="94"/>
      <c r="KT1" s="94"/>
      <c r="KU1" s="94"/>
      <c r="KV1" s="94"/>
      <c r="KW1" s="94"/>
      <c r="KX1" s="94"/>
      <c r="KY1" s="94"/>
    </row>
    <row r="2" spans="1:311" ht="90">
      <c r="A2" s="95" t="s">
        <v>6</v>
      </c>
      <c r="B2" s="96" t="s">
        <v>7</v>
      </c>
      <c r="C2" s="92" t="s">
        <v>864</v>
      </c>
      <c r="D2" s="92" t="s">
        <v>865</v>
      </c>
      <c r="E2" s="92" t="s">
        <v>866</v>
      </c>
      <c r="F2" s="92" t="s">
        <v>867</v>
      </c>
      <c r="G2" s="92" t="s">
        <v>868</v>
      </c>
      <c r="H2" s="92" t="s">
        <v>869</v>
      </c>
      <c r="I2" s="92" t="s">
        <v>870</v>
      </c>
      <c r="J2" s="92" t="s">
        <v>871</v>
      </c>
      <c r="K2" s="92" t="s">
        <v>872</v>
      </c>
      <c r="L2" s="92" t="s">
        <v>873</v>
      </c>
      <c r="M2" s="92" t="s">
        <v>874</v>
      </c>
      <c r="N2" s="92" t="s">
        <v>875</v>
      </c>
      <c r="O2" s="92" t="s">
        <v>876</v>
      </c>
      <c r="P2" s="92" t="s">
        <v>877</v>
      </c>
      <c r="Q2" s="92" t="s">
        <v>878</v>
      </c>
      <c r="R2" s="92" t="s">
        <v>879</v>
      </c>
      <c r="S2" s="92" t="s">
        <v>880</v>
      </c>
      <c r="T2" s="92" t="s">
        <v>881</v>
      </c>
      <c r="U2" s="92" t="s">
        <v>882</v>
      </c>
      <c r="V2" s="92" t="s">
        <v>883</v>
      </c>
      <c r="W2" s="92" t="s">
        <v>884</v>
      </c>
      <c r="X2" s="92" t="s">
        <v>885</v>
      </c>
      <c r="Y2" s="92" t="s">
        <v>886</v>
      </c>
      <c r="Z2" s="92" t="s">
        <v>887</v>
      </c>
      <c r="AA2" s="92" t="s">
        <v>888</v>
      </c>
      <c r="AB2" s="92" t="s">
        <v>889</v>
      </c>
      <c r="AC2" s="92" t="s">
        <v>890</v>
      </c>
      <c r="AD2" s="92" t="s">
        <v>891</v>
      </c>
      <c r="AE2" s="92" t="s">
        <v>892</v>
      </c>
      <c r="AF2" s="92" t="s">
        <v>893</v>
      </c>
      <c r="AG2" s="92" t="s">
        <v>894</v>
      </c>
      <c r="AH2" s="92" t="s">
        <v>895</v>
      </c>
      <c r="AI2" s="92" t="s">
        <v>896</v>
      </c>
      <c r="AJ2" s="92" t="s">
        <v>897</v>
      </c>
      <c r="AK2" s="92" t="s">
        <v>898</v>
      </c>
      <c r="AL2" s="92" t="s">
        <v>899</v>
      </c>
      <c r="AM2" s="92" t="s">
        <v>900</v>
      </c>
      <c r="AN2" s="92" t="s">
        <v>901</v>
      </c>
      <c r="AO2" s="92" t="s">
        <v>902</v>
      </c>
      <c r="AP2" s="92" t="s">
        <v>903</v>
      </c>
      <c r="AQ2" s="92" t="s">
        <v>904</v>
      </c>
      <c r="AR2" s="92" t="s">
        <v>905</v>
      </c>
      <c r="AS2" s="92" t="s">
        <v>906</v>
      </c>
      <c r="AT2" s="92" t="s">
        <v>907</v>
      </c>
      <c r="AU2" s="92" t="s">
        <v>908</v>
      </c>
      <c r="AV2" s="92" t="s">
        <v>909</v>
      </c>
      <c r="AW2" s="92" t="s">
        <v>910</v>
      </c>
      <c r="AX2" s="92" t="s">
        <v>911</v>
      </c>
      <c r="AY2" s="92" t="s">
        <v>912</v>
      </c>
      <c r="AZ2" s="92" t="s">
        <v>913</v>
      </c>
      <c r="BA2" s="92" t="s">
        <v>914</v>
      </c>
      <c r="BB2" s="92" t="s">
        <v>915</v>
      </c>
      <c r="BC2" s="92" t="s">
        <v>916</v>
      </c>
      <c r="BD2" s="92" t="s">
        <v>917</v>
      </c>
      <c r="BE2" s="92" t="s">
        <v>918</v>
      </c>
      <c r="BF2" s="92" t="s">
        <v>919</v>
      </c>
      <c r="BG2" s="92" t="s">
        <v>920</v>
      </c>
      <c r="BH2" s="92" t="s">
        <v>921</v>
      </c>
      <c r="BI2" s="92" t="s">
        <v>922</v>
      </c>
      <c r="BJ2" s="92" t="s">
        <v>923</v>
      </c>
      <c r="BK2" s="92" t="s">
        <v>924</v>
      </c>
      <c r="BL2" s="92" t="s">
        <v>925</v>
      </c>
      <c r="BM2" s="92" t="s">
        <v>926</v>
      </c>
      <c r="BN2" s="92" t="s">
        <v>927</v>
      </c>
      <c r="BO2" s="92" t="s">
        <v>928</v>
      </c>
      <c r="BP2" s="92" t="s">
        <v>929</v>
      </c>
      <c r="BQ2" s="92" t="s">
        <v>930</v>
      </c>
      <c r="BR2" s="92" t="s">
        <v>931</v>
      </c>
      <c r="BS2" s="92" t="s">
        <v>932</v>
      </c>
      <c r="BT2" s="92" t="s">
        <v>933</v>
      </c>
      <c r="BU2" s="92" t="s">
        <v>934</v>
      </c>
      <c r="BV2" s="92" t="s">
        <v>935</v>
      </c>
      <c r="BW2" s="92" t="s">
        <v>936</v>
      </c>
      <c r="BX2" s="92" t="s">
        <v>937</v>
      </c>
      <c r="BY2" s="92" t="s">
        <v>938</v>
      </c>
      <c r="BZ2" s="92" t="s">
        <v>939</v>
      </c>
      <c r="CA2" s="92" t="s">
        <v>940</v>
      </c>
      <c r="CB2" s="92" t="s">
        <v>941</v>
      </c>
      <c r="CC2" s="92" t="s">
        <v>942</v>
      </c>
      <c r="CD2" s="92" t="s">
        <v>943</v>
      </c>
      <c r="CE2" s="92" t="s">
        <v>944</v>
      </c>
      <c r="CF2" s="92" t="s">
        <v>945</v>
      </c>
      <c r="CG2" s="92" t="s">
        <v>946</v>
      </c>
      <c r="CH2" s="92" t="s">
        <v>947</v>
      </c>
      <c r="CI2" s="92" t="s">
        <v>948</v>
      </c>
      <c r="CJ2" s="92" t="s">
        <v>949</v>
      </c>
      <c r="CK2" s="92" t="s">
        <v>950</v>
      </c>
      <c r="CL2" s="92" t="s">
        <v>951</v>
      </c>
      <c r="CM2" s="92" t="s">
        <v>952</v>
      </c>
      <c r="CN2" s="92" t="s">
        <v>953</v>
      </c>
      <c r="CO2" s="92" t="s">
        <v>954</v>
      </c>
      <c r="CP2" s="92" t="s">
        <v>955</v>
      </c>
      <c r="CQ2" s="92" t="s">
        <v>956</v>
      </c>
      <c r="CR2" s="92" t="s">
        <v>957</v>
      </c>
      <c r="CS2" s="92" t="s">
        <v>958</v>
      </c>
      <c r="CT2" s="92" t="s">
        <v>959</v>
      </c>
      <c r="CU2" s="92" t="s">
        <v>960</v>
      </c>
      <c r="CV2" s="92" t="s">
        <v>961</v>
      </c>
      <c r="CW2" s="92" t="s">
        <v>962</v>
      </c>
      <c r="CX2" s="92" t="s">
        <v>963</v>
      </c>
      <c r="CY2" s="92" t="s">
        <v>964</v>
      </c>
      <c r="CZ2" s="92" t="s">
        <v>965</v>
      </c>
      <c r="DA2" s="92" t="s">
        <v>966</v>
      </c>
      <c r="DB2" s="92" t="s">
        <v>967</v>
      </c>
      <c r="DC2" s="92" t="s">
        <v>968</v>
      </c>
      <c r="DD2" s="92" t="s">
        <v>969</v>
      </c>
      <c r="DE2" s="92" t="s">
        <v>970</v>
      </c>
      <c r="DF2" s="92" t="s">
        <v>971</v>
      </c>
      <c r="DG2" s="92" t="s">
        <v>972</v>
      </c>
      <c r="DH2" s="92" t="s">
        <v>973</v>
      </c>
      <c r="DI2" s="92" t="s">
        <v>974</v>
      </c>
      <c r="DJ2" s="92" t="s">
        <v>975</v>
      </c>
      <c r="DK2" s="92" t="s">
        <v>976</v>
      </c>
      <c r="DL2" s="92" t="s">
        <v>977</v>
      </c>
      <c r="DM2" s="92" t="s">
        <v>978</v>
      </c>
      <c r="DN2" s="92" t="s">
        <v>979</v>
      </c>
      <c r="DO2" s="92" t="s">
        <v>980</v>
      </c>
      <c r="DP2" s="92" t="s">
        <v>981</v>
      </c>
      <c r="DQ2" s="92" t="s">
        <v>982</v>
      </c>
      <c r="DR2" s="92" t="s">
        <v>983</v>
      </c>
      <c r="DS2" s="92" t="s">
        <v>984</v>
      </c>
      <c r="DT2" s="92" t="s">
        <v>985</v>
      </c>
      <c r="DU2" s="92" t="s">
        <v>986</v>
      </c>
      <c r="DV2" s="92" t="s">
        <v>987</v>
      </c>
      <c r="DW2" s="92" t="s">
        <v>988</v>
      </c>
      <c r="DX2" s="92" t="s">
        <v>989</v>
      </c>
      <c r="DY2" s="92" t="s">
        <v>990</v>
      </c>
      <c r="DZ2" s="92" t="s">
        <v>991</v>
      </c>
      <c r="EA2" s="92" t="s">
        <v>992</v>
      </c>
      <c r="EB2" s="92" t="s">
        <v>993</v>
      </c>
      <c r="EC2" s="92" t="s">
        <v>994</v>
      </c>
      <c r="ED2" s="92" t="s">
        <v>995</v>
      </c>
      <c r="EE2" s="92" t="s">
        <v>996</v>
      </c>
      <c r="EF2" s="92" t="s">
        <v>997</v>
      </c>
      <c r="EG2" s="92" t="s">
        <v>998</v>
      </c>
      <c r="EH2" s="92" t="s">
        <v>999</v>
      </c>
      <c r="EI2" s="92" t="s">
        <v>1000</v>
      </c>
      <c r="EJ2" s="92" t="s">
        <v>1001</v>
      </c>
      <c r="EK2" s="92" t="s">
        <v>1002</v>
      </c>
      <c r="EL2" s="92" t="s">
        <v>1003</v>
      </c>
      <c r="EM2" s="92" t="s">
        <v>1004</v>
      </c>
      <c r="EN2" s="92" t="s">
        <v>1005</v>
      </c>
      <c r="EO2" s="92" t="s">
        <v>1006</v>
      </c>
      <c r="EP2" s="92" t="s">
        <v>1007</v>
      </c>
      <c r="EQ2" s="92" t="s">
        <v>1008</v>
      </c>
      <c r="ER2" s="92" t="s">
        <v>1009</v>
      </c>
      <c r="ES2" s="92" t="s">
        <v>1010</v>
      </c>
      <c r="ET2" s="92" t="s">
        <v>1011</v>
      </c>
      <c r="EU2" s="92" t="s">
        <v>1012</v>
      </c>
      <c r="EV2" s="92" t="s">
        <v>1013</v>
      </c>
      <c r="EW2" s="92" t="s">
        <v>1014</v>
      </c>
      <c r="EX2" s="92" t="s">
        <v>1015</v>
      </c>
      <c r="EY2" s="92" t="s">
        <v>1016</v>
      </c>
      <c r="EZ2" s="92" t="s">
        <v>1017</v>
      </c>
      <c r="FA2" s="92" t="s">
        <v>1018</v>
      </c>
      <c r="FB2" s="92" t="s">
        <v>1019</v>
      </c>
      <c r="FC2" s="92" t="s">
        <v>1020</v>
      </c>
      <c r="FD2" s="92" t="s">
        <v>1021</v>
      </c>
      <c r="FE2" s="92" t="s">
        <v>1022</v>
      </c>
      <c r="FF2" s="92" t="s">
        <v>1023</v>
      </c>
      <c r="FG2" s="92" t="s">
        <v>1024</v>
      </c>
      <c r="FH2" s="92" t="s">
        <v>1025</v>
      </c>
      <c r="FI2" s="92" t="s">
        <v>1026</v>
      </c>
      <c r="FJ2" s="92" t="s">
        <v>1027</v>
      </c>
      <c r="FK2" s="92" t="s">
        <v>1028</v>
      </c>
      <c r="FL2" s="92" t="s">
        <v>1029</v>
      </c>
      <c r="FM2" s="92" t="s">
        <v>1030</v>
      </c>
      <c r="FN2" s="92" t="s">
        <v>1031</v>
      </c>
      <c r="FO2" s="92" t="s">
        <v>1032</v>
      </c>
      <c r="FP2" s="92" t="s">
        <v>1033</v>
      </c>
      <c r="FQ2" s="92" t="s">
        <v>1034</v>
      </c>
      <c r="FR2" s="92" t="s">
        <v>1035</v>
      </c>
      <c r="FS2" s="92" t="s">
        <v>1036</v>
      </c>
      <c r="FT2" s="92" t="s">
        <v>1037</v>
      </c>
      <c r="FU2" s="92" t="s">
        <v>1038</v>
      </c>
      <c r="FV2" s="92" t="s">
        <v>1039</v>
      </c>
      <c r="FW2" s="92" t="s">
        <v>1040</v>
      </c>
      <c r="FX2" s="92" t="s">
        <v>1041</v>
      </c>
      <c r="FY2" s="92" t="s">
        <v>1042</v>
      </c>
      <c r="FZ2" s="92" t="s">
        <v>1043</v>
      </c>
      <c r="GA2" s="92" t="s">
        <v>1044</v>
      </c>
      <c r="GB2" s="92" t="s">
        <v>1045</v>
      </c>
      <c r="GC2" s="92" t="s">
        <v>1046</v>
      </c>
      <c r="GD2" s="92" t="s">
        <v>1047</v>
      </c>
      <c r="GE2" s="92" t="s">
        <v>1048</v>
      </c>
      <c r="GF2" s="92" t="s">
        <v>1049</v>
      </c>
      <c r="GG2" s="92" t="s">
        <v>1050</v>
      </c>
      <c r="GH2" s="92" t="s">
        <v>1051</v>
      </c>
      <c r="GI2" s="92" t="s">
        <v>1052</v>
      </c>
      <c r="GJ2" s="92" t="s">
        <v>1053</v>
      </c>
      <c r="GK2" s="92" t="s">
        <v>1054</v>
      </c>
      <c r="GL2" s="92" t="s">
        <v>1055</v>
      </c>
      <c r="GM2" s="92" t="s">
        <v>1056</v>
      </c>
      <c r="GN2" s="92" t="s">
        <v>1057</v>
      </c>
      <c r="GO2" s="92" t="s">
        <v>1058</v>
      </c>
      <c r="GP2" s="92" t="s">
        <v>1059</v>
      </c>
      <c r="GQ2" s="92" t="s">
        <v>1060</v>
      </c>
      <c r="GR2" s="92" t="s">
        <v>1061</v>
      </c>
      <c r="GS2" s="92" t="s">
        <v>1062</v>
      </c>
      <c r="GT2" s="92" t="s">
        <v>1063</v>
      </c>
      <c r="GU2" s="92" t="s">
        <v>1064</v>
      </c>
      <c r="GV2" s="92" t="s">
        <v>1065</v>
      </c>
      <c r="GW2" s="92" t="s">
        <v>1066</v>
      </c>
      <c r="GX2" s="92" t="s">
        <v>1067</v>
      </c>
      <c r="GY2" s="92" t="s">
        <v>1068</v>
      </c>
      <c r="GZ2" s="92" t="s">
        <v>1069</v>
      </c>
      <c r="HA2" s="92" t="s">
        <v>1070</v>
      </c>
      <c r="HB2" s="92" t="s">
        <v>1071</v>
      </c>
      <c r="HC2" s="92" t="s">
        <v>1072</v>
      </c>
      <c r="HD2" s="92" t="s">
        <v>1073</v>
      </c>
      <c r="HE2" s="92" t="s">
        <v>1074</v>
      </c>
      <c r="HF2" s="92" t="s">
        <v>1075</v>
      </c>
      <c r="HG2" s="92" t="s">
        <v>1076</v>
      </c>
      <c r="HH2" s="92" t="s">
        <v>1077</v>
      </c>
      <c r="HI2" s="92" t="s">
        <v>1078</v>
      </c>
      <c r="HJ2" s="92" t="s">
        <v>1079</v>
      </c>
      <c r="HK2" s="92" t="s">
        <v>1080</v>
      </c>
      <c r="HL2" s="92" t="s">
        <v>1081</v>
      </c>
      <c r="HM2" s="92" t="s">
        <v>1082</v>
      </c>
      <c r="HN2" s="92" t="s">
        <v>1083</v>
      </c>
      <c r="HO2" s="92" t="s">
        <v>1084</v>
      </c>
      <c r="HP2" s="92" t="s">
        <v>1085</v>
      </c>
      <c r="HQ2" s="92" t="s">
        <v>1086</v>
      </c>
      <c r="HR2" s="92" t="s">
        <v>1087</v>
      </c>
      <c r="HS2" s="92" t="s">
        <v>1088</v>
      </c>
      <c r="HT2" s="92" t="s">
        <v>1089</v>
      </c>
      <c r="HU2" s="92" t="s">
        <v>1090</v>
      </c>
      <c r="HV2" s="92" t="s">
        <v>1091</v>
      </c>
      <c r="HW2" s="92" t="s">
        <v>1092</v>
      </c>
      <c r="HX2" s="92" t="s">
        <v>1093</v>
      </c>
      <c r="HY2" s="92" t="s">
        <v>1094</v>
      </c>
      <c r="HZ2" s="92" t="s">
        <v>1095</v>
      </c>
      <c r="IA2" s="92" t="s">
        <v>1096</v>
      </c>
      <c r="IB2" s="92" t="s">
        <v>1097</v>
      </c>
      <c r="IC2" s="92" t="s">
        <v>1098</v>
      </c>
      <c r="ID2" s="92" t="s">
        <v>1099</v>
      </c>
      <c r="IE2" s="92" t="s">
        <v>1100</v>
      </c>
      <c r="IF2" s="92" t="s">
        <v>1101</v>
      </c>
      <c r="IG2" s="92" t="s">
        <v>1102</v>
      </c>
      <c r="IH2" s="92" t="s">
        <v>1103</v>
      </c>
      <c r="II2" s="92" t="s">
        <v>1104</v>
      </c>
      <c r="IJ2" s="92" t="s">
        <v>1105</v>
      </c>
      <c r="IK2" s="92" t="s">
        <v>1106</v>
      </c>
      <c r="IL2" s="92" t="s">
        <v>1107</v>
      </c>
      <c r="IM2" s="92" t="s">
        <v>1108</v>
      </c>
      <c r="IN2" s="92" t="s">
        <v>1109</v>
      </c>
      <c r="IO2" s="92" t="s">
        <v>1110</v>
      </c>
      <c r="IP2" s="92" t="s">
        <v>1111</v>
      </c>
      <c r="IQ2" s="92" t="s">
        <v>1112</v>
      </c>
      <c r="IR2" s="92" t="s">
        <v>1113</v>
      </c>
      <c r="IS2" s="92" t="s">
        <v>1114</v>
      </c>
      <c r="IT2" s="92" t="s">
        <v>1115</v>
      </c>
      <c r="IU2" s="92" t="s">
        <v>1116</v>
      </c>
      <c r="IV2" s="92" t="s">
        <v>1117</v>
      </c>
      <c r="IW2" s="92" t="s">
        <v>1118</v>
      </c>
      <c r="IX2" s="92" t="s">
        <v>1119</v>
      </c>
      <c r="IY2" s="92" t="s">
        <v>1120</v>
      </c>
      <c r="IZ2" s="92" t="s">
        <v>1121</v>
      </c>
      <c r="JA2" s="92" t="s">
        <v>1122</v>
      </c>
      <c r="JB2" s="92" t="s">
        <v>1123</v>
      </c>
      <c r="JC2" s="92" t="s">
        <v>1124</v>
      </c>
      <c r="JD2" s="92" t="s">
        <v>1125</v>
      </c>
      <c r="JE2" s="92" t="s">
        <v>1126</v>
      </c>
      <c r="JF2" s="92" t="s">
        <v>1127</v>
      </c>
      <c r="JG2" s="92" t="s">
        <v>1128</v>
      </c>
      <c r="JH2" s="92" t="s">
        <v>1129</v>
      </c>
      <c r="JI2" s="92" t="s">
        <v>1130</v>
      </c>
      <c r="JJ2" s="92" t="s">
        <v>1131</v>
      </c>
      <c r="JK2" s="92" t="s">
        <v>1132</v>
      </c>
      <c r="JL2" s="92" t="s">
        <v>1133</v>
      </c>
      <c r="JM2" s="92" t="s">
        <v>1134</v>
      </c>
      <c r="JN2" s="92" t="s">
        <v>1135</v>
      </c>
      <c r="JO2" s="92" t="s">
        <v>1136</v>
      </c>
      <c r="JP2" s="92" t="s">
        <v>1137</v>
      </c>
      <c r="JQ2" s="92" t="s">
        <v>1138</v>
      </c>
      <c r="JR2" s="92" t="s">
        <v>1139</v>
      </c>
      <c r="JS2" s="92" t="s">
        <v>1140</v>
      </c>
      <c r="JT2" s="92" t="s">
        <v>1141</v>
      </c>
      <c r="JU2" s="92" t="s">
        <v>1142</v>
      </c>
      <c r="JV2" s="92" t="s">
        <v>1143</v>
      </c>
      <c r="JW2" s="92" t="s">
        <v>1144</v>
      </c>
      <c r="JX2" s="92" t="s">
        <v>1145</v>
      </c>
      <c r="JY2" s="92" t="s">
        <v>1146</v>
      </c>
      <c r="JZ2" s="92" t="s">
        <v>1147</v>
      </c>
      <c r="KA2" s="92" t="s">
        <v>1148</v>
      </c>
      <c r="KB2" s="94"/>
      <c r="KC2" s="94"/>
      <c r="KD2" s="94"/>
      <c r="KE2" s="94"/>
      <c r="KF2" s="94"/>
      <c r="KG2" s="94"/>
      <c r="KH2" s="94"/>
      <c r="KI2" s="94"/>
      <c r="KJ2" s="94"/>
      <c r="KK2" s="94"/>
      <c r="KL2" s="94"/>
      <c r="KM2" s="94"/>
      <c r="KN2" s="94"/>
      <c r="KO2" s="94"/>
      <c r="KP2" s="94"/>
      <c r="KQ2" s="94"/>
      <c r="KR2" s="94"/>
      <c r="KS2" s="94"/>
      <c r="KT2" s="94"/>
      <c r="KU2" s="94"/>
      <c r="KV2" s="94"/>
      <c r="KW2" s="94"/>
      <c r="KX2" s="94"/>
      <c r="KY2" s="94"/>
    </row>
    <row r="3" spans="1:311" ht="51.75">
      <c r="A3" s="13" t="s">
        <v>64</v>
      </c>
      <c r="B3" s="13" t="s">
        <v>65</v>
      </c>
      <c r="C3" s="15">
        <v>30.175519999999999</v>
      </c>
      <c r="D3" s="15">
        <v>-85.735150000000004</v>
      </c>
      <c r="E3" s="15">
        <v>0</v>
      </c>
      <c r="F3" s="15">
        <v>0</v>
      </c>
      <c r="G3" s="15">
        <v>0</v>
      </c>
      <c r="H3" s="15">
        <v>0</v>
      </c>
      <c r="I3" s="15">
        <v>0</v>
      </c>
      <c r="J3" s="18">
        <v>0</v>
      </c>
      <c r="K3" s="15">
        <v>0</v>
      </c>
      <c r="L3" s="15">
        <v>0</v>
      </c>
      <c r="M3" s="15">
        <v>0</v>
      </c>
      <c r="N3" s="15">
        <v>0</v>
      </c>
      <c r="O3" s="15">
        <v>0</v>
      </c>
      <c r="P3" s="15">
        <v>0</v>
      </c>
      <c r="Q3" s="18" t="s">
        <v>1149</v>
      </c>
      <c r="R3" s="17"/>
      <c r="Y3" s="19"/>
      <c r="AF3" s="19"/>
      <c r="AG3" s="17"/>
      <c r="AV3" s="17"/>
      <c r="BK3" s="17"/>
      <c r="BZ3" s="17"/>
      <c r="CO3" s="17"/>
      <c r="DD3" s="17"/>
      <c r="DE3" s="17"/>
      <c r="DS3" s="17"/>
      <c r="DT3" s="17"/>
      <c r="EH3" s="17"/>
      <c r="EI3" s="17"/>
      <c r="EW3" s="17"/>
      <c r="EX3" s="17"/>
      <c r="FL3" s="17"/>
      <c r="FM3" s="17"/>
      <c r="GA3" s="17"/>
      <c r="GB3" s="17"/>
      <c r="GP3" s="17"/>
      <c r="GQ3" s="17"/>
      <c r="HE3" s="17"/>
      <c r="HF3" s="17"/>
      <c r="HT3" s="17"/>
      <c r="HU3" s="17"/>
      <c r="II3" s="42"/>
      <c r="IJ3" s="42"/>
      <c r="IK3" s="42"/>
      <c r="IL3" s="42"/>
      <c r="IM3" s="42"/>
      <c r="IN3" s="42"/>
      <c r="IO3" s="42"/>
      <c r="IP3" s="42"/>
      <c r="IQ3" s="42"/>
      <c r="IR3" s="42"/>
      <c r="IS3" s="42"/>
      <c r="IT3" s="42"/>
      <c r="IU3" s="42"/>
      <c r="IV3" s="42"/>
      <c r="IW3" s="42"/>
      <c r="IX3" s="42"/>
      <c r="IY3" s="42"/>
      <c r="IZ3" s="42"/>
      <c r="JA3" s="42"/>
      <c r="JB3" s="42"/>
      <c r="JC3" s="42"/>
      <c r="JD3" s="42"/>
      <c r="JE3" s="42"/>
      <c r="JF3" s="42"/>
      <c r="JG3" s="42"/>
      <c r="JH3" s="42"/>
      <c r="JI3" s="42"/>
      <c r="JJ3" s="42"/>
      <c r="JK3" s="42"/>
      <c r="JL3" s="42"/>
      <c r="JM3" s="42"/>
      <c r="JN3" s="42"/>
      <c r="JO3" s="42"/>
      <c r="JP3" s="42"/>
      <c r="JQ3" s="42"/>
      <c r="JR3" s="42"/>
      <c r="JS3" s="42"/>
      <c r="JT3" s="42"/>
      <c r="JU3" s="42"/>
      <c r="JV3" s="42"/>
      <c r="JW3" s="42"/>
      <c r="JX3" s="42"/>
      <c r="JY3" s="42"/>
      <c r="JZ3" s="42"/>
      <c r="KA3" s="42"/>
    </row>
    <row r="4" spans="1:311" ht="64.5">
      <c r="A4" s="13" t="s">
        <v>72</v>
      </c>
      <c r="B4" s="13" t="s">
        <v>65</v>
      </c>
      <c r="C4" s="15">
        <v>29.953810000000001</v>
      </c>
      <c r="D4" s="15">
        <v>-85.445800000000006</v>
      </c>
      <c r="E4" s="15">
        <v>0</v>
      </c>
      <c r="F4" s="15">
        <v>0</v>
      </c>
      <c r="G4" s="15">
        <v>0</v>
      </c>
      <c r="H4" s="15">
        <v>0</v>
      </c>
      <c r="I4" s="15">
        <v>0</v>
      </c>
      <c r="J4" s="18">
        <v>0</v>
      </c>
      <c r="K4" s="15">
        <v>0</v>
      </c>
      <c r="L4" s="15">
        <v>0</v>
      </c>
      <c r="M4" s="15">
        <v>3</v>
      </c>
      <c r="N4" s="18" t="s">
        <v>1150</v>
      </c>
      <c r="Q4" s="18"/>
      <c r="R4" s="17"/>
      <c r="Y4" s="19"/>
      <c r="AF4" s="19"/>
      <c r="AG4" s="17"/>
      <c r="AV4" s="17"/>
      <c r="BK4" s="17"/>
      <c r="BZ4" s="17"/>
      <c r="CO4" s="17"/>
      <c r="DD4" s="17"/>
      <c r="DE4" s="17"/>
      <c r="DS4" s="17"/>
      <c r="DT4" s="17"/>
      <c r="EH4" s="17"/>
      <c r="EI4" s="17"/>
      <c r="EW4" s="17"/>
      <c r="EX4" s="17"/>
      <c r="FL4" s="17"/>
      <c r="FM4" s="17"/>
      <c r="GA4" s="17"/>
      <c r="GB4" s="17"/>
      <c r="GP4" s="17"/>
      <c r="GQ4" s="17"/>
      <c r="HE4" s="17"/>
      <c r="HF4" s="17"/>
      <c r="HT4" s="17"/>
      <c r="HU4" s="17"/>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2"/>
      <c r="JT4" s="42"/>
      <c r="JU4" s="42"/>
      <c r="JV4" s="42"/>
      <c r="JW4" s="42"/>
      <c r="JX4" s="42"/>
      <c r="JY4" s="42"/>
      <c r="JZ4" s="42"/>
      <c r="KA4" s="42"/>
    </row>
    <row r="5" spans="1:311">
      <c r="A5" s="13" t="s">
        <v>75</v>
      </c>
      <c r="B5" s="13" t="s">
        <v>65</v>
      </c>
      <c r="C5" s="17"/>
      <c r="J5" s="18"/>
      <c r="Q5" s="18"/>
      <c r="R5" s="17"/>
      <c r="Y5" s="19"/>
      <c r="AF5" s="18"/>
      <c r="AG5" s="17"/>
      <c r="AV5" s="17"/>
      <c r="BK5" s="17"/>
      <c r="BZ5" s="17"/>
      <c r="CO5" s="17"/>
      <c r="DD5" s="17"/>
      <c r="DE5" s="17"/>
      <c r="DS5" s="17"/>
      <c r="DT5" s="17"/>
      <c r="EH5" s="17"/>
      <c r="EI5" s="17"/>
      <c r="EW5" s="17"/>
      <c r="EX5" s="17"/>
      <c r="FL5" s="17"/>
      <c r="FM5" s="17"/>
      <c r="GA5" s="17"/>
      <c r="GB5" s="17"/>
      <c r="GP5" s="17"/>
      <c r="GQ5" s="17"/>
      <c r="HE5" s="17"/>
      <c r="HF5" s="17"/>
      <c r="HT5" s="17"/>
      <c r="HU5" s="17"/>
      <c r="II5" s="42"/>
      <c r="IJ5" s="42"/>
      <c r="IK5" s="42"/>
      <c r="IL5" s="42"/>
      <c r="IM5" s="42"/>
      <c r="IN5" s="42"/>
      <c r="IO5" s="42"/>
      <c r="IP5" s="42"/>
      <c r="IQ5" s="42"/>
      <c r="IR5" s="42"/>
      <c r="IS5" s="42"/>
      <c r="IT5" s="42"/>
      <c r="IU5" s="42"/>
      <c r="IV5" s="42"/>
      <c r="IW5" s="42"/>
      <c r="IX5" s="42"/>
      <c r="IY5" s="42"/>
      <c r="IZ5" s="42"/>
      <c r="JA5" s="42"/>
      <c r="JB5" s="42"/>
      <c r="JC5" s="42"/>
      <c r="JD5" s="42"/>
      <c r="JE5" s="42"/>
      <c r="JF5" s="42"/>
      <c r="JG5" s="42"/>
      <c r="JH5" s="42"/>
      <c r="JI5" s="42"/>
      <c r="JJ5" s="42"/>
      <c r="JK5" s="42"/>
      <c r="JL5" s="42"/>
      <c r="JM5" s="42"/>
      <c r="JN5" s="42"/>
      <c r="JO5" s="42"/>
      <c r="JP5" s="42"/>
      <c r="JQ5" s="42"/>
      <c r="JR5" s="42"/>
      <c r="JS5" s="42"/>
      <c r="JT5" s="42"/>
      <c r="JU5" s="42"/>
      <c r="JV5" s="42"/>
      <c r="JW5" s="42"/>
      <c r="JX5" s="42"/>
      <c r="JY5" s="42"/>
      <c r="JZ5" s="42"/>
      <c r="KA5" s="42"/>
    </row>
    <row r="6" spans="1:311" ht="64.5">
      <c r="A6" s="13" t="s">
        <v>80</v>
      </c>
      <c r="B6" s="13" t="s">
        <v>65</v>
      </c>
      <c r="C6" s="15">
        <v>30.267861</v>
      </c>
      <c r="D6" s="15">
        <v>-85.992779999999996</v>
      </c>
      <c r="E6" s="15">
        <v>0</v>
      </c>
      <c r="F6" s="15">
        <v>0</v>
      </c>
      <c r="G6" s="15">
        <v>0</v>
      </c>
      <c r="H6" s="15">
        <v>0</v>
      </c>
      <c r="I6" s="15">
        <v>0</v>
      </c>
      <c r="J6" s="18">
        <v>0</v>
      </c>
      <c r="K6" s="15">
        <v>0</v>
      </c>
      <c r="L6" s="15">
        <v>0</v>
      </c>
      <c r="M6" s="15">
        <v>6</v>
      </c>
      <c r="N6" s="18" t="s">
        <v>1151</v>
      </c>
      <c r="Q6" s="18"/>
      <c r="R6" s="17"/>
      <c r="Y6" s="18"/>
      <c r="AF6" s="18"/>
      <c r="AG6" s="17"/>
      <c r="AV6" s="17"/>
      <c r="BK6" s="17"/>
      <c r="BZ6" s="17"/>
      <c r="CO6" s="17"/>
      <c r="DD6" s="17"/>
      <c r="DE6" s="17"/>
      <c r="DS6" s="17"/>
      <c r="DT6" s="17"/>
      <c r="EH6" s="17"/>
      <c r="EI6" s="17"/>
      <c r="EW6" s="17"/>
      <c r="EX6" s="17"/>
      <c r="FL6" s="17"/>
      <c r="FM6" s="17"/>
      <c r="GA6" s="17"/>
      <c r="GB6" s="17"/>
      <c r="GP6" s="17"/>
      <c r="GQ6" s="17"/>
      <c r="HE6" s="17"/>
      <c r="HF6" s="17"/>
      <c r="HT6" s="17"/>
      <c r="HU6" s="17"/>
      <c r="II6" s="42"/>
      <c r="IJ6" s="42"/>
      <c r="IK6" s="42"/>
      <c r="IL6" s="42"/>
      <c r="IM6" s="42"/>
      <c r="IN6" s="42"/>
      <c r="IO6" s="42"/>
      <c r="IP6" s="42"/>
      <c r="IQ6" s="42"/>
      <c r="IR6" s="42"/>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row>
    <row r="7" spans="1:311" ht="39">
      <c r="A7" s="13" t="s">
        <v>84</v>
      </c>
      <c r="B7" s="13" t="s">
        <v>65</v>
      </c>
      <c r="C7" s="15">
        <v>29.954540000000001</v>
      </c>
      <c r="D7" s="15">
        <v>-85.448049999999995</v>
      </c>
      <c r="E7" s="15">
        <v>0</v>
      </c>
      <c r="F7" s="15">
        <v>0</v>
      </c>
      <c r="G7" s="15">
        <v>0</v>
      </c>
      <c r="H7" s="15">
        <v>0</v>
      </c>
      <c r="I7" s="15">
        <v>0</v>
      </c>
      <c r="J7" s="18">
        <v>0</v>
      </c>
      <c r="K7" s="15">
        <v>0</v>
      </c>
      <c r="L7" s="15">
        <v>0</v>
      </c>
      <c r="M7" s="15">
        <v>1</v>
      </c>
      <c r="N7" s="18" t="s">
        <v>1152</v>
      </c>
      <c r="O7" s="15">
        <v>0</v>
      </c>
      <c r="P7" s="15">
        <v>0</v>
      </c>
      <c r="Q7" s="18" t="s">
        <v>1153</v>
      </c>
      <c r="R7" s="15">
        <v>29.95506</v>
      </c>
      <c r="S7" s="15">
        <v>-85.449889999999996</v>
      </c>
      <c r="T7" s="15">
        <v>0</v>
      </c>
      <c r="U7" s="15">
        <v>0</v>
      </c>
      <c r="V7" s="15">
        <v>0</v>
      </c>
      <c r="W7" s="15">
        <v>0</v>
      </c>
      <c r="X7" s="15">
        <v>0</v>
      </c>
      <c r="Y7" s="18">
        <v>0</v>
      </c>
      <c r="Z7" s="15">
        <v>0</v>
      </c>
      <c r="AA7" s="15">
        <v>0</v>
      </c>
      <c r="AB7" s="15">
        <v>1</v>
      </c>
      <c r="AC7" s="15" t="s">
        <v>1154</v>
      </c>
      <c r="AD7" s="15">
        <v>0</v>
      </c>
      <c r="AE7" s="15">
        <v>0</v>
      </c>
      <c r="AF7" s="18" t="s">
        <v>1153</v>
      </c>
      <c r="AG7" s="15">
        <v>29.955970000000001</v>
      </c>
      <c r="AH7" s="15">
        <v>-85.456670000000003</v>
      </c>
      <c r="AI7" s="15">
        <v>0</v>
      </c>
      <c r="AJ7" s="15">
        <v>0</v>
      </c>
      <c r="AK7" s="15">
        <v>0</v>
      </c>
      <c r="AL7" s="15">
        <v>0</v>
      </c>
      <c r="AM7" s="15">
        <v>0</v>
      </c>
      <c r="AN7" s="15">
        <v>0</v>
      </c>
      <c r="AO7" s="15">
        <v>0</v>
      </c>
      <c r="AP7" s="15">
        <v>0</v>
      </c>
      <c r="AQ7" s="15">
        <v>1</v>
      </c>
      <c r="AR7" s="15" t="s">
        <v>1155</v>
      </c>
      <c r="AS7" s="15">
        <v>0</v>
      </c>
      <c r="AT7" s="15">
        <v>0</v>
      </c>
      <c r="AU7" s="15" t="s">
        <v>1153</v>
      </c>
      <c r="AV7" s="18">
        <v>29.95609</v>
      </c>
      <c r="AW7" s="15">
        <v>-85.462890000000002</v>
      </c>
      <c r="AX7" s="15">
        <v>0</v>
      </c>
      <c r="AY7" s="15">
        <v>0</v>
      </c>
      <c r="AZ7" s="15">
        <v>0</v>
      </c>
      <c r="BA7" s="15">
        <v>0</v>
      </c>
      <c r="BB7" s="15">
        <v>0</v>
      </c>
      <c r="BC7" s="15">
        <v>0</v>
      </c>
      <c r="BD7" s="15">
        <v>0</v>
      </c>
      <c r="BE7" s="15">
        <v>0</v>
      </c>
      <c r="BF7" s="15">
        <v>1</v>
      </c>
      <c r="BG7" s="15" t="s">
        <v>1156</v>
      </c>
      <c r="BH7" s="15">
        <v>0</v>
      </c>
      <c r="BI7" s="15">
        <v>0</v>
      </c>
      <c r="BJ7" s="15" t="s">
        <v>1153</v>
      </c>
      <c r="BK7" s="18">
        <v>29.95683</v>
      </c>
      <c r="BL7" s="15">
        <v>-85.474209999999999</v>
      </c>
      <c r="BM7" s="15">
        <v>0</v>
      </c>
      <c r="BN7" s="15">
        <v>0</v>
      </c>
      <c r="BO7" s="15">
        <v>0</v>
      </c>
      <c r="BP7" s="15">
        <v>0</v>
      </c>
      <c r="BQ7" s="15">
        <v>0</v>
      </c>
      <c r="BR7" s="15">
        <v>0</v>
      </c>
      <c r="BS7" s="15">
        <v>0</v>
      </c>
      <c r="BT7" s="15">
        <v>0</v>
      </c>
      <c r="BU7" s="15">
        <v>1</v>
      </c>
      <c r="BV7" s="15" t="s">
        <v>1157</v>
      </c>
      <c r="BW7" s="15">
        <v>0</v>
      </c>
      <c r="BX7" s="15">
        <v>0</v>
      </c>
      <c r="BY7" s="15" t="s">
        <v>1153</v>
      </c>
      <c r="BZ7" s="15">
        <v>29.959379999999999</v>
      </c>
      <c r="CA7" s="15">
        <v>-85.485590000000002</v>
      </c>
      <c r="CB7" s="15">
        <v>0</v>
      </c>
      <c r="CC7" s="15">
        <v>0</v>
      </c>
      <c r="CD7" s="15">
        <v>0</v>
      </c>
      <c r="CE7" s="15">
        <v>0</v>
      </c>
      <c r="CF7" s="15">
        <v>0</v>
      </c>
      <c r="CG7" s="15">
        <v>0</v>
      </c>
      <c r="CH7" s="15">
        <v>0</v>
      </c>
      <c r="CI7" s="15">
        <v>0</v>
      </c>
      <c r="CJ7" s="15">
        <v>0</v>
      </c>
      <c r="CK7" s="15">
        <v>0</v>
      </c>
      <c r="CL7" s="15">
        <v>0</v>
      </c>
      <c r="CM7" s="15">
        <v>0</v>
      </c>
      <c r="CN7" s="15" t="s">
        <v>1158</v>
      </c>
      <c r="CO7" s="15">
        <v>29.98565</v>
      </c>
      <c r="CP7" s="15">
        <v>-85.521180000000001</v>
      </c>
      <c r="CQ7" s="15">
        <v>0</v>
      </c>
      <c r="CR7" s="15">
        <v>0</v>
      </c>
      <c r="CS7" s="15">
        <v>0</v>
      </c>
      <c r="CT7" s="15">
        <v>0</v>
      </c>
      <c r="CU7" s="15">
        <v>0</v>
      </c>
      <c r="CV7" s="15">
        <v>0</v>
      </c>
      <c r="CW7" s="15">
        <v>0</v>
      </c>
      <c r="CX7" s="15">
        <v>0</v>
      </c>
      <c r="CY7" s="15">
        <v>3</v>
      </c>
      <c r="CZ7" s="15" t="s">
        <v>1159</v>
      </c>
      <c r="DA7" s="15">
        <v>0</v>
      </c>
      <c r="DB7" s="15">
        <v>0</v>
      </c>
      <c r="DC7" s="15" t="s">
        <v>1153</v>
      </c>
      <c r="DD7" s="15">
        <v>29.986070000000002</v>
      </c>
      <c r="DE7" s="15">
        <v>-85.520160000000004</v>
      </c>
      <c r="DF7" s="15">
        <v>0</v>
      </c>
      <c r="DG7" s="15">
        <v>0</v>
      </c>
      <c r="DH7" s="15">
        <v>0</v>
      </c>
      <c r="DI7" s="15">
        <v>0</v>
      </c>
      <c r="DJ7" s="15">
        <v>0</v>
      </c>
      <c r="DK7" s="15">
        <v>0</v>
      </c>
      <c r="DL7" s="15">
        <v>0</v>
      </c>
      <c r="DM7" s="15">
        <v>0</v>
      </c>
      <c r="DN7" s="15">
        <v>4</v>
      </c>
      <c r="DO7" s="15" t="s">
        <v>1160</v>
      </c>
      <c r="DP7" s="15">
        <v>0</v>
      </c>
      <c r="DQ7" s="15">
        <v>0</v>
      </c>
      <c r="DR7" s="15" t="s">
        <v>1153</v>
      </c>
      <c r="DS7" s="97"/>
      <c r="DT7" s="17"/>
      <c r="EH7" s="97"/>
      <c r="EI7" s="17"/>
      <c r="EW7" s="97"/>
      <c r="EX7" s="17"/>
      <c r="FL7" s="97"/>
      <c r="FM7" s="17"/>
      <c r="GA7" s="97"/>
      <c r="GB7" s="17"/>
      <c r="GP7" s="97"/>
      <c r="GQ7" s="17"/>
      <c r="HE7" s="97"/>
      <c r="HF7" s="17"/>
      <c r="HT7" s="97"/>
      <c r="HU7" s="17"/>
      <c r="II7" s="98"/>
      <c r="IJ7" s="42"/>
      <c r="IK7" s="42"/>
      <c r="IL7" s="42"/>
      <c r="IM7" s="42"/>
      <c r="IN7" s="42"/>
      <c r="IO7" s="42"/>
      <c r="IP7" s="42"/>
      <c r="IQ7" s="42"/>
      <c r="IR7" s="42"/>
      <c r="IS7" s="42"/>
      <c r="IT7" s="42"/>
      <c r="IU7" s="42"/>
      <c r="IV7" s="42"/>
      <c r="IW7" s="42"/>
      <c r="IX7" s="98"/>
      <c r="IY7" s="42"/>
      <c r="IZ7" s="42"/>
      <c r="JA7" s="42"/>
      <c r="JB7" s="42"/>
      <c r="JC7" s="42"/>
      <c r="JD7" s="42"/>
      <c r="JE7" s="42"/>
      <c r="JF7" s="42"/>
      <c r="JG7" s="42"/>
      <c r="JH7" s="42"/>
      <c r="JI7" s="42"/>
      <c r="JJ7" s="42"/>
      <c r="JK7" s="42"/>
      <c r="JL7" s="42"/>
      <c r="JM7" s="98"/>
      <c r="JN7" s="42"/>
      <c r="JO7" s="42"/>
      <c r="JP7" s="42"/>
      <c r="JQ7" s="42"/>
      <c r="JR7" s="42"/>
      <c r="JS7" s="42"/>
      <c r="JT7" s="42"/>
      <c r="JU7" s="42"/>
      <c r="JV7" s="42"/>
      <c r="JW7" s="42"/>
      <c r="JX7" s="42"/>
      <c r="JY7" s="42"/>
      <c r="JZ7" s="42"/>
      <c r="KA7" s="42"/>
    </row>
    <row r="8" spans="1:311" ht="90">
      <c r="A8" s="13" t="s">
        <v>85</v>
      </c>
      <c r="B8" s="13" t="s">
        <v>65</v>
      </c>
      <c r="C8" s="15">
        <v>30.002579999999998</v>
      </c>
      <c r="D8" s="15">
        <v>-85.529110000000003</v>
      </c>
      <c r="J8" s="18"/>
      <c r="M8" s="15">
        <v>12</v>
      </c>
      <c r="N8" s="18" t="s">
        <v>1161</v>
      </c>
      <c r="Y8" s="18"/>
      <c r="AV8" s="17"/>
      <c r="BK8" s="17"/>
      <c r="DD8" s="17"/>
      <c r="DE8" s="17"/>
      <c r="DS8" s="17"/>
      <c r="DT8" s="17"/>
      <c r="EH8" s="17"/>
      <c r="EI8" s="17"/>
      <c r="EW8" s="17"/>
      <c r="EX8" s="17"/>
      <c r="FL8" s="17"/>
      <c r="FM8" s="17"/>
      <c r="GA8" s="17"/>
      <c r="GB8" s="17"/>
      <c r="GP8" s="17"/>
      <c r="GQ8" s="17"/>
      <c r="HE8" s="17"/>
      <c r="HF8" s="17"/>
      <c r="HT8" s="17"/>
      <c r="HU8" s="17"/>
      <c r="II8" s="42"/>
      <c r="IJ8" s="42"/>
      <c r="IK8" s="42"/>
      <c r="IL8" s="42"/>
      <c r="IM8" s="42"/>
      <c r="IN8" s="42"/>
      <c r="IO8" s="42"/>
      <c r="IP8" s="42"/>
      <c r="IQ8" s="42"/>
      <c r="IR8" s="42"/>
      <c r="IS8" s="42"/>
      <c r="IT8" s="42"/>
      <c r="IU8" s="42"/>
      <c r="IV8" s="42"/>
      <c r="IW8" s="42"/>
      <c r="IX8" s="42"/>
      <c r="IY8" s="42"/>
      <c r="IZ8" s="42"/>
      <c r="JA8" s="42"/>
      <c r="JB8" s="42"/>
      <c r="JC8" s="42"/>
      <c r="JD8" s="42"/>
      <c r="JE8" s="42"/>
      <c r="JF8" s="42"/>
      <c r="JG8" s="42"/>
      <c r="JH8" s="42"/>
      <c r="JI8" s="42"/>
      <c r="JJ8" s="42"/>
      <c r="JK8" s="42"/>
      <c r="JL8" s="42"/>
      <c r="JM8" s="42"/>
      <c r="JN8" s="42"/>
      <c r="JO8" s="42"/>
      <c r="JP8" s="42"/>
      <c r="JQ8" s="42"/>
      <c r="JR8" s="42"/>
      <c r="JS8" s="42"/>
      <c r="JT8" s="42"/>
      <c r="JU8" s="42"/>
      <c r="JV8" s="42"/>
      <c r="JW8" s="42"/>
      <c r="JX8" s="42"/>
      <c r="JY8" s="42"/>
      <c r="JZ8" s="42"/>
      <c r="KA8" s="42"/>
    </row>
    <row r="9" spans="1:311" ht="90">
      <c r="A9" s="13" t="s">
        <v>86</v>
      </c>
      <c r="B9" s="13" t="s">
        <v>65</v>
      </c>
      <c r="C9" s="15">
        <v>30.033781000000001</v>
      </c>
      <c r="D9" s="15">
        <v>-85.577432000000002</v>
      </c>
      <c r="E9" s="15">
        <v>0</v>
      </c>
      <c r="F9" s="15">
        <v>0</v>
      </c>
      <c r="G9" s="15">
        <v>0</v>
      </c>
      <c r="H9" s="15">
        <v>0</v>
      </c>
      <c r="I9" s="15">
        <v>0</v>
      </c>
      <c r="J9" s="18">
        <v>0</v>
      </c>
      <c r="K9" s="15">
        <v>0</v>
      </c>
      <c r="L9" s="15">
        <v>0</v>
      </c>
      <c r="M9" s="15">
        <v>2</v>
      </c>
      <c r="N9" s="18" t="s">
        <v>1162</v>
      </c>
      <c r="O9" s="15">
        <v>0</v>
      </c>
      <c r="P9" s="15">
        <v>0</v>
      </c>
      <c r="Q9" s="18" t="s">
        <v>1153</v>
      </c>
      <c r="R9" s="15">
        <v>30.024881000000001</v>
      </c>
      <c r="S9" s="15">
        <v>-85.567291999999995</v>
      </c>
      <c r="T9" s="15">
        <v>0</v>
      </c>
      <c r="U9" s="15">
        <v>0</v>
      </c>
      <c r="V9" s="15">
        <v>0</v>
      </c>
      <c r="W9" s="15">
        <v>0</v>
      </c>
      <c r="X9" s="15">
        <v>0</v>
      </c>
      <c r="Y9" s="18">
        <v>0</v>
      </c>
      <c r="Z9" s="15">
        <v>0</v>
      </c>
      <c r="AA9" s="15">
        <v>0</v>
      </c>
      <c r="AB9" s="15">
        <v>2</v>
      </c>
      <c r="AC9" s="15" t="s">
        <v>1163</v>
      </c>
      <c r="AD9" s="15">
        <v>0</v>
      </c>
      <c r="AE9" s="15">
        <v>0</v>
      </c>
      <c r="AF9" s="18" t="s">
        <v>1153</v>
      </c>
      <c r="AG9" s="18">
        <v>30.021276</v>
      </c>
      <c r="AH9" s="18">
        <v>-85.563471000000007</v>
      </c>
      <c r="AI9" s="18">
        <v>0</v>
      </c>
      <c r="AJ9" s="18">
        <v>0</v>
      </c>
      <c r="AK9" s="18">
        <v>0</v>
      </c>
      <c r="AL9" s="18">
        <v>0</v>
      </c>
      <c r="AM9" s="18">
        <v>0</v>
      </c>
      <c r="AN9" s="18">
        <v>0</v>
      </c>
      <c r="AO9" s="18">
        <v>0</v>
      </c>
      <c r="AP9" s="18">
        <v>0</v>
      </c>
      <c r="AQ9" s="18">
        <v>0</v>
      </c>
      <c r="AR9" s="18">
        <v>0</v>
      </c>
      <c r="AS9" s="18">
        <v>0</v>
      </c>
      <c r="AT9" s="18">
        <v>0</v>
      </c>
      <c r="AU9" s="18" t="s">
        <v>1164</v>
      </c>
      <c r="AV9" s="18">
        <v>30.006668000000001</v>
      </c>
      <c r="AW9" s="18">
        <v>-85.544416999999996</v>
      </c>
      <c r="AX9" s="18">
        <v>0</v>
      </c>
      <c r="AY9" s="18">
        <v>0</v>
      </c>
      <c r="AZ9" s="18">
        <v>0</v>
      </c>
      <c r="BA9" s="18">
        <v>0</v>
      </c>
      <c r="BB9" s="18">
        <v>0</v>
      </c>
      <c r="BC9" s="18">
        <v>0</v>
      </c>
      <c r="BD9" s="18">
        <v>0</v>
      </c>
      <c r="BE9" s="18">
        <v>0</v>
      </c>
      <c r="BF9" s="18">
        <v>2</v>
      </c>
      <c r="BG9" s="18" t="s">
        <v>1165</v>
      </c>
      <c r="BH9" s="18" t="s">
        <v>1166</v>
      </c>
      <c r="BI9" s="18">
        <v>0</v>
      </c>
      <c r="BJ9" s="18" t="s">
        <v>1153</v>
      </c>
      <c r="BK9" s="18">
        <v>30.004857999999999</v>
      </c>
      <c r="BL9" s="18">
        <v>-85.535481000000004</v>
      </c>
      <c r="BM9" s="18">
        <v>0</v>
      </c>
      <c r="BN9" s="18">
        <v>0</v>
      </c>
      <c r="BO9" s="18">
        <v>0</v>
      </c>
      <c r="BP9" s="18">
        <v>0</v>
      </c>
      <c r="BQ9" s="18">
        <v>0</v>
      </c>
      <c r="BR9" s="18">
        <v>0</v>
      </c>
      <c r="BS9" s="18">
        <v>0</v>
      </c>
      <c r="BT9" s="18">
        <v>0</v>
      </c>
      <c r="BU9" s="18">
        <v>1</v>
      </c>
      <c r="BV9" s="18" t="s">
        <v>1167</v>
      </c>
      <c r="BW9" s="18">
        <v>0</v>
      </c>
      <c r="BX9" s="18">
        <v>0</v>
      </c>
      <c r="BY9" s="18" t="s">
        <v>1153</v>
      </c>
      <c r="BZ9" s="18">
        <v>30.004017000000001</v>
      </c>
      <c r="CA9" s="18">
        <v>-85.540948</v>
      </c>
      <c r="CB9" s="18">
        <v>0</v>
      </c>
      <c r="CC9" s="18">
        <v>0</v>
      </c>
      <c r="CD9" s="18">
        <v>0</v>
      </c>
      <c r="CE9" s="18">
        <v>0</v>
      </c>
      <c r="CF9" s="18">
        <v>0</v>
      </c>
      <c r="CG9" s="18">
        <v>0</v>
      </c>
      <c r="CH9" s="18">
        <v>0</v>
      </c>
      <c r="CI9" s="18">
        <v>0</v>
      </c>
      <c r="CJ9" s="18">
        <v>6</v>
      </c>
      <c r="CK9" s="18" t="s">
        <v>1168</v>
      </c>
      <c r="CL9" s="18">
        <v>0</v>
      </c>
      <c r="CM9" s="18">
        <v>0</v>
      </c>
      <c r="CN9" s="18" t="s">
        <v>1169</v>
      </c>
      <c r="CO9" s="18">
        <v>30.008033999999999</v>
      </c>
      <c r="CP9" s="18">
        <v>-85.547850999999994</v>
      </c>
      <c r="CQ9" s="18">
        <v>0</v>
      </c>
      <c r="CR9" s="18">
        <v>0</v>
      </c>
      <c r="CS9" s="18">
        <v>0</v>
      </c>
      <c r="CT9" s="18">
        <v>0</v>
      </c>
      <c r="CU9" s="18">
        <v>0</v>
      </c>
      <c r="CV9" s="18">
        <v>0</v>
      </c>
      <c r="CW9" s="18">
        <v>0</v>
      </c>
      <c r="CX9" s="18">
        <v>0</v>
      </c>
      <c r="CY9" s="18">
        <v>1</v>
      </c>
      <c r="CZ9" s="18" t="s">
        <v>1170</v>
      </c>
      <c r="DA9" s="18">
        <v>0</v>
      </c>
      <c r="DB9" s="18">
        <v>0</v>
      </c>
      <c r="DC9" s="18" t="s">
        <v>1153</v>
      </c>
      <c r="DD9" s="18">
        <v>30.01643</v>
      </c>
      <c r="DE9" s="18">
        <v>-85.558471999999995</v>
      </c>
      <c r="DF9" s="18">
        <v>0</v>
      </c>
      <c r="DG9" s="18">
        <v>0</v>
      </c>
      <c r="DH9" s="18">
        <v>0</v>
      </c>
      <c r="DI9" s="18">
        <v>0</v>
      </c>
      <c r="DJ9" s="18">
        <v>0</v>
      </c>
      <c r="DK9" s="18">
        <v>0</v>
      </c>
      <c r="DL9" s="18">
        <v>0</v>
      </c>
      <c r="DM9" s="18">
        <v>0</v>
      </c>
      <c r="DN9" s="18">
        <v>1</v>
      </c>
      <c r="DO9" s="18" t="s">
        <v>1171</v>
      </c>
      <c r="DP9" s="18">
        <v>0</v>
      </c>
      <c r="DQ9" s="18">
        <v>0</v>
      </c>
      <c r="DR9" s="18" t="s">
        <v>1153</v>
      </c>
      <c r="DS9" s="18">
        <v>30.032571999999998</v>
      </c>
      <c r="DT9" s="18">
        <v>-85.558471999999995</v>
      </c>
      <c r="DU9" s="18">
        <v>0</v>
      </c>
      <c r="DV9" s="18">
        <v>0</v>
      </c>
      <c r="DW9" s="18">
        <v>0</v>
      </c>
      <c r="DX9" s="18">
        <v>0</v>
      </c>
      <c r="DY9" s="18">
        <v>0</v>
      </c>
      <c r="DZ9" s="18">
        <v>0</v>
      </c>
      <c r="EA9" s="18">
        <v>0</v>
      </c>
      <c r="EB9" s="18">
        <v>0</v>
      </c>
      <c r="EC9" s="18">
        <v>1</v>
      </c>
      <c r="ED9" s="18" t="s">
        <v>1172</v>
      </c>
      <c r="EE9" s="18">
        <v>0</v>
      </c>
      <c r="EF9" s="18">
        <v>0</v>
      </c>
      <c r="EG9" s="18" t="s">
        <v>1153</v>
      </c>
      <c r="EH9" s="18"/>
      <c r="EI9" s="18"/>
      <c r="EJ9" s="18"/>
      <c r="EK9" s="18"/>
      <c r="EL9" s="18"/>
      <c r="EM9" s="18"/>
      <c r="EN9" s="18"/>
      <c r="EO9" s="18"/>
      <c r="EP9" s="18"/>
      <c r="EQ9" s="18"/>
      <c r="ER9" s="18"/>
      <c r="ES9" s="18"/>
      <c r="ET9" s="18"/>
      <c r="EU9" s="18"/>
      <c r="EV9" s="18"/>
      <c r="EW9" s="17"/>
      <c r="EX9" s="17"/>
      <c r="FL9" s="17"/>
      <c r="FM9" s="17"/>
      <c r="GA9" s="17"/>
      <c r="GB9" s="17"/>
      <c r="GP9" s="17"/>
      <c r="GQ9" s="17"/>
      <c r="HE9" s="17"/>
      <c r="HF9" s="17"/>
      <c r="HT9" s="17"/>
      <c r="HU9" s="17"/>
      <c r="II9" s="42"/>
      <c r="IJ9" s="42"/>
      <c r="IK9" s="42"/>
      <c r="IL9" s="42"/>
      <c r="IM9" s="42"/>
      <c r="IN9" s="42"/>
      <c r="IO9" s="42"/>
      <c r="IP9" s="42"/>
      <c r="IQ9" s="42"/>
      <c r="IR9" s="42"/>
      <c r="IS9" s="42"/>
      <c r="IT9" s="42"/>
      <c r="IU9" s="42"/>
      <c r="IV9" s="42"/>
      <c r="IW9" s="42"/>
      <c r="IX9" s="42"/>
      <c r="IY9" s="42"/>
      <c r="IZ9" s="42"/>
      <c r="JA9" s="42"/>
      <c r="JB9" s="42"/>
      <c r="JC9" s="42"/>
      <c r="JD9" s="42"/>
      <c r="JE9" s="42"/>
      <c r="JF9" s="42"/>
      <c r="JG9" s="42"/>
      <c r="JH9" s="42"/>
      <c r="JI9" s="42"/>
      <c r="JJ9" s="42"/>
      <c r="JK9" s="42"/>
      <c r="JL9" s="42"/>
      <c r="JM9" s="42"/>
      <c r="JN9" s="42"/>
      <c r="JO9" s="42"/>
      <c r="JP9" s="42"/>
      <c r="JQ9" s="42"/>
      <c r="JR9" s="42"/>
      <c r="JS9" s="42"/>
      <c r="JT9" s="42"/>
      <c r="JU9" s="42"/>
      <c r="JV9" s="42"/>
      <c r="JW9" s="42"/>
      <c r="JX9" s="42"/>
      <c r="JY9" s="42"/>
      <c r="JZ9" s="42"/>
      <c r="KA9" s="42"/>
    </row>
    <row r="10" spans="1:311">
      <c r="A10" s="13" t="s">
        <v>89</v>
      </c>
      <c r="B10" s="13" t="s">
        <v>65</v>
      </c>
      <c r="C10" s="17"/>
      <c r="J10" s="18"/>
      <c r="Q10" s="18"/>
      <c r="R10" s="17"/>
      <c r="Y10" s="18"/>
      <c r="AF10" s="18"/>
      <c r="AG10" s="17"/>
      <c r="AV10" s="17"/>
      <c r="BK10" s="17"/>
      <c r="BZ10" s="17"/>
      <c r="CO10" s="17"/>
      <c r="DD10" s="17"/>
      <c r="DE10" s="17"/>
      <c r="DS10" s="17"/>
      <c r="DT10" s="17"/>
      <c r="EH10" s="17"/>
      <c r="EI10" s="17"/>
      <c r="EW10" s="17"/>
      <c r="EX10" s="17"/>
      <c r="FL10" s="17"/>
      <c r="FM10" s="17"/>
      <c r="GA10" s="17"/>
      <c r="GB10" s="17"/>
      <c r="GP10" s="17"/>
      <c r="GQ10" s="17"/>
      <c r="HE10" s="17"/>
      <c r="HF10" s="17"/>
      <c r="HT10" s="17"/>
      <c r="HU10" s="17"/>
      <c r="II10" s="42"/>
      <c r="IJ10" s="42"/>
      <c r="IK10" s="42"/>
      <c r="IL10" s="42"/>
      <c r="IM10" s="42"/>
      <c r="IN10" s="42"/>
      <c r="IO10" s="42"/>
      <c r="IP10" s="42"/>
      <c r="IQ10" s="42"/>
      <c r="IR10" s="42"/>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row>
    <row r="11" spans="1:311">
      <c r="A11" s="20" t="s">
        <v>93</v>
      </c>
      <c r="B11" s="13" t="s">
        <v>65</v>
      </c>
      <c r="C11" s="17"/>
      <c r="J11" s="19"/>
      <c r="Q11" s="18"/>
      <c r="R11" s="17"/>
      <c r="Y11" s="19"/>
      <c r="AF11" s="19"/>
      <c r="AG11" s="17"/>
      <c r="AV11" s="17"/>
      <c r="BK11" s="17"/>
      <c r="BZ11" s="17"/>
      <c r="CO11" s="17"/>
      <c r="DD11" s="17"/>
      <c r="DE11" s="17"/>
      <c r="DS11" s="17"/>
      <c r="DT11" s="17"/>
      <c r="EH11" s="17"/>
      <c r="EI11" s="17"/>
      <c r="EW11" s="17"/>
      <c r="EX11" s="17"/>
      <c r="FL11" s="17"/>
      <c r="FM11" s="17"/>
      <c r="GA11" s="17"/>
      <c r="GB11" s="17"/>
      <c r="GP11" s="17"/>
      <c r="GQ11" s="17"/>
      <c r="HE11" s="17"/>
      <c r="HF11" s="17"/>
      <c r="HT11" s="17"/>
      <c r="HU11" s="17"/>
      <c r="II11" s="42"/>
      <c r="IJ11" s="42"/>
      <c r="IK11" s="42"/>
      <c r="IL11" s="42"/>
      <c r="IM11" s="42"/>
      <c r="IN11" s="42"/>
      <c r="IO11" s="42"/>
      <c r="IP11" s="42"/>
      <c r="IQ11" s="42"/>
      <c r="IR11" s="42"/>
      <c r="IS11" s="42"/>
      <c r="IT11" s="42"/>
      <c r="IU11" s="42"/>
      <c r="IV11" s="42"/>
      <c r="IW11" s="42"/>
      <c r="IX11" s="42"/>
      <c r="IY11" s="42"/>
      <c r="IZ11" s="42"/>
      <c r="JA11" s="42"/>
      <c r="JB11" s="42"/>
      <c r="JC11" s="42"/>
      <c r="JD11" s="42"/>
      <c r="JE11" s="42"/>
      <c r="JF11" s="42"/>
      <c r="JG11" s="42"/>
      <c r="JH11" s="42"/>
      <c r="JI11" s="42"/>
      <c r="JJ11" s="42"/>
      <c r="JK11" s="42"/>
      <c r="JL11" s="42"/>
      <c r="JM11" s="42"/>
      <c r="JN11" s="42"/>
      <c r="JO11" s="42"/>
      <c r="JP11" s="42"/>
      <c r="JQ11" s="42"/>
      <c r="JR11" s="42"/>
      <c r="JS11" s="42"/>
      <c r="JT11" s="42"/>
      <c r="JU11" s="42"/>
      <c r="JV11" s="42"/>
      <c r="JW11" s="42"/>
      <c r="JX11" s="42"/>
      <c r="JY11" s="42"/>
      <c r="JZ11" s="42"/>
      <c r="KA11" s="42"/>
    </row>
    <row r="12" spans="1:311" ht="90">
      <c r="A12" s="13" t="s">
        <v>94</v>
      </c>
      <c r="B12" s="13" t="s">
        <v>65</v>
      </c>
      <c r="C12" s="15">
        <v>30.103269999999998</v>
      </c>
      <c r="D12" s="15">
        <v>-85.706630000000004</v>
      </c>
      <c r="J12" s="19"/>
      <c r="M12" s="15">
        <v>5</v>
      </c>
      <c r="N12" s="18" t="s">
        <v>1173</v>
      </c>
      <c r="Q12" s="18"/>
      <c r="R12" s="15">
        <v>30.111540000000002</v>
      </c>
      <c r="S12" s="15">
        <v>-85.719409999999996</v>
      </c>
      <c r="Y12" s="19"/>
      <c r="AB12" s="15">
        <v>7</v>
      </c>
      <c r="AC12" s="18" t="s">
        <v>1174</v>
      </c>
      <c r="AF12" s="19"/>
      <c r="AG12" s="15">
        <v>30.115490000000001</v>
      </c>
      <c r="AH12" s="15">
        <v>-85.725390000000004</v>
      </c>
      <c r="AQ12" s="15">
        <v>1</v>
      </c>
      <c r="AR12" s="15" t="s">
        <v>1175</v>
      </c>
      <c r="AV12" s="15">
        <v>30.09235</v>
      </c>
      <c r="AW12" s="15">
        <v>-85.685590000000005</v>
      </c>
      <c r="BF12" s="15">
        <v>3</v>
      </c>
      <c r="BG12" s="18" t="s">
        <v>1176</v>
      </c>
      <c r="BK12" s="17"/>
      <c r="BZ12" s="17"/>
      <c r="CO12" s="17"/>
      <c r="DD12" s="17"/>
      <c r="DE12" s="17"/>
      <c r="DS12" s="17"/>
      <c r="DT12" s="17"/>
      <c r="EH12" s="17"/>
      <c r="EI12" s="17"/>
      <c r="EW12" s="17"/>
      <c r="EX12" s="17"/>
      <c r="FL12" s="17"/>
      <c r="FM12" s="17"/>
      <c r="GA12" s="17"/>
      <c r="GB12" s="17"/>
      <c r="GP12" s="17"/>
      <c r="GQ12" s="17"/>
      <c r="HE12" s="17"/>
      <c r="HF12" s="17"/>
      <c r="HT12" s="17"/>
      <c r="HU12" s="17"/>
      <c r="II12" s="42"/>
      <c r="IJ12" s="42"/>
      <c r="IK12" s="42"/>
      <c r="IL12" s="42"/>
      <c r="IM12" s="42"/>
      <c r="IN12" s="42"/>
      <c r="IO12" s="42"/>
      <c r="IP12" s="42"/>
      <c r="IQ12" s="42"/>
      <c r="IR12" s="42"/>
      <c r="IS12" s="42"/>
      <c r="IT12" s="42"/>
      <c r="IU12" s="42"/>
      <c r="IV12" s="42"/>
      <c r="IW12" s="42"/>
      <c r="IX12" s="42"/>
      <c r="IY12" s="42"/>
      <c r="IZ12" s="42"/>
      <c r="JA12" s="42"/>
      <c r="JB12" s="42"/>
      <c r="JC12" s="42"/>
      <c r="JD12" s="42"/>
      <c r="JE12" s="42"/>
      <c r="JF12" s="42"/>
      <c r="JG12" s="42"/>
      <c r="JH12" s="42"/>
      <c r="JI12" s="42"/>
      <c r="JJ12" s="42"/>
      <c r="JK12" s="42"/>
      <c r="JL12" s="42"/>
      <c r="JM12" s="42"/>
      <c r="JN12" s="42"/>
      <c r="JO12" s="42"/>
      <c r="JP12" s="42"/>
      <c r="JQ12" s="42"/>
      <c r="JR12" s="42"/>
      <c r="JS12" s="42"/>
      <c r="JT12" s="42"/>
      <c r="JU12" s="42"/>
      <c r="JV12" s="42"/>
      <c r="JW12" s="42"/>
      <c r="JX12" s="42"/>
      <c r="JY12" s="42"/>
      <c r="JZ12" s="42"/>
      <c r="KA12" s="42"/>
    </row>
    <row r="13" spans="1:311">
      <c r="A13" s="13" t="s">
        <v>97</v>
      </c>
      <c r="B13" s="13" t="s">
        <v>65</v>
      </c>
      <c r="C13" s="17"/>
      <c r="E13" s="15">
        <v>0</v>
      </c>
      <c r="F13" s="15">
        <v>0</v>
      </c>
      <c r="G13" s="15">
        <v>0</v>
      </c>
      <c r="H13" s="15">
        <v>0</v>
      </c>
      <c r="I13" s="15">
        <v>0</v>
      </c>
      <c r="J13" s="18">
        <v>0</v>
      </c>
      <c r="K13" s="15">
        <v>0</v>
      </c>
      <c r="L13" s="15">
        <v>0</v>
      </c>
      <c r="M13" s="15">
        <v>0</v>
      </c>
      <c r="N13" s="15">
        <v>0</v>
      </c>
      <c r="O13" s="15">
        <v>0</v>
      </c>
      <c r="P13" s="15">
        <v>0</v>
      </c>
      <c r="Q13" s="18">
        <v>0</v>
      </c>
      <c r="R13" s="17"/>
      <c r="Y13" s="18"/>
      <c r="AF13" s="18"/>
      <c r="AG13" s="17"/>
      <c r="AV13" s="17"/>
      <c r="BK13" s="17"/>
      <c r="BZ13" s="17"/>
      <c r="CO13" s="17"/>
      <c r="DD13" s="17"/>
      <c r="DE13" s="17"/>
      <c r="DS13" s="17"/>
      <c r="DT13" s="17"/>
      <c r="EH13" s="17"/>
      <c r="EI13" s="17"/>
      <c r="EW13" s="17"/>
      <c r="EX13" s="17"/>
      <c r="FL13" s="17"/>
      <c r="FM13" s="17"/>
      <c r="GA13" s="17"/>
      <c r="GB13" s="17"/>
      <c r="GP13" s="17"/>
      <c r="GQ13" s="17"/>
      <c r="HE13" s="17"/>
      <c r="HF13" s="17"/>
      <c r="HT13" s="17"/>
      <c r="HU13" s="17"/>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row>
    <row r="14" spans="1:311" ht="51.75">
      <c r="A14" s="13" t="s">
        <v>101</v>
      </c>
      <c r="B14" s="13" t="s">
        <v>65</v>
      </c>
      <c r="C14" s="15">
        <v>30.08775</v>
      </c>
      <c r="D14" s="15">
        <v>-85.675650000000005</v>
      </c>
      <c r="J14" s="19"/>
      <c r="M14" s="15">
        <v>2</v>
      </c>
      <c r="N14" s="18" t="s">
        <v>1177</v>
      </c>
      <c r="Q14" s="18"/>
      <c r="R14" s="15">
        <v>30.078659999999999</v>
      </c>
      <c r="S14" s="15">
        <v>-85.653779999999998</v>
      </c>
      <c r="Y14" s="19"/>
      <c r="AB14" s="15">
        <v>4</v>
      </c>
      <c r="AC14" s="18" t="s">
        <v>1178</v>
      </c>
      <c r="AF14" s="18"/>
      <c r="AG14" s="15">
        <v>30.071480000000001</v>
      </c>
      <c r="AH14" s="15">
        <v>-85.637460000000004</v>
      </c>
      <c r="AQ14" s="15">
        <v>2</v>
      </c>
      <c r="AR14" s="18" t="s">
        <v>1179</v>
      </c>
      <c r="AV14" s="15">
        <v>30.063459999999999</v>
      </c>
      <c r="AW14" s="15">
        <v>-85.621089999999995</v>
      </c>
      <c r="BF14" s="15">
        <v>1</v>
      </c>
      <c r="BG14" s="15" t="s">
        <v>1180</v>
      </c>
      <c r="BK14" s="15">
        <v>30.064779999999999</v>
      </c>
      <c r="BL14" s="15">
        <v>-85.623769999999993</v>
      </c>
      <c r="BU14" s="15">
        <v>1</v>
      </c>
      <c r="BV14" s="15" t="s">
        <v>1181</v>
      </c>
      <c r="BZ14" s="15">
        <v>30.071149999999999</v>
      </c>
      <c r="CA14" s="15">
        <v>-85.636859999999999</v>
      </c>
      <c r="CJ14" s="15">
        <v>2</v>
      </c>
      <c r="CK14" s="15" t="s">
        <v>1182</v>
      </c>
      <c r="CO14" s="15">
        <v>30.07611</v>
      </c>
      <c r="CP14" s="15">
        <v>-85.647779999999997</v>
      </c>
      <c r="CY14" s="15">
        <v>1</v>
      </c>
      <c r="CZ14" s="15" t="s">
        <v>1183</v>
      </c>
      <c r="DD14" s="15">
        <v>30.078779999999998</v>
      </c>
      <c r="DE14" s="15">
        <v>-85.654020000000003</v>
      </c>
      <c r="DN14" s="15">
        <v>1</v>
      </c>
      <c r="DO14" s="15" t="s">
        <v>1184</v>
      </c>
      <c r="DS14" s="15">
        <v>30.087140000000002</v>
      </c>
      <c r="DT14" s="15">
        <v>-85.673969999999997</v>
      </c>
      <c r="EC14" s="15">
        <v>1</v>
      </c>
      <c r="ED14" s="15" t="s">
        <v>1185</v>
      </c>
      <c r="EH14" s="17"/>
      <c r="EI14" s="17"/>
      <c r="EW14" s="17"/>
      <c r="EX14" s="17"/>
      <c r="FL14" s="17"/>
      <c r="FM14" s="17"/>
      <c r="GA14" s="17"/>
      <c r="GB14" s="17"/>
      <c r="GP14" s="17"/>
      <c r="GQ14" s="17"/>
      <c r="HE14" s="17"/>
      <c r="HF14" s="17"/>
      <c r="HT14" s="17"/>
      <c r="HU14" s="17"/>
      <c r="II14" s="42"/>
      <c r="IJ14" s="42"/>
      <c r="IK14" s="42"/>
      <c r="IL14" s="42"/>
      <c r="IM14" s="42"/>
      <c r="IN14" s="42"/>
      <c r="IO14" s="42"/>
      <c r="IP14" s="42"/>
      <c r="IQ14" s="42"/>
      <c r="IR14" s="42"/>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row>
    <row r="15" spans="1:311" ht="90">
      <c r="A15" s="13" t="s">
        <v>102</v>
      </c>
      <c r="B15" s="13" t="s">
        <v>65</v>
      </c>
      <c r="C15" s="15">
        <v>30.261060000000001</v>
      </c>
      <c r="D15" s="15">
        <v>-85.735069999999993</v>
      </c>
      <c r="E15" s="15">
        <v>0</v>
      </c>
      <c r="F15" s="15">
        <v>0</v>
      </c>
      <c r="G15" s="15">
        <v>0</v>
      </c>
      <c r="H15" s="15">
        <v>0</v>
      </c>
      <c r="I15" s="15">
        <v>0</v>
      </c>
      <c r="J15" s="18">
        <v>0</v>
      </c>
      <c r="K15" s="15">
        <v>0</v>
      </c>
      <c r="L15" s="15">
        <v>0</v>
      </c>
      <c r="M15" s="15">
        <v>0</v>
      </c>
      <c r="N15" s="15">
        <v>0</v>
      </c>
      <c r="O15" s="15">
        <v>0</v>
      </c>
      <c r="P15" s="15">
        <v>0</v>
      </c>
      <c r="Q15" s="18" t="s">
        <v>1186</v>
      </c>
      <c r="R15" s="15">
        <v>30.264399999999998</v>
      </c>
      <c r="S15" s="15">
        <v>-85.735730000000004</v>
      </c>
      <c r="T15" s="15">
        <v>0</v>
      </c>
      <c r="U15" s="15">
        <v>0</v>
      </c>
      <c r="V15" s="15">
        <v>0</v>
      </c>
      <c r="W15" s="15">
        <v>0</v>
      </c>
      <c r="X15" s="15">
        <v>0</v>
      </c>
      <c r="Y15" s="18">
        <v>0</v>
      </c>
      <c r="Z15" s="15">
        <v>0</v>
      </c>
      <c r="AA15" s="15">
        <v>0</v>
      </c>
      <c r="AB15" s="15">
        <v>0</v>
      </c>
      <c r="AC15" s="15">
        <v>0</v>
      </c>
      <c r="AD15" s="15">
        <v>0</v>
      </c>
      <c r="AE15" s="15">
        <v>0</v>
      </c>
      <c r="AF15" s="18" t="s">
        <v>1187</v>
      </c>
      <c r="AG15" s="15">
        <v>30.26566</v>
      </c>
      <c r="AH15" s="15">
        <v>-85.735489999999999</v>
      </c>
      <c r="AI15" s="15">
        <v>0</v>
      </c>
      <c r="AJ15" s="15">
        <v>0</v>
      </c>
      <c r="AK15" s="15">
        <v>0</v>
      </c>
      <c r="AL15" s="15">
        <v>0</v>
      </c>
      <c r="AM15" s="15">
        <v>0</v>
      </c>
      <c r="AN15" s="15">
        <v>0</v>
      </c>
      <c r="AO15" s="15">
        <v>0</v>
      </c>
      <c r="AP15" s="15">
        <v>0</v>
      </c>
      <c r="AQ15" s="15">
        <v>0</v>
      </c>
      <c r="AR15" s="15">
        <v>0</v>
      </c>
      <c r="AS15" s="15">
        <v>0</v>
      </c>
      <c r="AT15" s="15">
        <v>0</v>
      </c>
      <c r="AU15" s="15" t="s">
        <v>1188</v>
      </c>
      <c r="AV15" s="17"/>
      <c r="BK15" s="17"/>
      <c r="BZ15" s="17"/>
      <c r="CO15" s="17"/>
      <c r="DD15" s="17"/>
      <c r="DE15" s="17"/>
      <c r="DS15" s="17"/>
      <c r="DT15" s="17"/>
      <c r="EH15" s="17"/>
      <c r="EI15" s="17"/>
      <c r="EW15" s="17"/>
      <c r="EX15" s="17"/>
      <c r="FL15" s="17"/>
      <c r="FM15" s="17"/>
      <c r="GA15" s="17"/>
      <c r="GB15" s="17"/>
      <c r="GP15" s="17"/>
      <c r="GQ15" s="17"/>
      <c r="HE15" s="17"/>
      <c r="HF15" s="17"/>
      <c r="HT15" s="17"/>
      <c r="HU15" s="17"/>
      <c r="II15" s="42"/>
      <c r="IJ15" s="42"/>
      <c r="IK15" s="42"/>
      <c r="IL15" s="42"/>
      <c r="IM15" s="42"/>
      <c r="IN15" s="42"/>
      <c r="IO15" s="42"/>
      <c r="IP15" s="42"/>
      <c r="IQ15" s="42"/>
      <c r="IR15" s="42"/>
      <c r="IS15" s="42"/>
      <c r="IT15" s="42"/>
      <c r="IU15" s="42"/>
      <c r="IV15" s="42"/>
      <c r="IW15" s="42"/>
      <c r="IX15" s="42"/>
      <c r="IY15" s="42"/>
      <c r="IZ15" s="42"/>
      <c r="JA15" s="42"/>
      <c r="JB15" s="42"/>
      <c r="JC15" s="42"/>
      <c r="JD15" s="42"/>
      <c r="JE15" s="42"/>
      <c r="JF15" s="42"/>
      <c r="JG15" s="42"/>
      <c r="JH15" s="42"/>
      <c r="JI15" s="42"/>
      <c r="JJ15" s="42"/>
      <c r="JK15" s="42"/>
      <c r="JL15" s="42"/>
      <c r="JM15" s="42"/>
      <c r="JN15" s="42"/>
      <c r="JO15" s="42"/>
      <c r="JP15" s="42"/>
      <c r="JQ15" s="42"/>
      <c r="JR15" s="42"/>
      <c r="JS15" s="42"/>
      <c r="JT15" s="42"/>
      <c r="JU15" s="42"/>
      <c r="JV15" s="42"/>
      <c r="JW15" s="42"/>
      <c r="JX15" s="42"/>
      <c r="JY15" s="42"/>
      <c r="JZ15" s="42"/>
      <c r="KA15" s="42"/>
    </row>
    <row r="16" spans="1:311">
      <c r="A16" s="13" t="s">
        <v>103</v>
      </c>
      <c r="B16" s="13" t="s">
        <v>65</v>
      </c>
      <c r="C16" s="17"/>
      <c r="J16" s="19"/>
      <c r="Q16" s="19"/>
      <c r="R16" s="17"/>
      <c r="Y16" s="19"/>
      <c r="AF16" s="19"/>
      <c r="AG16" s="17"/>
      <c r="AV16" s="17"/>
      <c r="BK16" s="17"/>
      <c r="BZ16" s="17"/>
      <c r="CO16" s="17"/>
      <c r="DD16" s="17"/>
      <c r="DE16" s="17"/>
      <c r="DS16" s="17"/>
      <c r="DT16" s="17"/>
      <c r="EH16" s="17"/>
      <c r="EI16" s="17"/>
      <c r="EW16" s="17"/>
      <c r="EX16" s="17"/>
      <c r="FL16" s="17"/>
      <c r="FM16" s="17"/>
      <c r="GA16" s="17"/>
      <c r="GB16" s="17"/>
      <c r="GP16" s="17"/>
      <c r="GQ16" s="17"/>
      <c r="HE16" s="17"/>
      <c r="HF16" s="17"/>
      <c r="HT16" s="17"/>
      <c r="HU16" s="17"/>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2"/>
      <c r="JT16" s="42"/>
      <c r="JU16" s="42"/>
      <c r="JV16" s="42"/>
      <c r="JW16" s="42"/>
      <c r="JX16" s="42"/>
      <c r="JY16" s="42"/>
      <c r="JZ16" s="42"/>
      <c r="KA16" s="42"/>
    </row>
    <row r="17" spans="1:287">
      <c r="A17" s="13" t="s">
        <v>105</v>
      </c>
      <c r="B17" s="13" t="s">
        <v>106</v>
      </c>
      <c r="C17" s="17"/>
      <c r="J17" s="19"/>
      <c r="Q17" s="19"/>
      <c r="R17" s="17"/>
      <c r="Y17" s="19"/>
      <c r="AF17" s="19"/>
      <c r="AG17" s="17"/>
      <c r="AV17" s="17"/>
      <c r="BK17" s="17"/>
      <c r="BZ17" s="17"/>
      <c r="CO17" s="17"/>
      <c r="DD17" s="17"/>
      <c r="DE17" s="17"/>
      <c r="DS17" s="17"/>
      <c r="DT17" s="17"/>
      <c r="EH17" s="17"/>
      <c r="EI17" s="17"/>
      <c r="EW17" s="17"/>
      <c r="EX17" s="17"/>
      <c r="FL17" s="17"/>
      <c r="FM17" s="17"/>
      <c r="GA17" s="17"/>
      <c r="GB17" s="17"/>
      <c r="GP17" s="17"/>
      <c r="GQ17" s="17"/>
      <c r="HE17" s="17"/>
      <c r="HF17" s="17"/>
      <c r="HT17" s="17"/>
      <c r="HU17" s="17"/>
      <c r="II17" s="42"/>
      <c r="IJ17" s="42"/>
      <c r="IK17" s="42"/>
      <c r="IL17" s="42"/>
      <c r="IM17" s="42"/>
      <c r="IN17" s="42"/>
      <c r="IO17" s="42"/>
      <c r="IP17" s="42"/>
      <c r="IQ17" s="42"/>
      <c r="IR17" s="42"/>
      <c r="IS17" s="42"/>
      <c r="IT17" s="42"/>
      <c r="IU17" s="42"/>
      <c r="IV17" s="42"/>
      <c r="IW17" s="42"/>
      <c r="IX17" s="42"/>
      <c r="IY17" s="42"/>
      <c r="IZ17" s="42"/>
      <c r="JA17" s="42"/>
      <c r="JB17" s="42"/>
      <c r="JC17" s="42"/>
      <c r="JD17" s="42"/>
      <c r="JE17" s="42"/>
      <c r="JF17" s="42"/>
      <c r="JG17" s="42"/>
      <c r="JH17" s="42"/>
      <c r="JI17" s="42"/>
      <c r="JJ17" s="42"/>
      <c r="JK17" s="42"/>
      <c r="JL17" s="42"/>
      <c r="JM17" s="42"/>
      <c r="JN17" s="42"/>
      <c r="JO17" s="42"/>
      <c r="JP17" s="42"/>
      <c r="JQ17" s="42"/>
      <c r="JR17" s="42"/>
      <c r="JS17" s="42"/>
      <c r="JT17" s="42"/>
      <c r="JU17" s="42"/>
      <c r="JV17" s="42"/>
      <c r="JW17" s="42"/>
      <c r="JX17" s="42"/>
      <c r="JY17" s="42"/>
      <c r="JZ17" s="42"/>
      <c r="KA17" s="42"/>
    </row>
    <row r="18" spans="1:287">
      <c r="A18" s="13" t="s">
        <v>110</v>
      </c>
      <c r="B18" s="13" t="s">
        <v>106</v>
      </c>
      <c r="C18" s="17"/>
      <c r="J18" s="19"/>
      <c r="Q18" s="19"/>
      <c r="R18" s="17"/>
      <c r="Y18" s="19"/>
      <c r="AF18" s="19"/>
      <c r="AG18" s="17"/>
      <c r="AV18" s="17"/>
      <c r="BK18" s="17"/>
      <c r="BZ18" s="17"/>
      <c r="CO18" s="17"/>
      <c r="DD18" s="17"/>
      <c r="DE18" s="17"/>
      <c r="DS18" s="17"/>
      <c r="DT18" s="17"/>
      <c r="EH18" s="17"/>
      <c r="EI18" s="17"/>
      <c r="EW18" s="17"/>
      <c r="EX18" s="17"/>
      <c r="FL18" s="17"/>
      <c r="FM18" s="17"/>
      <c r="GA18" s="17"/>
      <c r="GB18" s="17"/>
      <c r="GP18" s="17"/>
      <c r="GQ18" s="17"/>
      <c r="HE18" s="17"/>
      <c r="HF18" s="17"/>
      <c r="HT18" s="17"/>
      <c r="HU18" s="17"/>
      <c r="II18" s="42"/>
      <c r="IJ18" s="42"/>
      <c r="IK18" s="42"/>
      <c r="IL18" s="42"/>
      <c r="IM18" s="42"/>
      <c r="IN18" s="42"/>
      <c r="IO18" s="42"/>
      <c r="IP18" s="42"/>
      <c r="IQ18" s="42"/>
      <c r="IR18" s="42"/>
      <c r="IS18" s="42"/>
      <c r="IT18" s="42"/>
      <c r="IU18" s="42"/>
      <c r="IV18" s="42"/>
      <c r="IW18" s="42"/>
      <c r="IX18" s="42"/>
      <c r="IY18" s="42"/>
      <c r="IZ18" s="42"/>
      <c r="JA18" s="42"/>
      <c r="JB18" s="42"/>
      <c r="JC18" s="42"/>
      <c r="JD18" s="42"/>
      <c r="JE18" s="42"/>
      <c r="JF18" s="42"/>
      <c r="JG18" s="42"/>
      <c r="JH18" s="42"/>
      <c r="JI18" s="42"/>
      <c r="JJ18" s="42"/>
      <c r="JK18" s="42"/>
      <c r="JL18" s="42"/>
      <c r="JM18" s="42"/>
      <c r="JN18" s="42"/>
      <c r="JO18" s="42"/>
      <c r="JP18" s="42"/>
      <c r="JQ18" s="42"/>
      <c r="JR18" s="42"/>
      <c r="JS18" s="42"/>
      <c r="JT18" s="42"/>
      <c r="JU18" s="42"/>
      <c r="JV18" s="42"/>
      <c r="JW18" s="42"/>
      <c r="JX18" s="42"/>
      <c r="JY18" s="42"/>
      <c r="JZ18" s="42"/>
      <c r="KA18" s="42"/>
    </row>
    <row r="19" spans="1:287">
      <c r="A19" s="24" t="s">
        <v>115</v>
      </c>
      <c r="B19" s="24" t="s">
        <v>106</v>
      </c>
      <c r="C19" s="17"/>
      <c r="J19" s="19"/>
      <c r="Q19" s="19"/>
      <c r="R19" s="17"/>
      <c r="Y19" s="19"/>
      <c r="AF19" s="19"/>
      <c r="AG19" s="17"/>
      <c r="AV19" s="17"/>
      <c r="BK19" s="17"/>
      <c r="BZ19" s="17"/>
      <c r="CO19" s="17"/>
      <c r="DD19" s="17"/>
      <c r="DE19" s="17"/>
      <c r="DS19" s="17"/>
      <c r="DT19" s="17"/>
      <c r="EH19" s="17"/>
      <c r="EI19" s="17"/>
      <c r="EW19" s="17"/>
      <c r="EX19" s="17"/>
      <c r="FL19" s="17"/>
      <c r="FM19" s="17"/>
      <c r="GA19" s="17"/>
      <c r="GB19" s="17"/>
      <c r="GP19" s="17"/>
      <c r="GQ19" s="17"/>
      <c r="HE19" s="17"/>
      <c r="HF19" s="17"/>
      <c r="HT19" s="17"/>
      <c r="HU19" s="17"/>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2"/>
      <c r="JT19" s="42"/>
      <c r="JU19" s="42"/>
      <c r="JV19" s="42"/>
      <c r="JW19" s="42"/>
      <c r="JX19" s="42"/>
      <c r="JY19" s="42"/>
      <c r="JZ19" s="42"/>
      <c r="KA19" s="42"/>
    </row>
    <row r="20" spans="1:287">
      <c r="A20" s="24" t="s">
        <v>120</v>
      </c>
      <c r="B20" s="24" t="s">
        <v>106</v>
      </c>
      <c r="C20" s="17"/>
      <c r="J20" s="19"/>
      <c r="Q20" s="19"/>
      <c r="R20" s="17"/>
      <c r="Y20" s="19"/>
      <c r="AF20" s="19"/>
      <c r="AG20" s="17"/>
      <c r="AV20" s="17"/>
      <c r="BK20" s="17"/>
      <c r="BZ20" s="17"/>
      <c r="CO20" s="17"/>
      <c r="DD20" s="17"/>
      <c r="DE20" s="17"/>
      <c r="DS20" s="17"/>
      <c r="DT20" s="17"/>
      <c r="EH20" s="17"/>
      <c r="EI20" s="17"/>
      <c r="EW20" s="17"/>
      <c r="EX20" s="17"/>
      <c r="FL20" s="17"/>
      <c r="FM20" s="17"/>
      <c r="GA20" s="17"/>
      <c r="GB20" s="17"/>
      <c r="GP20" s="17"/>
      <c r="GQ20" s="17"/>
      <c r="HE20" s="17"/>
      <c r="HF20" s="17"/>
      <c r="HT20" s="17"/>
      <c r="HU20" s="17"/>
      <c r="II20" s="42"/>
      <c r="IJ20" s="42"/>
      <c r="IK20" s="42"/>
      <c r="IL20" s="42"/>
      <c r="IM20" s="42"/>
      <c r="IN20" s="42"/>
      <c r="IO20" s="42"/>
      <c r="IP20" s="42"/>
      <c r="IQ20" s="42"/>
      <c r="IR20" s="42"/>
      <c r="IS20" s="42"/>
      <c r="IT20" s="42"/>
      <c r="IU20" s="42"/>
      <c r="IV20" s="42"/>
      <c r="IW20" s="42"/>
      <c r="IX20" s="42"/>
      <c r="IY20" s="42"/>
      <c r="IZ20" s="42"/>
      <c r="JA20" s="42"/>
      <c r="JB20" s="42"/>
      <c r="JC20" s="42"/>
      <c r="JD20" s="42"/>
      <c r="JE20" s="42"/>
      <c r="JF20" s="42"/>
      <c r="JG20" s="42"/>
      <c r="JH20" s="42"/>
      <c r="JI20" s="42"/>
      <c r="JJ20" s="42"/>
      <c r="JK20" s="42"/>
      <c r="JL20" s="42"/>
      <c r="JM20" s="42"/>
      <c r="JN20" s="42"/>
      <c r="JO20" s="42"/>
      <c r="JP20" s="42"/>
      <c r="JQ20" s="42"/>
      <c r="JR20" s="42"/>
      <c r="JS20" s="42"/>
      <c r="JT20" s="42"/>
      <c r="JU20" s="42"/>
      <c r="JV20" s="42"/>
      <c r="JW20" s="42"/>
      <c r="JX20" s="42"/>
      <c r="JY20" s="42"/>
      <c r="JZ20" s="42"/>
      <c r="KA20" s="42"/>
    </row>
    <row r="21" spans="1:287">
      <c r="A21" s="13" t="s">
        <v>124</v>
      </c>
      <c r="B21" s="13" t="s">
        <v>106</v>
      </c>
      <c r="C21" s="15">
        <v>27.850784000000001</v>
      </c>
      <c r="D21" s="99">
        <v>-80.493899999999996</v>
      </c>
      <c r="E21" s="15">
        <v>2</v>
      </c>
      <c r="J21" s="19"/>
      <c r="Q21" s="19"/>
      <c r="R21" s="17"/>
      <c r="Y21" s="19"/>
      <c r="AF21" s="18"/>
      <c r="AG21" s="17"/>
      <c r="AV21" s="17"/>
      <c r="BK21" s="17"/>
      <c r="BZ21" s="17"/>
      <c r="CO21" s="17"/>
      <c r="DD21" s="17"/>
      <c r="DE21" s="17"/>
      <c r="DS21" s="17"/>
      <c r="DT21" s="17"/>
      <c r="EH21" s="17"/>
      <c r="EI21" s="17"/>
      <c r="EW21" s="17"/>
      <c r="EX21" s="17"/>
      <c r="FL21" s="17"/>
      <c r="FM21" s="17"/>
      <c r="GA21" s="17"/>
      <c r="GB21" s="17"/>
      <c r="GP21" s="17"/>
      <c r="GQ21" s="17"/>
      <c r="HE21" s="17"/>
      <c r="HF21" s="17"/>
      <c r="HT21" s="17"/>
      <c r="HU21" s="17"/>
      <c r="II21" s="42"/>
      <c r="IJ21" s="42"/>
      <c r="IK21" s="42"/>
      <c r="IL21" s="42"/>
      <c r="IM21" s="42"/>
      <c r="IN21" s="42"/>
      <c r="IO21" s="42"/>
      <c r="IP21" s="42"/>
      <c r="IQ21" s="42"/>
      <c r="IR21" s="42"/>
      <c r="IS21" s="42"/>
      <c r="IT21" s="42"/>
      <c r="IU21" s="42"/>
      <c r="IV21" s="42"/>
      <c r="IW21" s="42"/>
      <c r="IX21" s="42"/>
      <c r="IY21" s="42"/>
      <c r="IZ21" s="42"/>
      <c r="JA21" s="42"/>
      <c r="JB21" s="42"/>
      <c r="JC21" s="42"/>
      <c r="JD21" s="42"/>
      <c r="JE21" s="42"/>
      <c r="JF21" s="42"/>
      <c r="JG21" s="42"/>
      <c r="JH21" s="42"/>
      <c r="JI21" s="42"/>
      <c r="JJ21" s="42"/>
      <c r="JK21" s="42"/>
      <c r="JL21" s="42"/>
      <c r="JM21" s="42"/>
      <c r="JN21" s="42"/>
      <c r="JO21" s="42"/>
      <c r="JP21" s="42"/>
      <c r="JQ21" s="42"/>
      <c r="JR21" s="42"/>
      <c r="JS21" s="42"/>
      <c r="JT21" s="42"/>
      <c r="JU21" s="42"/>
      <c r="JV21" s="42"/>
      <c r="JW21" s="42"/>
      <c r="JX21" s="42"/>
      <c r="JY21" s="42"/>
      <c r="JZ21" s="42"/>
      <c r="KA21" s="42"/>
    </row>
    <row r="22" spans="1:287" ht="64.5">
      <c r="A22" s="24" t="s">
        <v>129</v>
      </c>
      <c r="B22" s="24" t="s">
        <v>106</v>
      </c>
      <c r="C22" s="15">
        <v>28.40737</v>
      </c>
      <c r="D22" s="15">
        <v>-80.589701000000005</v>
      </c>
      <c r="E22" s="15">
        <v>0</v>
      </c>
      <c r="F22" s="15">
        <v>0</v>
      </c>
      <c r="G22" s="15">
        <v>21</v>
      </c>
      <c r="H22" s="15">
        <v>0</v>
      </c>
      <c r="I22" s="15">
        <v>0</v>
      </c>
      <c r="J22" s="18">
        <v>0</v>
      </c>
      <c r="K22" s="15">
        <v>0</v>
      </c>
      <c r="L22" s="15">
        <v>0</v>
      </c>
      <c r="M22" s="15">
        <v>0</v>
      </c>
      <c r="N22" s="15">
        <v>0</v>
      </c>
      <c r="O22" s="15">
        <v>0</v>
      </c>
      <c r="P22" s="15">
        <v>0</v>
      </c>
      <c r="Q22" s="18" t="s">
        <v>1189</v>
      </c>
      <c r="R22" s="15">
        <v>28.405729999999998</v>
      </c>
      <c r="S22" s="15">
        <v>-80.590545000000006</v>
      </c>
      <c r="T22" s="15">
        <v>0</v>
      </c>
      <c r="U22" s="15">
        <v>0</v>
      </c>
      <c r="V22" s="15">
        <v>95</v>
      </c>
      <c r="W22" s="15">
        <v>0</v>
      </c>
      <c r="X22" s="15">
        <v>0</v>
      </c>
      <c r="Y22" s="18">
        <v>0</v>
      </c>
      <c r="Z22" s="15">
        <v>0</v>
      </c>
      <c r="AA22" s="15">
        <v>0</v>
      </c>
      <c r="AB22" s="15">
        <v>0</v>
      </c>
      <c r="AC22" s="15">
        <v>0</v>
      </c>
      <c r="AD22" s="15">
        <v>0</v>
      </c>
      <c r="AE22" s="15">
        <v>0</v>
      </c>
      <c r="AF22" s="18" t="s">
        <v>1190</v>
      </c>
      <c r="AG22" s="15">
        <v>28.404418</v>
      </c>
      <c r="AH22" s="15">
        <v>-80.590964999999997</v>
      </c>
      <c r="AI22" s="15">
        <v>0</v>
      </c>
      <c r="AJ22" s="15">
        <v>0</v>
      </c>
      <c r="AK22" s="15">
        <v>0</v>
      </c>
      <c r="AL22" s="15">
        <v>0</v>
      </c>
      <c r="AM22" s="15">
        <v>0</v>
      </c>
      <c r="AN22" s="15">
        <v>0</v>
      </c>
      <c r="AO22" s="15">
        <v>9</v>
      </c>
      <c r="AP22" s="15">
        <v>0</v>
      </c>
      <c r="AQ22" s="15">
        <v>0</v>
      </c>
      <c r="AR22" s="15">
        <v>0</v>
      </c>
      <c r="AS22" s="15">
        <v>0</v>
      </c>
      <c r="AT22" s="15">
        <v>0</v>
      </c>
      <c r="AV22" s="15">
        <v>28.403777999999999</v>
      </c>
      <c r="AW22" s="15">
        <v>-80.591273000000001</v>
      </c>
      <c r="AX22" s="15">
        <v>0</v>
      </c>
      <c r="AY22" s="15">
        <v>0</v>
      </c>
      <c r="AZ22" s="15">
        <v>0</v>
      </c>
      <c r="BA22" s="15">
        <v>0</v>
      </c>
      <c r="BB22" s="15">
        <v>0</v>
      </c>
      <c r="BC22" s="15">
        <v>0</v>
      </c>
      <c r="BD22" s="15">
        <v>15</v>
      </c>
      <c r="BE22" s="15">
        <v>0</v>
      </c>
      <c r="BF22" s="15">
        <v>0</v>
      </c>
      <c r="BG22" s="15">
        <v>0</v>
      </c>
      <c r="BH22" s="15">
        <v>0</v>
      </c>
      <c r="BI22" s="15">
        <v>0</v>
      </c>
      <c r="BJ22" s="15" t="s">
        <v>1191</v>
      </c>
      <c r="BK22" s="15">
        <v>28.402595999999999</v>
      </c>
      <c r="BL22" s="15">
        <v>-80.591624999999993</v>
      </c>
      <c r="BM22" s="15">
        <v>0</v>
      </c>
      <c r="BN22" s="15">
        <v>0</v>
      </c>
      <c r="BO22" s="15">
        <v>0</v>
      </c>
      <c r="BP22" s="15">
        <v>0</v>
      </c>
      <c r="BQ22" s="15">
        <v>0</v>
      </c>
      <c r="BR22" s="15">
        <v>0</v>
      </c>
      <c r="BS22" s="15">
        <v>13</v>
      </c>
      <c r="BT22" s="15">
        <v>0</v>
      </c>
      <c r="BU22" s="15">
        <v>0</v>
      </c>
      <c r="BV22" s="15">
        <v>0</v>
      </c>
      <c r="BW22" s="15">
        <v>0</v>
      </c>
      <c r="BX22" s="15">
        <v>0</v>
      </c>
      <c r="BY22" s="36" t="s">
        <v>1192</v>
      </c>
      <c r="BZ22" s="15">
        <v>28.401761</v>
      </c>
      <c r="CA22" s="15">
        <v>-80.592071000000004</v>
      </c>
      <c r="CB22" s="15">
        <v>0</v>
      </c>
      <c r="CC22" s="15">
        <v>0</v>
      </c>
      <c r="CD22" s="15">
        <v>0</v>
      </c>
      <c r="CE22" s="15">
        <v>0</v>
      </c>
      <c r="CF22" s="15">
        <v>0</v>
      </c>
      <c r="CG22" s="15">
        <v>0</v>
      </c>
      <c r="CH22" s="15">
        <v>7</v>
      </c>
      <c r="CI22" s="15">
        <v>0</v>
      </c>
      <c r="CJ22" s="15">
        <v>0</v>
      </c>
      <c r="CK22" s="15">
        <v>0</v>
      </c>
      <c r="CL22" s="15">
        <v>0</v>
      </c>
      <c r="CM22" s="15">
        <v>0</v>
      </c>
      <c r="CN22" s="15" t="s">
        <v>1193</v>
      </c>
      <c r="CO22" s="15">
        <v>28.401202000000001</v>
      </c>
      <c r="CP22" s="15">
        <v>-80.592330000000004</v>
      </c>
      <c r="CQ22" s="15">
        <v>0</v>
      </c>
      <c r="CR22" s="15">
        <v>0</v>
      </c>
      <c r="CS22" s="15">
        <v>0</v>
      </c>
      <c r="CT22" s="15">
        <v>0</v>
      </c>
      <c r="CU22" s="15">
        <v>0</v>
      </c>
      <c r="CV22" s="15">
        <v>0</v>
      </c>
      <c r="CW22" s="15">
        <v>29</v>
      </c>
      <c r="CX22" s="15">
        <v>0</v>
      </c>
      <c r="CY22" s="15">
        <v>0</v>
      </c>
      <c r="CZ22" s="15">
        <v>0</v>
      </c>
      <c r="DA22" s="15">
        <v>0</v>
      </c>
      <c r="DB22" s="15">
        <v>0</v>
      </c>
      <c r="DD22" s="15">
        <v>28.391456000000002</v>
      </c>
      <c r="DE22" s="15">
        <v>-80.595883999999998</v>
      </c>
      <c r="DF22" s="15">
        <v>0</v>
      </c>
      <c r="DG22" s="15">
        <v>0</v>
      </c>
      <c r="DH22" s="15">
        <v>0</v>
      </c>
      <c r="DI22" s="15">
        <v>0</v>
      </c>
      <c r="DJ22" s="15">
        <v>0</v>
      </c>
      <c r="DK22" s="15">
        <v>0</v>
      </c>
      <c r="DL22" s="15">
        <v>8</v>
      </c>
      <c r="DM22" s="15">
        <v>0</v>
      </c>
      <c r="DN22" s="15">
        <v>0</v>
      </c>
      <c r="DO22" s="15">
        <v>0</v>
      </c>
      <c r="DP22" s="15">
        <v>0</v>
      </c>
      <c r="DQ22" s="15">
        <v>0</v>
      </c>
      <c r="DR22" s="15" t="s">
        <v>1194</v>
      </c>
      <c r="DS22" s="15">
        <v>28.318296</v>
      </c>
      <c r="DT22" s="15">
        <v>-80.607513999999995</v>
      </c>
      <c r="DU22" s="15">
        <v>0</v>
      </c>
      <c r="DV22" s="15">
        <v>0</v>
      </c>
      <c r="DW22" s="15">
        <v>106</v>
      </c>
      <c r="DX22" s="15">
        <v>0</v>
      </c>
      <c r="DY22" s="15">
        <v>0</v>
      </c>
      <c r="DZ22" s="15">
        <v>0</v>
      </c>
      <c r="EA22" s="15">
        <v>0</v>
      </c>
      <c r="EB22" s="15">
        <v>0</v>
      </c>
      <c r="EC22" s="15">
        <v>0</v>
      </c>
      <c r="ED22" s="15">
        <v>0</v>
      </c>
      <c r="EE22" s="15">
        <v>0</v>
      </c>
      <c r="EF22" s="15">
        <v>0</v>
      </c>
      <c r="EH22" s="17"/>
      <c r="EI22" s="17"/>
      <c r="EW22" s="17"/>
      <c r="EX22" s="17"/>
      <c r="FL22" s="17"/>
      <c r="FM22" s="17"/>
      <c r="GA22" s="17"/>
      <c r="GB22" s="17"/>
      <c r="GP22" s="17"/>
      <c r="GQ22" s="17"/>
      <c r="HE22" s="17"/>
      <c r="HF22" s="17"/>
      <c r="HT22" s="17"/>
      <c r="HU22" s="17"/>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2"/>
      <c r="JT22" s="42"/>
      <c r="JU22" s="42"/>
      <c r="JV22" s="42"/>
      <c r="JW22" s="42"/>
      <c r="JX22" s="42"/>
      <c r="JY22" s="42"/>
      <c r="JZ22" s="42"/>
      <c r="KA22" s="42"/>
    </row>
    <row r="23" spans="1:287" ht="102.75">
      <c r="A23" s="13" t="s">
        <v>132</v>
      </c>
      <c r="B23" s="13" t="s">
        <v>106</v>
      </c>
      <c r="C23" s="15">
        <v>28.411418999999999</v>
      </c>
      <c r="D23" s="15">
        <v>-80.583645000000004</v>
      </c>
      <c r="E23" s="15">
        <v>0</v>
      </c>
      <c r="F23" s="15">
        <v>0</v>
      </c>
      <c r="G23" s="15">
        <v>400</v>
      </c>
      <c r="H23" s="15" t="s">
        <v>1195</v>
      </c>
      <c r="I23" s="15">
        <v>0</v>
      </c>
      <c r="J23" s="18">
        <v>0</v>
      </c>
      <c r="K23" s="15">
        <v>0</v>
      </c>
      <c r="L23" s="15">
        <v>0</v>
      </c>
      <c r="M23" s="15">
        <v>0</v>
      </c>
      <c r="N23" s="15">
        <v>0</v>
      </c>
      <c r="O23" s="15">
        <v>0</v>
      </c>
      <c r="P23" s="15">
        <v>0</v>
      </c>
      <c r="Q23" s="18" t="s">
        <v>1196</v>
      </c>
      <c r="R23" s="15">
        <v>28.447595</v>
      </c>
      <c r="S23" s="15">
        <v>-80.534639999999996</v>
      </c>
      <c r="T23" s="15">
        <v>0</v>
      </c>
      <c r="U23" s="15">
        <v>0</v>
      </c>
      <c r="V23" s="15">
        <v>90</v>
      </c>
      <c r="W23" s="15" t="s">
        <v>1195</v>
      </c>
      <c r="X23" s="15">
        <v>0</v>
      </c>
      <c r="Y23" s="18">
        <v>0</v>
      </c>
      <c r="Z23" s="15">
        <v>0</v>
      </c>
      <c r="AA23" s="15">
        <v>0</v>
      </c>
      <c r="AB23" s="15">
        <v>0</v>
      </c>
      <c r="AC23" s="15">
        <v>0</v>
      </c>
      <c r="AD23" s="15">
        <v>0</v>
      </c>
      <c r="AE23" s="15">
        <v>0</v>
      </c>
      <c r="AF23" s="18" t="s">
        <v>1197</v>
      </c>
      <c r="AG23" s="15">
        <v>28.460021999999999</v>
      </c>
      <c r="AH23" s="15">
        <v>-80.526505</v>
      </c>
      <c r="AI23" s="15">
        <v>0</v>
      </c>
      <c r="AJ23" s="15">
        <v>0</v>
      </c>
      <c r="AK23" s="15">
        <v>14</v>
      </c>
      <c r="AL23" s="15" t="s">
        <v>1195</v>
      </c>
      <c r="AM23" s="15">
        <v>0</v>
      </c>
      <c r="AN23" s="15">
        <v>0</v>
      </c>
      <c r="AO23" s="15">
        <v>0</v>
      </c>
      <c r="AP23" s="15">
        <v>0</v>
      </c>
      <c r="AQ23" s="15">
        <v>0</v>
      </c>
      <c r="AR23" s="15">
        <v>0</v>
      </c>
      <c r="AS23" s="15">
        <v>0</v>
      </c>
      <c r="AT23" s="15">
        <v>0</v>
      </c>
      <c r="AU23" s="18" t="s">
        <v>1198</v>
      </c>
      <c r="AV23" s="15">
        <v>28.463258</v>
      </c>
      <c r="AW23" s="15">
        <v>-80.527386000000007</v>
      </c>
      <c r="AX23" s="15">
        <v>0</v>
      </c>
      <c r="AY23" s="15">
        <v>0</v>
      </c>
      <c r="AZ23" s="15">
        <v>0</v>
      </c>
      <c r="BA23" s="15">
        <v>0</v>
      </c>
      <c r="BB23" s="15">
        <v>0</v>
      </c>
      <c r="BC23" s="15">
        <v>0</v>
      </c>
      <c r="BD23" s="15">
        <v>0</v>
      </c>
      <c r="BE23" s="15">
        <v>0</v>
      </c>
      <c r="BF23" s="15">
        <v>0</v>
      </c>
      <c r="BG23" s="15">
        <v>0</v>
      </c>
      <c r="BH23" s="15">
        <v>0</v>
      </c>
      <c r="BI23" s="15">
        <v>0</v>
      </c>
      <c r="BJ23" s="18" t="s">
        <v>1199</v>
      </c>
      <c r="BK23" s="15">
        <v>28.480252</v>
      </c>
      <c r="BL23" s="15">
        <v>-80.536659999999998</v>
      </c>
      <c r="BM23" s="15">
        <v>0</v>
      </c>
      <c r="BN23" s="15">
        <v>0</v>
      </c>
      <c r="BO23" s="15">
        <v>0</v>
      </c>
      <c r="BP23" s="15">
        <v>0</v>
      </c>
      <c r="BQ23" s="15">
        <v>0</v>
      </c>
      <c r="BR23" s="15">
        <v>0</v>
      </c>
      <c r="BS23" s="15">
        <v>0</v>
      </c>
      <c r="BT23" s="15">
        <v>0</v>
      </c>
      <c r="BU23" s="15">
        <v>0</v>
      </c>
      <c r="BV23" s="15">
        <v>0</v>
      </c>
      <c r="BW23" s="15">
        <v>0</v>
      </c>
      <c r="BX23" s="15">
        <v>0</v>
      </c>
      <c r="BY23" s="18" t="s">
        <v>1200</v>
      </c>
      <c r="BZ23" s="15">
        <v>28.483270000000001</v>
      </c>
      <c r="CA23" s="15">
        <v>-80.538276999999994</v>
      </c>
      <c r="CB23" s="15">
        <v>0</v>
      </c>
      <c r="CC23" s="15">
        <v>0</v>
      </c>
      <c r="CD23" s="15">
        <v>0</v>
      </c>
      <c r="CE23" s="15">
        <v>0</v>
      </c>
      <c r="CF23" s="15">
        <v>0</v>
      </c>
      <c r="CG23" s="15">
        <v>0</v>
      </c>
      <c r="CH23" s="15">
        <v>0</v>
      </c>
      <c r="CI23" s="15">
        <v>0</v>
      </c>
      <c r="CJ23" s="15">
        <v>0</v>
      </c>
      <c r="CK23" s="15">
        <v>0</v>
      </c>
      <c r="CL23" s="15">
        <v>0</v>
      </c>
      <c r="CM23" s="15">
        <v>0</v>
      </c>
      <c r="CN23" s="18" t="s">
        <v>1201</v>
      </c>
      <c r="CO23" s="15">
        <v>28.538487</v>
      </c>
      <c r="CP23" s="15">
        <v>-80.563479000000001</v>
      </c>
      <c r="CQ23" s="15">
        <v>0</v>
      </c>
      <c r="CR23" s="15">
        <v>0</v>
      </c>
      <c r="CS23" s="15">
        <v>6</v>
      </c>
      <c r="CT23" s="15" t="s">
        <v>1195</v>
      </c>
      <c r="CU23" s="15">
        <v>0</v>
      </c>
      <c r="CV23" s="15">
        <v>0</v>
      </c>
      <c r="CW23" s="15">
        <v>9</v>
      </c>
      <c r="CX23" s="15" t="s">
        <v>1195</v>
      </c>
      <c r="CY23" s="15">
        <v>0</v>
      </c>
      <c r="CZ23" s="15">
        <v>0</v>
      </c>
      <c r="DA23" s="15">
        <v>0</v>
      </c>
      <c r="DB23" s="15">
        <v>0</v>
      </c>
      <c r="DC23" s="18" t="s">
        <v>1202</v>
      </c>
      <c r="DD23" s="17"/>
      <c r="DE23" s="17"/>
      <c r="DS23" s="17"/>
      <c r="DT23" s="17"/>
      <c r="EH23" s="17"/>
      <c r="EI23" s="17"/>
      <c r="EW23" s="17"/>
      <c r="EX23" s="17"/>
      <c r="FL23" s="17"/>
      <c r="FM23" s="17"/>
      <c r="GA23" s="17"/>
      <c r="GB23" s="17"/>
      <c r="GP23" s="17"/>
      <c r="GQ23" s="17"/>
      <c r="HE23" s="17"/>
      <c r="HF23" s="17"/>
      <c r="HT23" s="17"/>
      <c r="HU23" s="17"/>
      <c r="II23" s="42"/>
      <c r="IJ23" s="42"/>
      <c r="IK23" s="42"/>
      <c r="IL23" s="42"/>
      <c r="IM23" s="42"/>
      <c r="IN23" s="42"/>
      <c r="IO23" s="42"/>
      <c r="IP23" s="42"/>
      <c r="IQ23" s="42"/>
      <c r="IR23" s="42"/>
      <c r="IS23" s="42"/>
      <c r="IT23" s="42"/>
      <c r="IU23" s="42"/>
      <c r="IV23" s="42"/>
      <c r="IW23" s="42"/>
      <c r="IX23" s="42"/>
      <c r="IY23" s="42"/>
      <c r="IZ23" s="42"/>
      <c r="JA23" s="42"/>
      <c r="JB23" s="42"/>
      <c r="JC23" s="42"/>
      <c r="JD23" s="42"/>
      <c r="JE23" s="42"/>
      <c r="JF23" s="42"/>
      <c r="JG23" s="42"/>
      <c r="JH23" s="42"/>
      <c r="JI23" s="42"/>
      <c r="JJ23" s="42"/>
      <c r="JK23" s="42"/>
      <c r="JL23" s="42"/>
      <c r="JM23" s="42"/>
      <c r="JN23" s="42"/>
      <c r="JO23" s="42"/>
      <c r="JP23" s="42"/>
      <c r="JQ23" s="42"/>
      <c r="JR23" s="42"/>
      <c r="JS23" s="42"/>
      <c r="JT23" s="42"/>
      <c r="JU23" s="42"/>
      <c r="JV23" s="42"/>
      <c r="JW23" s="42"/>
      <c r="JX23" s="42"/>
      <c r="JY23" s="42"/>
      <c r="JZ23" s="42"/>
      <c r="KA23" s="42"/>
    </row>
    <row r="24" spans="1:287" ht="64.5">
      <c r="A24" s="13" t="s">
        <v>136</v>
      </c>
      <c r="B24" s="13" t="s">
        <v>106</v>
      </c>
      <c r="C24" s="15">
        <v>28.25836</v>
      </c>
      <c r="D24" s="15">
        <v>-80.603679999999997</v>
      </c>
      <c r="E24" s="15">
        <v>0</v>
      </c>
      <c r="F24" s="15">
        <v>0</v>
      </c>
      <c r="G24" s="15">
        <v>0</v>
      </c>
      <c r="H24" s="15">
        <v>0</v>
      </c>
      <c r="I24" s="15">
        <v>0</v>
      </c>
      <c r="J24" s="18">
        <v>0</v>
      </c>
      <c r="K24" s="15">
        <v>0</v>
      </c>
      <c r="L24" s="15">
        <v>0</v>
      </c>
      <c r="M24" s="15">
        <v>0</v>
      </c>
      <c r="N24" s="15">
        <v>0</v>
      </c>
      <c r="O24" s="15">
        <v>0</v>
      </c>
      <c r="P24" s="15">
        <v>0</v>
      </c>
      <c r="Q24" s="18" t="s">
        <v>1203</v>
      </c>
      <c r="R24" s="17"/>
      <c r="Y24" s="19"/>
      <c r="AF24" s="19"/>
      <c r="AG24" s="17"/>
      <c r="AV24" s="17"/>
      <c r="BK24" s="17"/>
      <c r="BZ24" s="17"/>
      <c r="CO24" s="17"/>
      <c r="DD24" s="17"/>
      <c r="DE24" s="17"/>
      <c r="DS24" s="17"/>
      <c r="DT24" s="17"/>
      <c r="EH24" s="17"/>
      <c r="EI24" s="17"/>
      <c r="EW24" s="17"/>
      <c r="EX24" s="17"/>
      <c r="FL24" s="17"/>
      <c r="FM24" s="17"/>
      <c r="GA24" s="17"/>
      <c r="GB24" s="17"/>
      <c r="GP24" s="17"/>
      <c r="GQ24" s="17"/>
      <c r="HE24" s="17"/>
      <c r="HF24" s="17"/>
      <c r="HT24" s="17"/>
      <c r="HU24" s="17"/>
      <c r="II24" s="42"/>
      <c r="IJ24" s="42"/>
      <c r="IK24" s="42"/>
      <c r="IL24" s="42"/>
      <c r="IM24" s="42"/>
      <c r="IN24" s="42"/>
      <c r="IO24" s="42"/>
      <c r="IP24" s="42"/>
      <c r="IQ24" s="42"/>
      <c r="IR24" s="42"/>
      <c r="IS24" s="42"/>
      <c r="IT24" s="42"/>
      <c r="IU24" s="42"/>
      <c r="IV24" s="42"/>
      <c r="IW24" s="42"/>
      <c r="IX24" s="42"/>
      <c r="IY24" s="42"/>
      <c r="IZ24" s="42"/>
      <c r="JA24" s="42"/>
      <c r="JB24" s="42"/>
      <c r="JC24" s="42"/>
      <c r="JD24" s="42"/>
      <c r="JE24" s="42"/>
      <c r="JF24" s="42"/>
      <c r="JG24" s="42"/>
      <c r="JH24" s="42"/>
      <c r="JI24" s="42"/>
      <c r="JJ24" s="42"/>
      <c r="JK24" s="42"/>
      <c r="JL24" s="42"/>
      <c r="JM24" s="42"/>
      <c r="JN24" s="42"/>
      <c r="JO24" s="42"/>
      <c r="JP24" s="42"/>
      <c r="JQ24" s="42"/>
      <c r="JR24" s="42"/>
      <c r="JS24" s="42"/>
      <c r="JT24" s="42"/>
      <c r="JU24" s="42"/>
      <c r="JV24" s="42"/>
      <c r="JW24" s="42"/>
      <c r="JX24" s="42"/>
      <c r="JY24" s="42"/>
      <c r="JZ24" s="42"/>
      <c r="KA24" s="42"/>
    </row>
    <row r="25" spans="1:287" ht="31.5">
      <c r="A25" s="13" t="s">
        <v>140</v>
      </c>
      <c r="B25" s="13" t="s">
        <v>106</v>
      </c>
      <c r="C25" s="17"/>
      <c r="J25" s="18"/>
      <c r="Q25" s="18"/>
      <c r="R25" s="17"/>
      <c r="Y25" s="18"/>
      <c r="AF25" s="18"/>
      <c r="AG25" s="17"/>
      <c r="AV25" s="17"/>
      <c r="BK25" s="17"/>
      <c r="BZ25" s="17"/>
      <c r="CO25" s="17"/>
      <c r="DD25" s="17"/>
      <c r="DE25" s="17"/>
      <c r="DS25" s="17"/>
      <c r="DT25" s="17"/>
      <c r="EH25" s="17"/>
      <c r="EI25" s="17"/>
      <c r="EW25" s="17"/>
      <c r="EX25" s="17"/>
      <c r="FL25" s="17"/>
      <c r="FM25" s="17"/>
      <c r="GA25" s="17"/>
      <c r="GB25" s="17"/>
      <c r="GP25" s="17"/>
      <c r="GQ25" s="17"/>
      <c r="HE25" s="17"/>
      <c r="HF25" s="17"/>
      <c r="HT25" s="17"/>
      <c r="HU25" s="17"/>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2"/>
      <c r="JT25" s="42"/>
      <c r="JU25" s="42"/>
      <c r="JV25" s="42"/>
      <c r="JW25" s="42"/>
      <c r="JX25" s="42"/>
      <c r="JY25" s="42"/>
      <c r="JZ25" s="42"/>
      <c r="KA25" s="42"/>
    </row>
    <row r="26" spans="1:287" ht="31.5">
      <c r="A26" s="13" t="s">
        <v>141</v>
      </c>
      <c r="B26" s="13" t="s">
        <v>106</v>
      </c>
      <c r="C26" s="97">
        <v>27.863105000000001</v>
      </c>
      <c r="D26" s="36">
        <v>-80.447610999999995</v>
      </c>
      <c r="G26" s="15">
        <v>139</v>
      </c>
      <c r="J26" s="18"/>
      <c r="Q26" s="18"/>
      <c r="R26" s="17"/>
      <c r="Y26" s="18"/>
      <c r="AF26" s="18"/>
      <c r="AG26" s="17"/>
      <c r="AV26" s="17"/>
      <c r="BK26" s="17"/>
      <c r="BZ26" s="17"/>
      <c r="CO26" s="17"/>
      <c r="DD26" s="17"/>
      <c r="DE26" s="17"/>
      <c r="DS26" s="17"/>
      <c r="DT26" s="17"/>
      <c r="EH26" s="17"/>
      <c r="EI26" s="17"/>
      <c r="EW26" s="17"/>
      <c r="EX26" s="17"/>
      <c r="FL26" s="17"/>
      <c r="FM26" s="17"/>
      <c r="GA26" s="17"/>
      <c r="GB26" s="17"/>
      <c r="GP26" s="17"/>
      <c r="GQ26" s="17"/>
      <c r="HE26" s="17"/>
      <c r="HF26" s="17"/>
      <c r="HT26" s="17"/>
      <c r="HU26" s="17"/>
      <c r="II26" s="42"/>
      <c r="IJ26" s="42"/>
      <c r="IK26" s="42"/>
      <c r="IL26" s="42"/>
      <c r="IM26" s="42"/>
      <c r="IN26" s="42"/>
      <c r="IO26" s="42"/>
      <c r="IP26" s="42"/>
      <c r="IQ26" s="42"/>
      <c r="IR26" s="42"/>
      <c r="IS26" s="42"/>
      <c r="IT26" s="42"/>
      <c r="IU26" s="42"/>
      <c r="IV26" s="42"/>
      <c r="IW26" s="42"/>
      <c r="IX26" s="42"/>
      <c r="IY26" s="42"/>
      <c r="IZ26" s="42"/>
      <c r="JA26" s="42"/>
      <c r="JB26" s="42"/>
      <c r="JC26" s="42"/>
      <c r="JD26" s="42"/>
      <c r="JE26" s="42"/>
      <c r="JF26" s="42"/>
      <c r="JG26" s="42"/>
      <c r="JH26" s="42"/>
      <c r="JI26" s="42"/>
      <c r="JJ26" s="42"/>
      <c r="JK26" s="42"/>
      <c r="JL26" s="42"/>
      <c r="JM26" s="42"/>
      <c r="JN26" s="42"/>
      <c r="JO26" s="42"/>
      <c r="JP26" s="42"/>
      <c r="JQ26" s="42"/>
      <c r="JR26" s="42"/>
      <c r="JS26" s="42"/>
      <c r="JT26" s="42"/>
      <c r="JU26" s="42"/>
      <c r="JV26" s="42"/>
      <c r="JW26" s="42"/>
      <c r="JX26" s="42"/>
      <c r="JY26" s="42"/>
      <c r="JZ26" s="42"/>
      <c r="KA26" s="42"/>
    </row>
    <row r="27" spans="1:287" ht="31.5">
      <c r="A27" s="20" t="s">
        <v>144</v>
      </c>
      <c r="B27" s="24" t="s">
        <v>145</v>
      </c>
      <c r="C27" s="100">
        <v>26.010380000000001</v>
      </c>
      <c r="D27" s="100">
        <v>-80.115099999999998</v>
      </c>
      <c r="J27" s="19"/>
      <c r="Q27" s="27" t="s">
        <v>1204</v>
      </c>
      <c r="R27" s="100">
        <v>26.00705</v>
      </c>
      <c r="S27" s="100">
        <v>-80.115499999999997</v>
      </c>
      <c r="Y27" s="19"/>
      <c r="AF27" s="27" t="s">
        <v>1205</v>
      </c>
      <c r="AG27" s="17"/>
      <c r="AV27" s="17"/>
      <c r="BK27" s="17"/>
      <c r="BZ27" s="17"/>
      <c r="CO27" s="17"/>
      <c r="DD27" s="17"/>
      <c r="DE27" s="17"/>
      <c r="DS27" s="17"/>
      <c r="DT27" s="17"/>
      <c r="EH27" s="17"/>
      <c r="EI27" s="17"/>
      <c r="EW27" s="17"/>
      <c r="EX27" s="17"/>
      <c r="FL27" s="17"/>
      <c r="FM27" s="17"/>
      <c r="GA27" s="17"/>
      <c r="GB27" s="17"/>
      <c r="GP27" s="17"/>
      <c r="GQ27" s="17"/>
      <c r="HE27" s="17"/>
      <c r="HF27" s="17"/>
      <c r="HT27" s="17"/>
      <c r="HU27" s="17"/>
      <c r="II27" s="42"/>
      <c r="IJ27" s="42"/>
      <c r="IK27" s="42"/>
      <c r="IL27" s="42"/>
      <c r="IM27" s="42"/>
      <c r="IN27" s="42"/>
      <c r="IO27" s="42"/>
      <c r="IP27" s="42"/>
      <c r="IQ27" s="42"/>
      <c r="IR27" s="42"/>
      <c r="IS27" s="42"/>
      <c r="IT27" s="42"/>
      <c r="IU27" s="42"/>
      <c r="IV27" s="42"/>
      <c r="IW27" s="42"/>
      <c r="IX27" s="42"/>
      <c r="IY27" s="42"/>
      <c r="IZ27" s="42"/>
      <c r="JA27" s="42"/>
      <c r="JB27" s="42"/>
      <c r="JC27" s="42"/>
      <c r="JD27" s="42"/>
      <c r="JE27" s="42"/>
      <c r="JF27" s="42"/>
      <c r="JG27" s="42"/>
      <c r="JH27" s="42"/>
      <c r="JI27" s="42"/>
      <c r="JJ27" s="42"/>
      <c r="JK27" s="42"/>
      <c r="JL27" s="42"/>
      <c r="JM27" s="42"/>
      <c r="JN27" s="42"/>
      <c r="JO27" s="42"/>
      <c r="JP27" s="42"/>
      <c r="JQ27" s="42"/>
      <c r="JR27" s="42"/>
      <c r="JS27" s="42"/>
      <c r="JT27" s="42"/>
      <c r="JU27" s="42"/>
      <c r="JV27" s="42"/>
      <c r="JW27" s="42"/>
      <c r="JX27" s="42"/>
      <c r="JY27" s="42"/>
      <c r="JZ27" s="42"/>
      <c r="KA27" s="42"/>
    </row>
    <row r="28" spans="1:287" ht="31.5">
      <c r="A28" s="20" t="s">
        <v>150</v>
      </c>
      <c r="B28" s="24" t="s">
        <v>145</v>
      </c>
      <c r="C28" s="17"/>
      <c r="J28" s="18"/>
      <c r="Q28" s="19"/>
      <c r="R28" s="17"/>
      <c r="Y28" s="19"/>
      <c r="AF28" s="19"/>
      <c r="AG28" s="17"/>
      <c r="AV28" s="17"/>
      <c r="BK28" s="17"/>
      <c r="BZ28" s="17"/>
      <c r="CO28" s="17"/>
      <c r="DD28" s="17"/>
      <c r="DE28" s="17"/>
      <c r="DS28" s="17"/>
      <c r="DT28" s="17"/>
      <c r="EH28" s="17"/>
      <c r="EI28" s="17"/>
      <c r="EW28" s="17"/>
      <c r="EX28" s="17"/>
      <c r="FL28" s="17"/>
      <c r="FM28" s="17"/>
      <c r="GA28" s="17"/>
      <c r="GB28" s="17"/>
      <c r="GP28" s="17"/>
      <c r="GQ28" s="17"/>
      <c r="HE28" s="17"/>
      <c r="HF28" s="17"/>
      <c r="HT28" s="17"/>
      <c r="HU28" s="17"/>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2"/>
      <c r="JT28" s="42"/>
      <c r="JU28" s="42"/>
      <c r="JV28" s="42"/>
      <c r="JW28" s="42"/>
      <c r="JX28" s="42"/>
      <c r="JY28" s="42"/>
      <c r="JZ28" s="42"/>
      <c r="KA28" s="42"/>
    </row>
    <row r="29" spans="1:287" ht="31.5">
      <c r="A29" s="20" t="s">
        <v>153</v>
      </c>
      <c r="B29" s="24" t="s">
        <v>145</v>
      </c>
      <c r="C29" s="17"/>
      <c r="I29" s="15" t="s">
        <v>1206</v>
      </c>
      <c r="J29" s="18" t="s">
        <v>1207</v>
      </c>
      <c r="Q29" s="19"/>
      <c r="R29" s="17"/>
      <c r="Y29" s="19"/>
      <c r="AF29" s="19"/>
      <c r="AG29" s="17"/>
      <c r="AV29" s="17"/>
      <c r="BK29" s="17"/>
      <c r="BZ29" s="17"/>
      <c r="CO29" s="17"/>
      <c r="DD29" s="17"/>
      <c r="DE29" s="17"/>
      <c r="DS29" s="17"/>
      <c r="DT29" s="17"/>
      <c r="EH29" s="17"/>
      <c r="EI29" s="17"/>
      <c r="EW29" s="17"/>
      <c r="EX29" s="17"/>
      <c r="FL29" s="17"/>
      <c r="FM29" s="17"/>
      <c r="GA29" s="17"/>
      <c r="GB29" s="17"/>
      <c r="GP29" s="17"/>
      <c r="GQ29" s="17"/>
      <c r="HE29" s="17"/>
      <c r="HF29" s="17"/>
      <c r="HT29" s="17"/>
      <c r="HU29" s="17"/>
      <c r="II29" s="42"/>
      <c r="IJ29" s="42"/>
      <c r="IK29" s="42"/>
      <c r="IL29" s="42"/>
      <c r="IM29" s="42"/>
      <c r="IN29" s="42"/>
      <c r="IO29" s="42"/>
      <c r="IP29" s="42"/>
      <c r="IQ29" s="42"/>
      <c r="IR29" s="42"/>
      <c r="IS29" s="42"/>
      <c r="IT29" s="42"/>
      <c r="IU29" s="42"/>
      <c r="IV29" s="42"/>
      <c r="IW29" s="42"/>
      <c r="IX29" s="42"/>
      <c r="IY29" s="42"/>
      <c r="IZ29" s="42"/>
      <c r="JA29" s="42"/>
      <c r="JB29" s="42"/>
      <c r="JC29" s="42"/>
      <c r="JD29" s="42"/>
      <c r="JE29" s="42"/>
      <c r="JF29" s="42"/>
      <c r="JG29" s="42"/>
      <c r="JH29" s="42"/>
      <c r="JI29" s="42"/>
      <c r="JJ29" s="42"/>
      <c r="JK29" s="42"/>
      <c r="JL29" s="42"/>
      <c r="JM29" s="42"/>
      <c r="JN29" s="42"/>
      <c r="JO29" s="42"/>
      <c r="JP29" s="42"/>
      <c r="JQ29" s="42"/>
      <c r="JR29" s="42"/>
      <c r="JS29" s="42"/>
      <c r="JT29" s="42"/>
      <c r="JU29" s="42"/>
      <c r="JV29" s="42"/>
      <c r="JW29" s="42"/>
      <c r="JX29" s="42"/>
      <c r="JY29" s="42"/>
      <c r="JZ29" s="42"/>
      <c r="KA29" s="42"/>
    </row>
    <row r="30" spans="1:287" ht="31.5">
      <c r="A30" s="20" t="s">
        <v>158</v>
      </c>
      <c r="B30" s="24" t="s">
        <v>145</v>
      </c>
      <c r="C30" s="17"/>
      <c r="J30" s="18"/>
      <c r="Q30" s="18"/>
      <c r="R30" s="17"/>
      <c r="Y30" s="19"/>
      <c r="AF30" s="19"/>
      <c r="AG30" s="17"/>
      <c r="AV30" s="17"/>
      <c r="BK30" s="17"/>
      <c r="BZ30" s="17"/>
      <c r="CO30" s="17"/>
      <c r="DD30" s="17"/>
      <c r="DE30" s="17"/>
      <c r="DS30" s="17"/>
      <c r="DT30" s="17"/>
      <c r="EH30" s="17"/>
      <c r="EI30" s="17"/>
      <c r="EW30" s="17"/>
      <c r="EX30" s="17"/>
      <c r="FL30" s="17"/>
      <c r="FM30" s="17"/>
      <c r="GA30" s="17"/>
      <c r="GB30" s="17"/>
      <c r="GP30" s="17"/>
      <c r="GQ30" s="17"/>
      <c r="HE30" s="17"/>
      <c r="HF30" s="17"/>
      <c r="HT30" s="17"/>
      <c r="HU30" s="17"/>
      <c r="II30" s="42"/>
      <c r="IJ30" s="42"/>
      <c r="IK30" s="42"/>
      <c r="IL30" s="42"/>
      <c r="IM30" s="42"/>
      <c r="IN30" s="42"/>
      <c r="IO30" s="42"/>
      <c r="IP30" s="42"/>
      <c r="IQ30" s="42"/>
      <c r="IR30" s="42"/>
      <c r="IS30" s="42"/>
      <c r="IT30" s="42"/>
      <c r="IU30" s="42"/>
      <c r="IV30" s="42"/>
      <c r="IW30" s="42"/>
      <c r="IX30" s="42"/>
      <c r="IY30" s="42"/>
      <c r="IZ30" s="42"/>
      <c r="JA30" s="42"/>
      <c r="JB30" s="42"/>
      <c r="JC30" s="42"/>
      <c r="JD30" s="42"/>
      <c r="JE30" s="42"/>
      <c r="JF30" s="42"/>
      <c r="JG30" s="42"/>
      <c r="JH30" s="42"/>
      <c r="JI30" s="42"/>
      <c r="JJ30" s="42"/>
      <c r="JK30" s="42"/>
      <c r="JL30" s="42"/>
      <c r="JM30" s="42"/>
      <c r="JN30" s="42"/>
      <c r="JO30" s="42"/>
      <c r="JP30" s="42"/>
      <c r="JQ30" s="42"/>
      <c r="JR30" s="42"/>
      <c r="JS30" s="42"/>
      <c r="JT30" s="42"/>
      <c r="JU30" s="42"/>
      <c r="JV30" s="42"/>
      <c r="JW30" s="42"/>
      <c r="JX30" s="42"/>
      <c r="JY30" s="42"/>
      <c r="JZ30" s="42"/>
      <c r="KA30" s="42"/>
    </row>
    <row r="31" spans="1:287" ht="31.5">
      <c r="A31" s="20" t="s">
        <v>159</v>
      </c>
      <c r="B31" s="24" t="s">
        <v>145</v>
      </c>
      <c r="C31" s="17"/>
      <c r="J31" s="18"/>
      <c r="Q31" s="18"/>
      <c r="R31" s="17"/>
      <c r="Y31" s="18"/>
      <c r="AF31" s="18"/>
      <c r="AG31" s="17"/>
      <c r="AV31" s="17"/>
      <c r="BK31" s="17"/>
      <c r="BZ31" s="17"/>
      <c r="CO31" s="17"/>
      <c r="DD31" s="17"/>
      <c r="DE31" s="17"/>
      <c r="DS31" s="17"/>
      <c r="DT31" s="17"/>
      <c r="EH31" s="17"/>
      <c r="EI31" s="17"/>
      <c r="EW31" s="17"/>
      <c r="EX31" s="17"/>
      <c r="FL31" s="17"/>
      <c r="FM31" s="17"/>
      <c r="GA31" s="17"/>
      <c r="GB31" s="17"/>
      <c r="GP31" s="17"/>
      <c r="GQ31" s="17"/>
      <c r="HE31" s="17"/>
      <c r="HF31" s="17"/>
      <c r="HT31" s="17"/>
      <c r="HU31" s="17"/>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2"/>
      <c r="JT31" s="42"/>
      <c r="JU31" s="42"/>
      <c r="JV31" s="42"/>
      <c r="JW31" s="42"/>
      <c r="JX31" s="42"/>
      <c r="JY31" s="42"/>
      <c r="JZ31" s="42"/>
      <c r="KA31" s="42"/>
    </row>
    <row r="32" spans="1:287" ht="31.5">
      <c r="A32" s="20" t="s">
        <v>162</v>
      </c>
      <c r="B32" s="24" t="s">
        <v>145</v>
      </c>
      <c r="C32" s="17"/>
      <c r="J32" s="18"/>
      <c r="Q32" s="18"/>
      <c r="R32" s="17"/>
      <c r="Y32" s="19"/>
      <c r="AF32" s="19"/>
      <c r="AG32" s="17"/>
      <c r="AV32" s="17"/>
      <c r="BK32" s="17"/>
      <c r="BZ32" s="17"/>
      <c r="CO32" s="17"/>
      <c r="DD32" s="17"/>
      <c r="DE32" s="17"/>
      <c r="DS32" s="17"/>
      <c r="DT32" s="17"/>
      <c r="EH32" s="17"/>
      <c r="EI32" s="17"/>
      <c r="EW32" s="17"/>
      <c r="EX32" s="17"/>
      <c r="FL32" s="17"/>
      <c r="FM32" s="17"/>
      <c r="GA32" s="17"/>
      <c r="GB32" s="17"/>
      <c r="GP32" s="17"/>
      <c r="GQ32" s="17"/>
      <c r="HE32" s="17"/>
      <c r="HF32" s="17"/>
      <c r="HT32" s="17"/>
      <c r="HU32" s="17"/>
      <c r="II32" s="42"/>
      <c r="IJ32" s="42"/>
      <c r="IK32" s="42"/>
      <c r="IL32" s="42"/>
      <c r="IM32" s="42"/>
      <c r="IN32" s="42"/>
      <c r="IO32" s="42"/>
      <c r="IP32" s="42"/>
      <c r="IQ32" s="42"/>
      <c r="IR32" s="42"/>
      <c r="IS32" s="42"/>
      <c r="IT32" s="42"/>
      <c r="IU32" s="42"/>
      <c r="IV32" s="42"/>
      <c r="IW32" s="42"/>
      <c r="IX32" s="42"/>
      <c r="IY32" s="42"/>
      <c r="IZ32" s="42"/>
      <c r="JA32" s="42"/>
      <c r="JB32" s="42"/>
      <c r="JC32" s="42"/>
      <c r="JD32" s="42"/>
      <c r="JE32" s="42"/>
      <c r="JF32" s="42"/>
      <c r="JG32" s="42"/>
      <c r="JH32" s="42"/>
      <c r="JI32" s="42"/>
      <c r="JJ32" s="42"/>
      <c r="JK32" s="42"/>
      <c r="JL32" s="42"/>
      <c r="JM32" s="42"/>
      <c r="JN32" s="42"/>
      <c r="JO32" s="42"/>
      <c r="JP32" s="42"/>
      <c r="JQ32" s="42"/>
      <c r="JR32" s="42"/>
      <c r="JS32" s="42"/>
      <c r="JT32" s="42"/>
      <c r="JU32" s="42"/>
      <c r="JV32" s="42"/>
      <c r="JW32" s="42"/>
      <c r="JX32" s="42"/>
      <c r="JY32" s="42"/>
      <c r="JZ32" s="42"/>
      <c r="KA32" s="42"/>
    </row>
    <row r="33" spans="1:287" ht="26.25">
      <c r="A33" s="13" t="s">
        <v>164</v>
      </c>
      <c r="B33" s="13" t="s">
        <v>165</v>
      </c>
      <c r="C33" s="15">
        <v>26.791</v>
      </c>
      <c r="D33" s="15">
        <v>-82.244</v>
      </c>
      <c r="E33" s="15">
        <v>2</v>
      </c>
      <c r="F33" s="15">
        <v>0</v>
      </c>
      <c r="G33" s="15">
        <v>0</v>
      </c>
      <c r="H33" s="15">
        <v>0</v>
      </c>
      <c r="I33" s="15">
        <v>0</v>
      </c>
      <c r="J33" s="18">
        <v>0</v>
      </c>
      <c r="K33" s="15">
        <v>0</v>
      </c>
      <c r="L33" s="15">
        <v>0</v>
      </c>
      <c r="M33" s="15">
        <v>0</v>
      </c>
      <c r="N33" s="15">
        <v>0</v>
      </c>
      <c r="O33" s="15">
        <v>0</v>
      </c>
      <c r="P33" s="15">
        <v>0</v>
      </c>
      <c r="Q33" s="18">
        <v>0</v>
      </c>
      <c r="R33" s="15">
        <v>26.791</v>
      </c>
      <c r="S33" s="15">
        <v>-82.244</v>
      </c>
      <c r="T33" s="15">
        <v>0</v>
      </c>
      <c r="U33" s="15">
        <v>0</v>
      </c>
      <c r="V33" s="15">
        <v>0</v>
      </c>
      <c r="W33" s="15">
        <v>0</v>
      </c>
      <c r="X33" s="15">
        <v>0</v>
      </c>
      <c r="Y33" s="18">
        <v>0</v>
      </c>
      <c r="Z33" s="15">
        <v>0</v>
      </c>
      <c r="AA33" s="15">
        <v>0</v>
      </c>
      <c r="AB33" s="15">
        <v>0</v>
      </c>
      <c r="AC33" s="15">
        <v>0</v>
      </c>
      <c r="AD33" s="15">
        <v>0</v>
      </c>
      <c r="AE33" s="15">
        <v>0</v>
      </c>
      <c r="AF33" s="18" t="s">
        <v>1208</v>
      </c>
      <c r="AG33" s="17"/>
      <c r="AV33" s="17"/>
      <c r="BK33" s="17"/>
      <c r="BZ33" s="17"/>
      <c r="CO33" s="17"/>
      <c r="DD33" s="17"/>
      <c r="DE33" s="17"/>
      <c r="DS33" s="17"/>
      <c r="DT33" s="17"/>
      <c r="EH33" s="17"/>
      <c r="EI33" s="17"/>
      <c r="EW33" s="17"/>
      <c r="EX33" s="17"/>
      <c r="FL33" s="17"/>
      <c r="FM33" s="17"/>
      <c r="GA33" s="17"/>
      <c r="GB33" s="17"/>
      <c r="GP33" s="17"/>
      <c r="GQ33" s="17"/>
      <c r="HE33" s="17"/>
      <c r="HF33" s="17"/>
      <c r="HT33" s="17"/>
      <c r="HU33" s="17"/>
      <c r="II33" s="42"/>
      <c r="IJ33" s="42"/>
      <c r="IK33" s="42"/>
      <c r="IL33" s="42"/>
      <c r="IM33" s="42"/>
      <c r="IN33" s="42"/>
      <c r="IO33" s="42"/>
      <c r="IP33" s="42"/>
      <c r="IQ33" s="42"/>
      <c r="IR33" s="42"/>
      <c r="IS33" s="42"/>
      <c r="IT33" s="42"/>
      <c r="IU33" s="42"/>
      <c r="IV33" s="42"/>
      <c r="IW33" s="42"/>
      <c r="IX33" s="42"/>
      <c r="IY33" s="42"/>
      <c r="IZ33" s="42"/>
      <c r="JA33" s="42"/>
      <c r="JB33" s="42"/>
      <c r="JC33" s="42"/>
      <c r="JD33" s="42"/>
      <c r="JE33" s="42"/>
      <c r="JF33" s="42"/>
      <c r="JG33" s="42"/>
      <c r="JH33" s="42"/>
      <c r="JI33" s="42"/>
      <c r="JJ33" s="42"/>
      <c r="JK33" s="42"/>
      <c r="JL33" s="42"/>
      <c r="JM33" s="42"/>
      <c r="JN33" s="42"/>
      <c r="JO33" s="42"/>
      <c r="JP33" s="42"/>
      <c r="JQ33" s="42"/>
      <c r="JR33" s="42"/>
      <c r="JS33" s="42"/>
      <c r="JT33" s="42"/>
      <c r="JU33" s="42"/>
      <c r="JV33" s="42"/>
      <c r="JW33" s="42"/>
      <c r="JX33" s="42"/>
      <c r="JY33" s="42"/>
      <c r="JZ33" s="42"/>
      <c r="KA33" s="42"/>
    </row>
    <row r="34" spans="1:287" ht="31.5">
      <c r="A34" s="13" t="s">
        <v>168</v>
      </c>
      <c r="B34" s="13" t="s">
        <v>165</v>
      </c>
      <c r="C34" s="17"/>
      <c r="J34" s="19"/>
      <c r="Q34" s="19"/>
      <c r="R34" s="17"/>
      <c r="Y34" s="19"/>
      <c r="AF34" s="19"/>
      <c r="AG34" s="17"/>
      <c r="AV34" s="17"/>
      <c r="BK34" s="17"/>
      <c r="BZ34" s="17"/>
      <c r="CO34" s="17"/>
      <c r="DD34" s="17"/>
      <c r="DE34" s="17"/>
      <c r="DS34" s="17"/>
      <c r="DT34" s="17"/>
      <c r="EH34" s="17"/>
      <c r="EI34" s="17"/>
      <c r="EW34" s="17"/>
      <c r="EX34" s="17"/>
      <c r="FL34" s="17"/>
      <c r="FM34" s="17"/>
      <c r="GA34" s="17"/>
      <c r="GB34" s="17"/>
      <c r="GP34" s="17"/>
      <c r="GQ34" s="17"/>
      <c r="HE34" s="17"/>
      <c r="HF34" s="17"/>
      <c r="HT34" s="17"/>
      <c r="HU34" s="17"/>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2"/>
      <c r="JT34" s="42"/>
      <c r="JU34" s="42"/>
      <c r="JV34" s="42"/>
      <c r="JW34" s="42"/>
      <c r="JX34" s="42"/>
      <c r="JY34" s="42"/>
      <c r="JZ34" s="42"/>
      <c r="KA34" s="42"/>
    </row>
    <row r="35" spans="1:287">
      <c r="A35" s="13" t="s">
        <v>171</v>
      </c>
      <c r="B35" s="13" t="s">
        <v>165</v>
      </c>
      <c r="C35" s="17"/>
      <c r="J35" s="18"/>
      <c r="Q35" s="18"/>
      <c r="R35" s="17"/>
      <c r="Y35" s="18"/>
      <c r="AF35" s="18"/>
      <c r="AG35" s="17"/>
      <c r="AV35" s="17"/>
      <c r="BK35" s="17"/>
      <c r="BZ35" s="17"/>
      <c r="CO35" s="17"/>
      <c r="DD35" s="17"/>
      <c r="DE35" s="17"/>
      <c r="DS35" s="17"/>
      <c r="DT35" s="17"/>
      <c r="EH35" s="17"/>
      <c r="EI35" s="17"/>
      <c r="EW35" s="17"/>
      <c r="EX35" s="17"/>
      <c r="FL35" s="17"/>
      <c r="FM35" s="17"/>
      <c r="GA35" s="17"/>
      <c r="GB35" s="17"/>
      <c r="GP35" s="17"/>
      <c r="GQ35" s="17"/>
      <c r="HE35" s="17"/>
      <c r="HF35" s="17"/>
      <c r="HT35" s="17"/>
      <c r="HU35" s="17"/>
      <c r="II35" s="42"/>
      <c r="IJ35" s="42"/>
      <c r="IK35" s="42"/>
      <c r="IL35" s="42"/>
      <c r="IM35" s="42"/>
      <c r="IN35" s="42"/>
      <c r="IO35" s="42"/>
      <c r="IP35" s="42"/>
      <c r="IQ35" s="42"/>
      <c r="IR35" s="42"/>
      <c r="IS35" s="42"/>
      <c r="IT35" s="42"/>
      <c r="IU35" s="42"/>
      <c r="IV35" s="42"/>
      <c r="IW35" s="42"/>
      <c r="IX35" s="42"/>
      <c r="IY35" s="42"/>
      <c r="IZ35" s="42"/>
      <c r="JA35" s="42"/>
      <c r="JB35" s="42"/>
      <c r="JC35" s="42"/>
      <c r="JD35" s="42"/>
      <c r="JE35" s="42"/>
      <c r="JF35" s="42"/>
      <c r="JG35" s="42"/>
      <c r="JH35" s="42"/>
      <c r="JI35" s="42"/>
      <c r="JJ35" s="42"/>
      <c r="JK35" s="42"/>
      <c r="JL35" s="42"/>
      <c r="JM35" s="42"/>
      <c r="JN35" s="42"/>
      <c r="JO35" s="42"/>
      <c r="JP35" s="42"/>
      <c r="JQ35" s="42"/>
      <c r="JR35" s="42"/>
      <c r="JS35" s="42"/>
      <c r="JT35" s="42"/>
      <c r="JU35" s="42"/>
      <c r="JV35" s="42"/>
      <c r="JW35" s="42"/>
      <c r="JX35" s="42"/>
      <c r="JY35" s="42"/>
      <c r="JZ35" s="42"/>
      <c r="KA35" s="42"/>
    </row>
    <row r="36" spans="1:287" ht="31.5">
      <c r="A36" s="13" t="s">
        <v>172</v>
      </c>
      <c r="B36" s="13" t="s">
        <v>165</v>
      </c>
      <c r="C36" s="15">
        <v>26.805505</v>
      </c>
      <c r="D36" s="15">
        <v>-82.284251999999995</v>
      </c>
      <c r="E36" s="15">
        <v>0</v>
      </c>
      <c r="F36" s="15">
        <v>0</v>
      </c>
      <c r="G36" s="15">
        <v>0</v>
      </c>
      <c r="H36" s="15">
        <v>0</v>
      </c>
      <c r="I36" s="15">
        <v>0</v>
      </c>
      <c r="J36" s="18">
        <v>0</v>
      </c>
      <c r="K36" s="15">
        <v>0</v>
      </c>
      <c r="L36" s="15">
        <v>0</v>
      </c>
      <c r="M36" s="15">
        <v>0</v>
      </c>
      <c r="N36" s="15">
        <v>0</v>
      </c>
      <c r="O36" s="15">
        <v>0</v>
      </c>
      <c r="P36" s="15">
        <v>0</v>
      </c>
      <c r="Q36" s="18" t="s">
        <v>1209</v>
      </c>
      <c r="R36" s="17"/>
      <c r="Y36" s="18"/>
      <c r="AF36" s="18"/>
      <c r="AG36" s="17"/>
      <c r="AV36" s="17"/>
      <c r="BK36" s="17"/>
      <c r="BZ36" s="17"/>
      <c r="CO36" s="17"/>
      <c r="DD36" s="17"/>
      <c r="DE36" s="17"/>
      <c r="DS36" s="17"/>
      <c r="DT36" s="17"/>
      <c r="EH36" s="17"/>
      <c r="EI36" s="17"/>
      <c r="EW36" s="17"/>
      <c r="EX36" s="17"/>
      <c r="FL36" s="17"/>
      <c r="FM36" s="17"/>
      <c r="GA36" s="17"/>
      <c r="GB36" s="17"/>
      <c r="GP36" s="17"/>
      <c r="GQ36" s="17"/>
      <c r="HE36" s="17"/>
      <c r="HF36" s="17"/>
      <c r="HT36" s="17"/>
      <c r="HU36" s="17"/>
      <c r="II36" s="42"/>
      <c r="IJ36" s="42"/>
      <c r="IK36" s="42"/>
      <c r="IL36" s="42"/>
      <c r="IM36" s="42"/>
      <c r="IN36" s="42"/>
      <c r="IO36" s="42"/>
      <c r="IP36" s="42"/>
      <c r="IQ36" s="42"/>
      <c r="IR36" s="42"/>
      <c r="IS36" s="42"/>
      <c r="IT36" s="42"/>
      <c r="IU36" s="42"/>
      <c r="IV36" s="42"/>
      <c r="IW36" s="42"/>
      <c r="IX36" s="42"/>
      <c r="IY36" s="42"/>
      <c r="IZ36" s="42"/>
      <c r="JA36" s="42"/>
      <c r="JB36" s="42"/>
      <c r="JC36" s="42"/>
      <c r="JD36" s="42"/>
      <c r="JE36" s="42"/>
      <c r="JF36" s="42"/>
      <c r="JG36" s="42"/>
      <c r="JH36" s="42"/>
      <c r="JI36" s="42"/>
      <c r="JJ36" s="42"/>
      <c r="JK36" s="42"/>
      <c r="JL36" s="42"/>
      <c r="JM36" s="42"/>
      <c r="JN36" s="42"/>
      <c r="JO36" s="42"/>
      <c r="JP36" s="42"/>
      <c r="JQ36" s="42"/>
      <c r="JR36" s="42"/>
      <c r="JS36" s="42"/>
      <c r="JT36" s="42"/>
      <c r="JU36" s="42"/>
      <c r="JV36" s="42"/>
      <c r="JW36" s="42"/>
      <c r="JX36" s="42"/>
      <c r="JY36" s="42"/>
      <c r="JZ36" s="42"/>
      <c r="KA36" s="42"/>
    </row>
    <row r="37" spans="1:287">
      <c r="A37" s="13" t="s">
        <v>176</v>
      </c>
      <c r="B37" s="13" t="s">
        <v>165</v>
      </c>
      <c r="C37" s="17"/>
      <c r="J37" s="18"/>
      <c r="Q37" s="18"/>
      <c r="R37" s="17"/>
      <c r="Y37" s="18"/>
      <c r="AF37" s="18"/>
      <c r="AG37" s="17"/>
      <c r="AV37" s="17"/>
      <c r="BK37" s="17"/>
      <c r="BZ37" s="17"/>
      <c r="CO37" s="17"/>
      <c r="DD37" s="17"/>
      <c r="DE37" s="17"/>
      <c r="DS37" s="17"/>
      <c r="DT37" s="17"/>
      <c r="EH37" s="17"/>
      <c r="EI37" s="17"/>
      <c r="EW37" s="17"/>
      <c r="EX37" s="17"/>
      <c r="FL37" s="17"/>
      <c r="FM37" s="17"/>
      <c r="GA37" s="17"/>
      <c r="GB37" s="17"/>
      <c r="GP37" s="17"/>
      <c r="GQ37" s="17"/>
      <c r="HE37" s="17"/>
      <c r="HF37" s="17"/>
      <c r="HT37" s="17"/>
      <c r="HU37" s="17"/>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2"/>
      <c r="JT37" s="42"/>
      <c r="JU37" s="42"/>
      <c r="JV37" s="42"/>
      <c r="JW37" s="42"/>
      <c r="JX37" s="42"/>
      <c r="JY37" s="42"/>
      <c r="JZ37" s="42"/>
      <c r="KA37" s="42"/>
    </row>
    <row r="38" spans="1:287" ht="31.5">
      <c r="A38" s="13" t="s">
        <v>177</v>
      </c>
      <c r="B38" s="13" t="s">
        <v>165</v>
      </c>
      <c r="C38" s="15">
        <v>26.888199</v>
      </c>
      <c r="D38" s="15">
        <v>-82.338299000000006</v>
      </c>
      <c r="E38" s="15">
        <v>0</v>
      </c>
      <c r="F38" s="15">
        <v>0</v>
      </c>
      <c r="G38" s="15">
        <v>0</v>
      </c>
      <c r="H38" s="15">
        <v>0</v>
      </c>
      <c r="I38" s="15">
        <v>0</v>
      </c>
      <c r="J38" s="18">
        <v>0</v>
      </c>
      <c r="K38" s="15">
        <v>0</v>
      </c>
      <c r="L38" s="15">
        <v>0</v>
      </c>
      <c r="M38" s="15">
        <v>0</v>
      </c>
      <c r="N38" s="15">
        <v>0</v>
      </c>
      <c r="O38" s="15">
        <v>0</v>
      </c>
      <c r="P38" s="15">
        <v>0</v>
      </c>
      <c r="Q38" s="18" t="s">
        <v>1210</v>
      </c>
      <c r="R38" s="15">
        <v>26.886368999999998</v>
      </c>
      <c r="S38" s="15">
        <v>-82.336189000000005</v>
      </c>
      <c r="T38" s="15">
        <v>0</v>
      </c>
      <c r="U38" s="15">
        <v>0</v>
      </c>
      <c r="V38" s="15">
        <v>0</v>
      </c>
      <c r="W38" s="15">
        <v>0</v>
      </c>
      <c r="X38" s="15">
        <v>0</v>
      </c>
      <c r="Y38" s="18">
        <v>0</v>
      </c>
      <c r="Z38" s="15">
        <v>0</v>
      </c>
      <c r="AA38" s="15">
        <v>0</v>
      </c>
      <c r="AB38" s="15">
        <v>0</v>
      </c>
      <c r="AC38" s="15">
        <v>0</v>
      </c>
      <c r="AD38" s="15">
        <v>0</v>
      </c>
      <c r="AE38" s="15">
        <v>0</v>
      </c>
      <c r="AF38" s="18" t="s">
        <v>1211</v>
      </c>
      <c r="AG38" s="15">
        <v>26.886368999999998</v>
      </c>
      <c r="AH38" s="15">
        <v>-82.336189000000005</v>
      </c>
      <c r="AI38" s="15">
        <v>0</v>
      </c>
      <c r="AJ38" s="15">
        <v>0</v>
      </c>
      <c r="AK38" s="15">
        <v>0</v>
      </c>
      <c r="AL38" s="15">
        <v>0</v>
      </c>
      <c r="AM38" s="15">
        <v>0</v>
      </c>
      <c r="AN38" s="15">
        <v>0</v>
      </c>
      <c r="AO38" s="15">
        <v>0</v>
      </c>
      <c r="AP38" s="15">
        <v>0</v>
      </c>
      <c r="AQ38" s="15">
        <v>0</v>
      </c>
      <c r="AR38" s="15">
        <v>0</v>
      </c>
      <c r="AS38" s="15">
        <v>0</v>
      </c>
      <c r="AT38" s="15">
        <v>0</v>
      </c>
      <c r="AU38" s="15" t="s">
        <v>1212</v>
      </c>
      <c r="AV38" s="17"/>
      <c r="BK38" s="17"/>
      <c r="BZ38" s="17"/>
      <c r="CO38" s="17"/>
      <c r="DD38" s="17"/>
      <c r="DE38" s="17"/>
      <c r="DS38" s="17"/>
      <c r="DT38" s="17"/>
      <c r="EH38" s="17"/>
      <c r="EI38" s="17"/>
      <c r="EW38" s="17"/>
      <c r="EX38" s="17"/>
      <c r="FL38" s="17"/>
      <c r="FM38" s="17"/>
      <c r="GA38" s="17"/>
      <c r="GB38" s="17"/>
      <c r="GP38" s="17"/>
      <c r="GQ38" s="17"/>
      <c r="HE38" s="17"/>
      <c r="HF38" s="17"/>
      <c r="HT38" s="17"/>
      <c r="HU38" s="17"/>
      <c r="II38" s="42"/>
      <c r="IJ38" s="42"/>
      <c r="IK38" s="42"/>
      <c r="IL38" s="42"/>
      <c r="IM38" s="42"/>
      <c r="IN38" s="42"/>
      <c r="IO38" s="42"/>
      <c r="IP38" s="42"/>
      <c r="IQ38" s="42"/>
      <c r="IR38" s="42"/>
      <c r="IS38" s="42"/>
      <c r="IT38" s="42"/>
      <c r="IU38" s="42"/>
      <c r="IV38" s="42"/>
      <c r="IW38" s="42"/>
      <c r="IX38" s="42"/>
      <c r="IY38" s="42"/>
      <c r="IZ38" s="42"/>
      <c r="JA38" s="42"/>
      <c r="JB38" s="42"/>
      <c r="JC38" s="42"/>
      <c r="JD38" s="42"/>
      <c r="JE38" s="42"/>
      <c r="JF38" s="42"/>
      <c r="JG38" s="42"/>
      <c r="JH38" s="42"/>
      <c r="JI38" s="42"/>
      <c r="JJ38" s="42"/>
      <c r="JK38" s="42"/>
      <c r="JL38" s="42"/>
      <c r="JM38" s="42"/>
      <c r="JN38" s="42"/>
      <c r="JO38" s="42"/>
      <c r="JP38" s="42"/>
      <c r="JQ38" s="42"/>
      <c r="JR38" s="42"/>
      <c r="JS38" s="42"/>
      <c r="JT38" s="42"/>
      <c r="JU38" s="42"/>
      <c r="JV38" s="42"/>
      <c r="JW38" s="42"/>
      <c r="JX38" s="42"/>
      <c r="JY38" s="42"/>
      <c r="JZ38" s="42"/>
      <c r="KA38" s="42"/>
    </row>
    <row r="39" spans="1:287">
      <c r="A39" s="13" t="s">
        <v>178</v>
      </c>
      <c r="B39" s="13" t="s">
        <v>165</v>
      </c>
      <c r="C39" s="15">
        <v>26.816192000000001</v>
      </c>
      <c r="D39" s="15">
        <v>-82.283116000000007</v>
      </c>
      <c r="J39" s="18"/>
      <c r="K39" s="15">
        <v>16</v>
      </c>
      <c r="L39" s="15" t="s">
        <v>1213</v>
      </c>
      <c r="Q39" s="18"/>
      <c r="R39" s="17"/>
      <c r="Y39" s="19"/>
      <c r="AF39" s="19"/>
      <c r="AG39" s="17"/>
      <c r="AV39" s="17"/>
      <c r="BK39" s="17"/>
      <c r="BZ39" s="17"/>
      <c r="CO39" s="17"/>
      <c r="DD39" s="17"/>
      <c r="DE39" s="17"/>
      <c r="DS39" s="17"/>
      <c r="DT39" s="17"/>
      <c r="EH39" s="17"/>
      <c r="EI39" s="17"/>
      <c r="EW39" s="17"/>
      <c r="EX39" s="17"/>
      <c r="FL39" s="17"/>
      <c r="FM39" s="17"/>
      <c r="GA39" s="17"/>
      <c r="GB39" s="17"/>
      <c r="GP39" s="17"/>
      <c r="GQ39" s="17"/>
      <c r="HE39" s="17"/>
      <c r="HF39" s="17"/>
      <c r="HT39" s="17"/>
      <c r="HU39" s="17"/>
      <c r="II39" s="42"/>
      <c r="IJ39" s="42"/>
      <c r="IK39" s="42"/>
      <c r="IL39" s="42"/>
      <c r="IM39" s="42"/>
      <c r="IN39" s="42"/>
      <c r="IO39" s="42"/>
      <c r="IP39" s="42"/>
      <c r="IQ39" s="42"/>
      <c r="IR39" s="42"/>
      <c r="IS39" s="42"/>
      <c r="IT39" s="42"/>
      <c r="IU39" s="42"/>
      <c r="IV39" s="42"/>
      <c r="IW39" s="42"/>
      <c r="IX39" s="42"/>
      <c r="IY39" s="42"/>
      <c r="IZ39" s="42"/>
      <c r="JA39" s="42"/>
      <c r="JB39" s="42"/>
      <c r="JC39" s="42"/>
      <c r="JD39" s="42"/>
      <c r="JE39" s="42"/>
      <c r="JF39" s="42"/>
      <c r="JG39" s="42"/>
      <c r="JH39" s="42"/>
      <c r="JI39" s="42"/>
      <c r="JJ39" s="42"/>
      <c r="JK39" s="42"/>
      <c r="JL39" s="42"/>
      <c r="JM39" s="42"/>
      <c r="JN39" s="42"/>
      <c r="JO39" s="42"/>
      <c r="JP39" s="42"/>
      <c r="JQ39" s="42"/>
      <c r="JR39" s="42"/>
      <c r="JS39" s="42"/>
      <c r="JT39" s="42"/>
      <c r="JU39" s="42"/>
      <c r="JV39" s="42"/>
      <c r="JW39" s="42"/>
      <c r="JX39" s="42"/>
      <c r="JY39" s="42"/>
      <c r="JZ39" s="42"/>
      <c r="KA39" s="42"/>
    </row>
    <row r="40" spans="1:287" ht="63">
      <c r="A40" s="29" t="s">
        <v>180</v>
      </c>
      <c r="B40" s="24" t="s">
        <v>165</v>
      </c>
      <c r="J40" s="18"/>
      <c r="Q40" s="18"/>
      <c r="Y40" s="18"/>
      <c r="AF40" s="18"/>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2"/>
      <c r="JT40" s="42"/>
      <c r="JU40" s="42"/>
      <c r="JV40" s="42"/>
      <c r="JW40" s="42"/>
      <c r="JX40" s="42"/>
      <c r="JY40" s="42"/>
      <c r="JZ40" s="42"/>
      <c r="KA40" s="42"/>
    </row>
    <row r="41" spans="1:287">
      <c r="A41" s="31" t="s">
        <v>182</v>
      </c>
      <c r="B41" s="31" t="s">
        <v>165</v>
      </c>
      <c r="C41" s="15">
        <v>26.897902999999999</v>
      </c>
      <c r="D41" s="15">
        <v>-82.340739999999997</v>
      </c>
      <c r="E41" s="15">
        <v>0</v>
      </c>
      <c r="F41" s="15">
        <v>0</v>
      </c>
      <c r="G41" s="15">
        <v>0</v>
      </c>
      <c r="H41" s="15">
        <v>0</v>
      </c>
      <c r="I41" s="15">
        <v>0</v>
      </c>
      <c r="J41" s="18">
        <v>0</v>
      </c>
      <c r="K41" s="15">
        <v>2</v>
      </c>
      <c r="L41" s="15" t="s">
        <v>1214</v>
      </c>
      <c r="M41" s="15">
        <v>0</v>
      </c>
      <c r="N41" s="15">
        <v>0</v>
      </c>
      <c r="O41" s="15">
        <v>0</v>
      </c>
      <c r="P41" s="15">
        <v>0</v>
      </c>
      <c r="Q41" s="19"/>
      <c r="Y41" s="19"/>
      <c r="AF41" s="19"/>
      <c r="II41" s="42"/>
      <c r="IJ41" s="42"/>
      <c r="IK41" s="42"/>
      <c r="IL41" s="42"/>
      <c r="IM41" s="42"/>
      <c r="IN41" s="42"/>
      <c r="IO41" s="42"/>
      <c r="IP41" s="42"/>
      <c r="IQ41" s="42"/>
      <c r="IR41" s="42"/>
      <c r="IS41" s="42"/>
      <c r="IT41" s="42"/>
      <c r="IU41" s="42"/>
      <c r="IV41" s="42"/>
      <c r="IW41" s="42"/>
      <c r="IX41" s="42"/>
      <c r="IY41" s="42"/>
      <c r="IZ41" s="42"/>
      <c r="JA41" s="42"/>
      <c r="JB41" s="42"/>
      <c r="JC41" s="42"/>
      <c r="JD41" s="42"/>
      <c r="JE41" s="42"/>
      <c r="JF41" s="42"/>
      <c r="JG41" s="42"/>
      <c r="JH41" s="42"/>
      <c r="JI41" s="42"/>
      <c r="JJ41" s="42"/>
      <c r="JK41" s="42"/>
      <c r="JL41" s="42"/>
      <c r="JM41" s="42"/>
      <c r="JN41" s="42"/>
      <c r="JO41" s="42"/>
      <c r="JP41" s="42"/>
      <c r="JQ41" s="42"/>
      <c r="JR41" s="42"/>
      <c r="JS41" s="42"/>
      <c r="JT41" s="42"/>
      <c r="JU41" s="42"/>
      <c r="JV41" s="42"/>
      <c r="JW41" s="42"/>
      <c r="JX41" s="42"/>
      <c r="JY41" s="42"/>
      <c r="JZ41" s="42"/>
      <c r="KA41" s="42"/>
    </row>
    <row r="42" spans="1:287">
      <c r="A42" s="29" t="s">
        <v>184</v>
      </c>
      <c r="B42" s="13" t="s">
        <v>185</v>
      </c>
      <c r="C42" s="17"/>
      <c r="J42" s="19"/>
      <c r="Q42" s="19"/>
      <c r="R42" s="17"/>
      <c r="Y42" s="19"/>
      <c r="AF42" s="19"/>
      <c r="AG42" s="17"/>
      <c r="AV42" s="17"/>
      <c r="BK42" s="17"/>
      <c r="BZ42" s="17"/>
      <c r="CO42" s="17"/>
      <c r="DD42" s="17"/>
      <c r="DE42" s="17"/>
      <c r="DS42" s="17"/>
      <c r="DT42" s="17"/>
      <c r="EH42" s="17"/>
      <c r="EI42" s="17"/>
      <c r="EW42" s="17"/>
      <c r="EX42" s="17"/>
      <c r="FL42" s="17"/>
      <c r="FM42" s="17"/>
      <c r="GA42" s="17"/>
      <c r="GB42" s="17"/>
      <c r="GP42" s="17"/>
      <c r="GQ42" s="17"/>
      <c r="HE42" s="17"/>
      <c r="HF42" s="17"/>
      <c r="HT42" s="17"/>
      <c r="HU42" s="17"/>
      <c r="II42" s="42"/>
      <c r="IJ42" s="42"/>
      <c r="IK42" s="42"/>
      <c r="IL42" s="42"/>
      <c r="IM42" s="42"/>
      <c r="IN42" s="42"/>
      <c r="IO42" s="42"/>
      <c r="IP42" s="42"/>
      <c r="IQ42" s="42"/>
      <c r="IR42" s="42"/>
      <c r="IS42" s="42"/>
      <c r="IT42" s="42"/>
      <c r="IU42" s="42"/>
      <c r="IV42" s="42"/>
      <c r="IW42" s="42"/>
      <c r="IX42" s="42"/>
      <c r="IY42" s="42"/>
      <c r="IZ42" s="42"/>
      <c r="JA42" s="42"/>
      <c r="JB42" s="42"/>
      <c r="JC42" s="42"/>
      <c r="JD42" s="42"/>
      <c r="JE42" s="42"/>
      <c r="JF42" s="42"/>
      <c r="JG42" s="42"/>
      <c r="JH42" s="42"/>
      <c r="JI42" s="42"/>
      <c r="JJ42" s="42"/>
      <c r="JK42" s="42"/>
      <c r="JL42" s="42"/>
      <c r="JM42" s="42"/>
      <c r="JN42" s="42"/>
      <c r="JO42" s="42"/>
      <c r="JP42" s="42"/>
      <c r="JQ42" s="42"/>
      <c r="JR42" s="42"/>
      <c r="JS42" s="42"/>
      <c r="JT42" s="42"/>
      <c r="JU42" s="42"/>
      <c r="JV42" s="42"/>
      <c r="JW42" s="42"/>
      <c r="JX42" s="42"/>
      <c r="JY42" s="42"/>
      <c r="JZ42" s="42"/>
      <c r="KA42" s="42"/>
    </row>
    <row r="43" spans="1:287" ht="31.5">
      <c r="A43" s="29" t="s">
        <v>186</v>
      </c>
      <c r="B43" s="13" t="s">
        <v>187</v>
      </c>
      <c r="C43" s="17"/>
      <c r="J43" s="19"/>
      <c r="Q43" s="19"/>
      <c r="R43" s="17"/>
      <c r="Y43" s="19"/>
      <c r="AF43" s="19"/>
      <c r="AG43" s="17"/>
      <c r="AV43" s="17"/>
      <c r="BK43" s="17"/>
      <c r="BZ43" s="17"/>
      <c r="CO43" s="17"/>
      <c r="DD43" s="17"/>
      <c r="DE43" s="17"/>
      <c r="DS43" s="17"/>
      <c r="DT43" s="17"/>
      <c r="EH43" s="17"/>
      <c r="EI43" s="17"/>
      <c r="EW43" s="17"/>
      <c r="EX43" s="17"/>
      <c r="FL43" s="17"/>
      <c r="FM43" s="17"/>
      <c r="GA43" s="17"/>
      <c r="GB43" s="17"/>
      <c r="GP43" s="17"/>
      <c r="GQ43" s="17"/>
      <c r="HE43" s="17"/>
      <c r="HF43" s="17"/>
      <c r="HT43" s="17"/>
      <c r="HU43" s="17"/>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2"/>
      <c r="JT43" s="42"/>
      <c r="JU43" s="42"/>
      <c r="JV43" s="42"/>
      <c r="JW43" s="42"/>
      <c r="JX43" s="42"/>
      <c r="JY43" s="42"/>
      <c r="JZ43" s="42"/>
      <c r="KA43" s="42"/>
    </row>
    <row r="44" spans="1:287">
      <c r="A44" s="13" t="s">
        <v>188</v>
      </c>
      <c r="B44" s="13" t="s">
        <v>189</v>
      </c>
      <c r="C44" s="17"/>
      <c r="J44" s="19"/>
      <c r="Q44" s="19"/>
      <c r="R44" s="17"/>
      <c r="Y44" s="19"/>
      <c r="AF44" s="19"/>
      <c r="AG44" s="17"/>
      <c r="AV44" s="17"/>
      <c r="BK44" s="17"/>
      <c r="BZ44" s="17"/>
      <c r="CO44" s="17"/>
      <c r="DD44" s="17"/>
      <c r="DE44" s="17"/>
      <c r="DS44" s="17"/>
      <c r="DT44" s="17"/>
      <c r="EH44" s="17"/>
      <c r="EI44" s="17"/>
      <c r="EW44" s="17"/>
      <c r="EX44" s="17"/>
      <c r="FL44" s="17"/>
      <c r="FM44" s="17"/>
      <c r="GA44" s="17"/>
      <c r="GB44" s="17"/>
      <c r="GP44" s="17"/>
      <c r="GQ44" s="17"/>
      <c r="HE44" s="17"/>
      <c r="HF44" s="17"/>
      <c r="HT44" s="17"/>
      <c r="HU44" s="17"/>
      <c r="II44" s="42"/>
      <c r="IJ44" s="42"/>
      <c r="IK44" s="42"/>
      <c r="IL44" s="42"/>
      <c r="IM44" s="42"/>
      <c r="IN44" s="42"/>
      <c r="IO44" s="42"/>
      <c r="IP44" s="42"/>
      <c r="IQ44" s="42"/>
      <c r="IR44" s="42"/>
      <c r="IS44" s="42"/>
      <c r="IT44" s="42"/>
      <c r="IU44" s="42"/>
      <c r="IV44" s="42"/>
      <c r="IW44" s="42"/>
      <c r="IX44" s="42"/>
      <c r="IY44" s="42"/>
      <c r="IZ44" s="42"/>
      <c r="JA44" s="42"/>
      <c r="JB44" s="42"/>
      <c r="JC44" s="42"/>
      <c r="JD44" s="42"/>
      <c r="JE44" s="42"/>
      <c r="JF44" s="42"/>
      <c r="JG44" s="42"/>
      <c r="JH44" s="42"/>
      <c r="JI44" s="42"/>
      <c r="JJ44" s="42"/>
      <c r="JK44" s="42"/>
      <c r="JL44" s="42"/>
      <c r="JM44" s="42"/>
      <c r="JN44" s="42"/>
      <c r="JO44" s="42"/>
      <c r="JP44" s="42"/>
      <c r="JQ44" s="42"/>
      <c r="JR44" s="42"/>
      <c r="JS44" s="42"/>
      <c r="JT44" s="42"/>
      <c r="JU44" s="42"/>
      <c r="JV44" s="42"/>
      <c r="JW44" s="42"/>
      <c r="JX44" s="42"/>
      <c r="JY44" s="42"/>
      <c r="JZ44" s="42"/>
      <c r="KA44" s="42"/>
    </row>
    <row r="45" spans="1:287">
      <c r="A45" s="13" t="s">
        <v>193</v>
      </c>
      <c r="B45" s="13" t="s">
        <v>189</v>
      </c>
      <c r="C45" s="15">
        <v>25.957429000000001</v>
      </c>
      <c r="D45" s="15">
        <v>-81.751846999999998</v>
      </c>
      <c r="I45" s="15">
        <v>3</v>
      </c>
      <c r="J45" s="18" t="s">
        <v>1215</v>
      </c>
      <c r="O45" s="15">
        <v>2</v>
      </c>
      <c r="Q45" s="19"/>
      <c r="R45" s="15">
        <v>25.962804999999999</v>
      </c>
      <c r="S45" s="15">
        <v>-81.750254999999996</v>
      </c>
      <c r="X45" s="15">
        <v>3</v>
      </c>
      <c r="Y45" s="15" t="s">
        <v>1216</v>
      </c>
      <c r="AD45" s="15">
        <v>4</v>
      </c>
      <c r="AF45" s="19"/>
      <c r="AG45" s="15">
        <v>25.965088999999999</v>
      </c>
      <c r="AH45" s="15">
        <v>-81.749092000000005</v>
      </c>
      <c r="AS45" s="15">
        <v>2</v>
      </c>
      <c r="AV45" s="15">
        <v>25.966816000000001</v>
      </c>
      <c r="AW45" s="15">
        <v>-81.747677999999993</v>
      </c>
      <c r="BH45" s="15">
        <v>4</v>
      </c>
      <c r="BK45" s="17"/>
      <c r="BZ45" s="17"/>
      <c r="CO45" s="17"/>
      <c r="DD45" s="17"/>
      <c r="DE45" s="17"/>
      <c r="DS45" s="17"/>
      <c r="DT45" s="17"/>
      <c r="EH45" s="17"/>
      <c r="EI45" s="17"/>
      <c r="EW45" s="17"/>
      <c r="EX45" s="17"/>
      <c r="FL45" s="17"/>
      <c r="FM45" s="17"/>
      <c r="GA45" s="17"/>
      <c r="GB45" s="17"/>
      <c r="GP45" s="17"/>
      <c r="GQ45" s="17"/>
      <c r="HE45" s="17"/>
      <c r="HF45" s="17"/>
      <c r="HT45" s="17"/>
      <c r="HU45" s="17"/>
      <c r="II45" s="42"/>
      <c r="IJ45" s="42"/>
      <c r="IK45" s="42"/>
      <c r="IL45" s="42"/>
      <c r="IM45" s="42"/>
      <c r="IN45" s="42"/>
      <c r="IO45" s="42"/>
      <c r="IP45" s="42"/>
      <c r="IQ45" s="42"/>
      <c r="IR45" s="42"/>
      <c r="IS45" s="42"/>
      <c r="IT45" s="42"/>
      <c r="IU45" s="42"/>
      <c r="IV45" s="42"/>
      <c r="IW45" s="42"/>
      <c r="IX45" s="42"/>
      <c r="IY45" s="42"/>
      <c r="IZ45" s="42"/>
      <c r="JA45" s="42"/>
      <c r="JB45" s="42"/>
      <c r="JC45" s="42"/>
      <c r="JD45" s="42"/>
      <c r="JE45" s="42"/>
      <c r="JF45" s="42"/>
      <c r="JG45" s="42"/>
      <c r="JH45" s="42"/>
      <c r="JI45" s="42"/>
      <c r="JJ45" s="42"/>
      <c r="JK45" s="42"/>
      <c r="JL45" s="42"/>
      <c r="JM45" s="42"/>
      <c r="JN45" s="42"/>
      <c r="JO45" s="42"/>
      <c r="JP45" s="42"/>
      <c r="JQ45" s="42"/>
      <c r="JR45" s="42"/>
      <c r="JS45" s="42"/>
      <c r="JT45" s="42"/>
      <c r="JU45" s="42"/>
      <c r="JV45" s="42"/>
      <c r="JW45" s="42"/>
      <c r="JX45" s="42"/>
      <c r="JY45" s="42"/>
      <c r="JZ45" s="42"/>
      <c r="KA45" s="42"/>
    </row>
    <row r="46" spans="1:287">
      <c r="A46" s="13" t="s">
        <v>196</v>
      </c>
      <c r="B46" s="13" t="s">
        <v>189</v>
      </c>
      <c r="C46" s="101"/>
      <c r="D46" s="101"/>
      <c r="J46" s="18"/>
      <c r="Q46" s="19"/>
      <c r="R46" s="17"/>
      <c r="Y46" s="19"/>
      <c r="AF46" s="19"/>
      <c r="AG46" s="36"/>
      <c r="AV46" s="17"/>
      <c r="BK46" s="17"/>
      <c r="BZ46" s="17"/>
      <c r="CO46" s="17"/>
      <c r="DD46" s="17"/>
      <c r="DE46" s="17"/>
      <c r="DS46" s="17"/>
      <c r="DT46" s="17"/>
      <c r="EH46" s="17"/>
      <c r="EI46" s="17"/>
      <c r="EW46" s="17"/>
      <c r="EX46" s="17"/>
      <c r="FL46" s="17"/>
      <c r="FM46" s="17"/>
      <c r="GA46" s="17"/>
      <c r="GB46" s="17"/>
      <c r="GP46" s="17"/>
      <c r="GQ46" s="17"/>
      <c r="HE46" s="17"/>
      <c r="HF46" s="17"/>
      <c r="HT46" s="17"/>
      <c r="HU46" s="17"/>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2"/>
      <c r="JT46" s="42"/>
      <c r="JU46" s="42"/>
      <c r="JV46" s="42"/>
      <c r="JW46" s="42"/>
      <c r="JX46" s="42"/>
      <c r="JY46" s="42"/>
      <c r="JZ46" s="42"/>
      <c r="KA46" s="42"/>
    </row>
    <row r="47" spans="1:287" ht="26.25">
      <c r="A47" s="13" t="s">
        <v>200</v>
      </c>
      <c r="B47" s="13" t="s">
        <v>189</v>
      </c>
      <c r="C47" s="15">
        <v>26.21902</v>
      </c>
      <c r="D47" s="15">
        <v>-81.818116000000003</v>
      </c>
      <c r="G47" s="15">
        <v>932</v>
      </c>
      <c r="H47" s="15" t="s">
        <v>1217</v>
      </c>
      <c r="J47" s="19"/>
      <c r="K47" s="15">
        <v>11</v>
      </c>
      <c r="L47" s="15" t="s">
        <v>1218</v>
      </c>
      <c r="Q47" s="18" t="s">
        <v>1219</v>
      </c>
      <c r="R47" s="17"/>
      <c r="Y47" s="19"/>
      <c r="AF47" s="19"/>
      <c r="AG47" s="17"/>
      <c r="AV47" s="17"/>
      <c r="BK47" s="17"/>
      <c r="BZ47" s="17"/>
      <c r="CO47" s="17"/>
      <c r="DD47" s="17"/>
      <c r="DE47" s="17"/>
      <c r="DS47" s="17"/>
      <c r="DT47" s="17"/>
      <c r="EH47" s="17"/>
      <c r="EI47" s="17"/>
      <c r="EW47" s="17"/>
      <c r="EX47" s="17"/>
      <c r="FL47" s="17"/>
      <c r="FM47" s="17"/>
      <c r="GA47" s="17"/>
      <c r="GB47" s="17"/>
      <c r="GP47" s="17"/>
      <c r="GQ47" s="17"/>
      <c r="HE47" s="17"/>
      <c r="HF47" s="17"/>
      <c r="HT47" s="17"/>
      <c r="HU47" s="17"/>
      <c r="II47" s="42"/>
      <c r="IJ47" s="42"/>
      <c r="IK47" s="42"/>
      <c r="IL47" s="42"/>
      <c r="IM47" s="42"/>
      <c r="IN47" s="42"/>
      <c r="IO47" s="42"/>
      <c r="IP47" s="42"/>
      <c r="IQ47" s="42"/>
      <c r="IR47" s="42"/>
      <c r="IS47" s="42"/>
      <c r="IT47" s="42"/>
      <c r="IU47" s="42"/>
      <c r="IV47" s="42"/>
      <c r="IW47" s="42"/>
      <c r="IX47" s="42"/>
      <c r="IY47" s="42"/>
      <c r="IZ47" s="42"/>
      <c r="JA47" s="42"/>
      <c r="JB47" s="42"/>
      <c r="JC47" s="42"/>
      <c r="JD47" s="42"/>
      <c r="JE47" s="42"/>
      <c r="JF47" s="42"/>
      <c r="JG47" s="42"/>
      <c r="JH47" s="42"/>
      <c r="JI47" s="42"/>
      <c r="JJ47" s="42"/>
      <c r="JK47" s="42"/>
      <c r="JL47" s="42"/>
      <c r="JM47" s="42"/>
      <c r="JN47" s="42"/>
      <c r="JO47" s="42"/>
      <c r="JP47" s="42"/>
      <c r="JQ47" s="42"/>
      <c r="JR47" s="42"/>
      <c r="JS47" s="42"/>
      <c r="JT47" s="42"/>
      <c r="JU47" s="42"/>
      <c r="JV47" s="42"/>
      <c r="JW47" s="42"/>
      <c r="JX47" s="42"/>
      <c r="JY47" s="42"/>
      <c r="JZ47" s="42"/>
      <c r="KA47" s="42"/>
    </row>
    <row r="48" spans="1:287">
      <c r="A48" s="13" t="s">
        <v>201</v>
      </c>
      <c r="B48" s="13" t="s">
        <v>189</v>
      </c>
      <c r="C48" s="17"/>
      <c r="J48" s="19"/>
      <c r="Q48" s="19"/>
      <c r="R48" s="17"/>
      <c r="Y48" s="19"/>
      <c r="AF48" s="19"/>
      <c r="AG48" s="17"/>
      <c r="AV48" s="17"/>
      <c r="BK48" s="17"/>
      <c r="BZ48" s="17"/>
      <c r="CO48" s="17"/>
      <c r="DD48" s="17"/>
      <c r="DE48" s="17"/>
      <c r="DS48" s="17"/>
      <c r="DT48" s="17"/>
      <c r="EH48" s="17"/>
      <c r="EI48" s="17"/>
      <c r="EW48" s="17"/>
      <c r="EX48" s="17"/>
      <c r="FL48" s="17"/>
      <c r="FM48" s="17"/>
      <c r="GA48" s="17"/>
      <c r="GB48" s="17"/>
      <c r="GP48" s="17"/>
      <c r="GQ48" s="17"/>
      <c r="HE48" s="17"/>
      <c r="HF48" s="17"/>
      <c r="HT48" s="17"/>
      <c r="HU48" s="17"/>
      <c r="II48" s="42"/>
      <c r="IJ48" s="42"/>
      <c r="IK48" s="42"/>
      <c r="IL48" s="42"/>
      <c r="IM48" s="42"/>
      <c r="IN48" s="42"/>
      <c r="IO48" s="42"/>
      <c r="IP48" s="42"/>
      <c r="IQ48" s="42"/>
      <c r="IR48" s="42"/>
      <c r="IS48" s="42"/>
      <c r="IT48" s="42"/>
      <c r="IU48" s="42"/>
      <c r="IV48" s="42"/>
      <c r="IW48" s="42"/>
      <c r="IX48" s="42"/>
      <c r="IY48" s="42"/>
      <c r="IZ48" s="42"/>
      <c r="JA48" s="42"/>
      <c r="JB48" s="42"/>
      <c r="JC48" s="42"/>
      <c r="JD48" s="42"/>
      <c r="JE48" s="42"/>
      <c r="JF48" s="42"/>
      <c r="JG48" s="42"/>
      <c r="JH48" s="42"/>
      <c r="JI48" s="42"/>
      <c r="JJ48" s="42"/>
      <c r="JK48" s="42"/>
      <c r="JL48" s="42"/>
      <c r="JM48" s="42"/>
      <c r="JN48" s="42"/>
      <c r="JO48" s="42"/>
      <c r="JP48" s="42"/>
      <c r="JQ48" s="42"/>
      <c r="JR48" s="42"/>
      <c r="JS48" s="42"/>
      <c r="JT48" s="42"/>
      <c r="JU48" s="42"/>
      <c r="JV48" s="42"/>
      <c r="JW48" s="42"/>
      <c r="JX48" s="42"/>
      <c r="JY48" s="42"/>
      <c r="JZ48" s="42"/>
      <c r="KA48" s="42"/>
    </row>
    <row r="49" spans="1:287">
      <c r="A49" s="13" t="s">
        <v>205</v>
      </c>
      <c r="B49" s="13" t="s">
        <v>189</v>
      </c>
      <c r="C49" s="15">
        <v>25.986771000000001</v>
      </c>
      <c r="D49" s="15">
        <v>-81.749562999999995</v>
      </c>
      <c r="E49" s="15">
        <v>1</v>
      </c>
      <c r="J49" s="19"/>
      <c r="Q49" s="19"/>
      <c r="R49" s="17"/>
      <c r="Y49" s="19"/>
      <c r="AF49" s="19"/>
      <c r="AG49" s="17"/>
      <c r="AV49" s="17"/>
      <c r="BK49" s="17"/>
      <c r="BZ49" s="17"/>
      <c r="CO49" s="17"/>
      <c r="DD49" s="17"/>
      <c r="DE49" s="17"/>
      <c r="DS49" s="17"/>
      <c r="DT49" s="17"/>
      <c r="EH49" s="17"/>
      <c r="EI49" s="17"/>
      <c r="EW49" s="17"/>
      <c r="EX49" s="17"/>
      <c r="FL49" s="17"/>
      <c r="FM49" s="17"/>
      <c r="GA49" s="17"/>
      <c r="GB49" s="17"/>
      <c r="GP49" s="17"/>
      <c r="GQ49" s="17"/>
      <c r="HE49" s="17"/>
      <c r="HF49" s="17"/>
      <c r="HT49" s="17"/>
      <c r="HU49" s="17"/>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2"/>
      <c r="JT49" s="42"/>
      <c r="JU49" s="42"/>
      <c r="JV49" s="42"/>
      <c r="JW49" s="42"/>
      <c r="JX49" s="42"/>
      <c r="JY49" s="42"/>
      <c r="JZ49" s="42"/>
      <c r="KA49" s="42"/>
    </row>
    <row r="50" spans="1:287">
      <c r="A50" s="13" t="s">
        <v>207</v>
      </c>
      <c r="B50" s="13" t="s">
        <v>189</v>
      </c>
      <c r="C50" s="15">
        <v>25.902850999999998</v>
      </c>
      <c r="D50" s="15">
        <v>-81.719855999999993</v>
      </c>
      <c r="E50" s="15">
        <v>6</v>
      </c>
      <c r="J50" s="19"/>
      <c r="Q50" s="19"/>
      <c r="R50" s="15">
        <v>25.898154000000002</v>
      </c>
      <c r="S50" s="15">
        <v>-81.716318000000001</v>
      </c>
      <c r="X50" s="15">
        <v>1</v>
      </c>
      <c r="Y50" s="19"/>
      <c r="AA50" s="15">
        <v>8</v>
      </c>
      <c r="AF50" s="19"/>
      <c r="AG50" s="17"/>
      <c r="AV50" s="17"/>
      <c r="BK50" s="17"/>
      <c r="BZ50" s="17"/>
      <c r="CO50" s="17"/>
      <c r="DD50" s="17"/>
      <c r="DE50" s="17"/>
      <c r="DS50" s="17"/>
      <c r="DT50" s="17"/>
      <c r="EH50" s="17"/>
      <c r="EI50" s="17"/>
      <c r="EW50" s="17"/>
      <c r="EX50" s="17"/>
      <c r="FL50" s="17"/>
      <c r="FM50" s="17"/>
      <c r="GA50" s="17"/>
      <c r="GB50" s="17"/>
      <c r="GP50" s="17"/>
      <c r="GQ50" s="17"/>
      <c r="HE50" s="17"/>
      <c r="HF50" s="17"/>
      <c r="HT50" s="17"/>
      <c r="HU50" s="17"/>
      <c r="II50" s="42"/>
      <c r="IJ50" s="42"/>
      <c r="IK50" s="42"/>
      <c r="IL50" s="42"/>
      <c r="IM50" s="42"/>
      <c r="IN50" s="42"/>
      <c r="IO50" s="42"/>
      <c r="IP50" s="42"/>
      <c r="IQ50" s="42"/>
      <c r="IR50" s="42"/>
      <c r="IS50" s="42"/>
      <c r="IT50" s="42"/>
      <c r="IU50" s="42"/>
      <c r="IV50" s="42"/>
      <c r="IW50" s="42"/>
      <c r="IX50" s="42"/>
      <c r="IY50" s="42"/>
      <c r="IZ50" s="42"/>
      <c r="JA50" s="42"/>
      <c r="JB50" s="42"/>
      <c r="JC50" s="42"/>
      <c r="JD50" s="42"/>
      <c r="JE50" s="42"/>
      <c r="JF50" s="42"/>
      <c r="JG50" s="42"/>
      <c r="JH50" s="42"/>
      <c r="JI50" s="42"/>
      <c r="JJ50" s="42"/>
      <c r="JK50" s="42"/>
      <c r="JL50" s="42"/>
      <c r="JM50" s="42"/>
      <c r="JN50" s="42"/>
      <c r="JO50" s="42"/>
      <c r="JP50" s="42"/>
      <c r="JQ50" s="42"/>
      <c r="JR50" s="42"/>
      <c r="JS50" s="42"/>
      <c r="JT50" s="42"/>
      <c r="JU50" s="42"/>
      <c r="JV50" s="42"/>
      <c r="JW50" s="42"/>
      <c r="JX50" s="42"/>
      <c r="JY50" s="42"/>
      <c r="JZ50" s="42"/>
      <c r="KA50" s="42"/>
    </row>
    <row r="51" spans="1:287">
      <c r="A51" s="13" t="s">
        <v>208</v>
      </c>
      <c r="B51" s="13" t="s">
        <v>189</v>
      </c>
      <c r="C51" s="15">
        <v>25.926852</v>
      </c>
      <c r="D51" s="15">
        <v>-81.730751999999995</v>
      </c>
      <c r="G51" s="15">
        <v>760</v>
      </c>
      <c r="H51" s="15" t="s">
        <v>1220</v>
      </c>
      <c r="J51" s="18"/>
      <c r="Q51" s="19"/>
      <c r="R51" s="17"/>
      <c r="Y51" s="19"/>
      <c r="AF51" s="19"/>
      <c r="AG51" s="17"/>
      <c r="AV51" s="17"/>
      <c r="BK51" s="17"/>
      <c r="BZ51" s="17"/>
      <c r="CO51" s="17"/>
      <c r="DD51" s="17"/>
      <c r="DE51" s="17"/>
      <c r="DS51" s="17"/>
      <c r="DT51" s="17"/>
      <c r="EH51" s="17"/>
      <c r="EI51" s="17"/>
      <c r="EW51" s="17"/>
      <c r="EX51" s="17"/>
      <c r="FL51" s="17"/>
      <c r="FM51" s="17"/>
      <c r="GA51" s="17"/>
      <c r="GB51" s="17"/>
      <c r="GP51" s="17"/>
      <c r="GQ51" s="17"/>
      <c r="HE51" s="17"/>
      <c r="HF51" s="17"/>
      <c r="HT51" s="17"/>
      <c r="HU51" s="17"/>
      <c r="II51" s="42"/>
      <c r="IJ51" s="42"/>
      <c r="IK51" s="42"/>
      <c r="IL51" s="42"/>
      <c r="IM51" s="42"/>
      <c r="IN51" s="42"/>
      <c r="IO51" s="42"/>
      <c r="IP51" s="42"/>
      <c r="IQ51" s="42"/>
      <c r="IR51" s="42"/>
      <c r="IS51" s="42"/>
      <c r="IT51" s="42"/>
      <c r="IU51" s="42"/>
      <c r="IV51" s="42"/>
      <c r="IW51" s="42"/>
      <c r="IX51" s="42"/>
      <c r="IY51" s="42"/>
      <c r="IZ51" s="42"/>
      <c r="JA51" s="42"/>
      <c r="JB51" s="42"/>
      <c r="JC51" s="42"/>
      <c r="JD51" s="42"/>
      <c r="JE51" s="42"/>
      <c r="JF51" s="42"/>
      <c r="JG51" s="42"/>
      <c r="JH51" s="42"/>
      <c r="JI51" s="42"/>
      <c r="JJ51" s="42"/>
      <c r="JK51" s="42"/>
      <c r="JL51" s="42"/>
      <c r="JM51" s="42"/>
      <c r="JN51" s="42"/>
      <c r="JO51" s="42"/>
      <c r="JP51" s="42"/>
      <c r="JQ51" s="42"/>
      <c r="JR51" s="42"/>
      <c r="JS51" s="42"/>
      <c r="JT51" s="42"/>
      <c r="JU51" s="42"/>
      <c r="JV51" s="42"/>
      <c r="JW51" s="42"/>
      <c r="JX51" s="42"/>
      <c r="JY51" s="42"/>
      <c r="JZ51" s="42"/>
      <c r="KA51" s="42"/>
    </row>
    <row r="52" spans="1:287" ht="26.25">
      <c r="A52" s="13" t="s">
        <v>211</v>
      </c>
      <c r="B52" s="13" t="s">
        <v>189</v>
      </c>
      <c r="C52" s="15">
        <v>25.854970999999999</v>
      </c>
      <c r="D52" s="102">
        <v>-81.683449999999993</v>
      </c>
      <c r="I52" s="15">
        <v>16</v>
      </c>
      <c r="J52" s="18" t="s">
        <v>1221</v>
      </c>
      <c r="K52" s="15">
        <v>49</v>
      </c>
      <c r="L52" s="15" t="s">
        <v>1222</v>
      </c>
      <c r="O52" s="15">
        <v>11</v>
      </c>
      <c r="Q52" s="18"/>
      <c r="R52" s="17"/>
      <c r="Y52" s="19"/>
      <c r="AF52" s="19"/>
      <c r="AG52" s="17"/>
      <c r="AV52" s="17"/>
      <c r="BK52" s="17"/>
      <c r="BZ52" s="17"/>
      <c r="CO52" s="17"/>
      <c r="DD52" s="17"/>
      <c r="DE52" s="17"/>
      <c r="DS52" s="17"/>
      <c r="DT52" s="17"/>
      <c r="EH52" s="17"/>
      <c r="EI52" s="17"/>
      <c r="EW52" s="17"/>
      <c r="EX52" s="17"/>
      <c r="FL52" s="17"/>
      <c r="FM52" s="17"/>
      <c r="GA52" s="17"/>
      <c r="GB52" s="17"/>
      <c r="GP52" s="17"/>
      <c r="GQ52" s="17"/>
      <c r="HE52" s="17"/>
      <c r="HF52" s="17"/>
      <c r="HT52" s="17"/>
      <c r="HU52" s="17"/>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2"/>
      <c r="JT52" s="42"/>
      <c r="JU52" s="42"/>
      <c r="JV52" s="42"/>
      <c r="JW52" s="42"/>
      <c r="JX52" s="42"/>
      <c r="JY52" s="42"/>
      <c r="JZ52" s="42"/>
      <c r="KA52" s="42"/>
    </row>
    <row r="53" spans="1:287">
      <c r="A53" s="13" t="s">
        <v>212</v>
      </c>
      <c r="B53" s="13" t="s">
        <v>189</v>
      </c>
      <c r="C53" s="17"/>
      <c r="J53" s="18"/>
      <c r="Q53" s="19"/>
      <c r="R53" s="17"/>
      <c r="Y53" s="19"/>
      <c r="AF53" s="19"/>
      <c r="AG53" s="17"/>
      <c r="AV53" s="17"/>
      <c r="BK53" s="17"/>
      <c r="BZ53" s="17"/>
      <c r="CO53" s="17"/>
      <c r="DD53" s="17"/>
      <c r="DE53" s="17"/>
      <c r="DS53" s="17"/>
      <c r="DT53" s="17"/>
      <c r="EH53" s="17"/>
      <c r="EI53" s="17"/>
      <c r="EW53" s="17"/>
      <c r="EX53" s="17"/>
      <c r="FL53" s="17"/>
      <c r="FM53" s="17"/>
      <c r="GA53" s="17"/>
      <c r="GB53" s="17"/>
      <c r="GP53" s="17"/>
      <c r="GQ53" s="17"/>
      <c r="HE53" s="17"/>
      <c r="HF53" s="17"/>
      <c r="HT53" s="17"/>
      <c r="HU53" s="17"/>
      <c r="II53" s="42"/>
      <c r="IJ53" s="42"/>
      <c r="IK53" s="42"/>
      <c r="IL53" s="42"/>
      <c r="IM53" s="42"/>
      <c r="IN53" s="42"/>
      <c r="IO53" s="42"/>
      <c r="IP53" s="42"/>
      <c r="IQ53" s="42"/>
      <c r="IR53" s="42"/>
      <c r="IS53" s="42"/>
      <c r="IT53" s="42"/>
      <c r="IU53" s="42"/>
      <c r="IV53" s="42"/>
      <c r="IW53" s="42"/>
      <c r="IX53" s="42"/>
      <c r="IY53" s="42"/>
      <c r="IZ53" s="42"/>
      <c r="JA53" s="42"/>
      <c r="JB53" s="42"/>
      <c r="JC53" s="42"/>
      <c r="JD53" s="42"/>
      <c r="JE53" s="42"/>
      <c r="JF53" s="42"/>
      <c r="JG53" s="42"/>
      <c r="JH53" s="42"/>
      <c r="JI53" s="42"/>
      <c r="JJ53" s="42"/>
      <c r="JK53" s="42"/>
      <c r="JL53" s="42"/>
      <c r="JM53" s="42"/>
      <c r="JN53" s="42"/>
      <c r="JO53" s="42"/>
      <c r="JP53" s="42"/>
      <c r="JQ53" s="42"/>
      <c r="JR53" s="42"/>
      <c r="JS53" s="42"/>
      <c r="JT53" s="42"/>
      <c r="JU53" s="42"/>
      <c r="JV53" s="42"/>
      <c r="JW53" s="42"/>
      <c r="JX53" s="42"/>
      <c r="JY53" s="42"/>
      <c r="JZ53" s="42"/>
      <c r="KA53" s="42"/>
    </row>
    <row r="54" spans="1:287">
      <c r="A54" s="13" t="s">
        <v>213</v>
      </c>
      <c r="B54" s="13" t="s">
        <v>189</v>
      </c>
      <c r="C54" s="17"/>
      <c r="J54" s="19"/>
      <c r="Q54" s="19"/>
      <c r="R54" s="17"/>
      <c r="Y54" s="19"/>
      <c r="AF54" s="19"/>
      <c r="AG54" s="17"/>
      <c r="AV54" s="17"/>
      <c r="BK54" s="17"/>
      <c r="BZ54" s="17"/>
      <c r="CO54" s="17"/>
      <c r="DD54" s="17"/>
      <c r="DE54" s="17"/>
      <c r="DS54" s="17"/>
      <c r="DT54" s="17"/>
      <c r="EH54" s="17"/>
      <c r="EI54" s="17"/>
      <c r="EW54" s="17"/>
      <c r="EX54" s="17"/>
      <c r="FL54" s="17"/>
      <c r="FM54" s="17"/>
      <c r="GA54" s="17"/>
      <c r="GB54" s="17"/>
      <c r="GP54" s="17"/>
      <c r="GQ54" s="17"/>
      <c r="HE54" s="17"/>
      <c r="HF54" s="17"/>
      <c r="HT54" s="17"/>
      <c r="HU54" s="17"/>
      <c r="II54" s="42"/>
      <c r="IJ54" s="42"/>
      <c r="IK54" s="42"/>
      <c r="IL54" s="42"/>
      <c r="IM54" s="42"/>
      <c r="IN54" s="42"/>
      <c r="IO54" s="42"/>
      <c r="IP54" s="42"/>
      <c r="IQ54" s="42"/>
      <c r="IR54" s="42"/>
      <c r="IS54" s="42"/>
      <c r="IT54" s="42"/>
      <c r="IU54" s="42"/>
      <c r="IV54" s="42"/>
      <c r="IW54" s="42"/>
      <c r="IX54" s="42"/>
      <c r="IY54" s="42"/>
      <c r="IZ54" s="42"/>
      <c r="JA54" s="42"/>
      <c r="JB54" s="42"/>
      <c r="JC54" s="42"/>
      <c r="JD54" s="42"/>
      <c r="JE54" s="42"/>
      <c r="JF54" s="42"/>
      <c r="JG54" s="42"/>
      <c r="JH54" s="42"/>
      <c r="JI54" s="42"/>
      <c r="JJ54" s="42"/>
      <c r="JK54" s="42"/>
      <c r="JL54" s="42"/>
      <c r="JM54" s="42"/>
      <c r="JN54" s="42"/>
      <c r="JO54" s="42"/>
      <c r="JP54" s="42"/>
      <c r="JQ54" s="42"/>
      <c r="JR54" s="42"/>
      <c r="JS54" s="42"/>
      <c r="JT54" s="42"/>
      <c r="JU54" s="42"/>
      <c r="JV54" s="42"/>
      <c r="JW54" s="42"/>
      <c r="JX54" s="42"/>
      <c r="JY54" s="42"/>
      <c r="JZ54" s="42"/>
      <c r="KA54" s="42"/>
    </row>
    <row r="55" spans="1:287">
      <c r="A55" s="13" t="s">
        <v>214</v>
      </c>
      <c r="B55" s="13" t="s">
        <v>189</v>
      </c>
      <c r="C55" s="17"/>
      <c r="J55" s="19"/>
      <c r="Q55" s="19"/>
      <c r="R55" s="17"/>
      <c r="Y55" s="19"/>
      <c r="AF55" s="18"/>
      <c r="AG55" s="17"/>
      <c r="AV55" s="17"/>
      <c r="BK55" s="17"/>
      <c r="BZ55" s="17"/>
      <c r="CO55" s="17"/>
      <c r="DD55" s="17"/>
      <c r="DE55" s="17"/>
      <c r="DS55" s="17"/>
      <c r="DT55" s="17"/>
      <c r="EH55" s="17"/>
      <c r="EI55" s="17"/>
      <c r="EW55" s="17"/>
      <c r="EX55" s="17"/>
      <c r="FL55" s="17"/>
      <c r="FM55" s="17"/>
      <c r="GA55" s="17"/>
      <c r="GB55" s="17"/>
      <c r="GP55" s="17"/>
      <c r="GQ55" s="17"/>
      <c r="HE55" s="17"/>
      <c r="HF55" s="17"/>
      <c r="HT55" s="17"/>
      <c r="HU55" s="17"/>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2"/>
      <c r="JT55" s="42"/>
      <c r="JU55" s="42"/>
      <c r="JV55" s="42"/>
      <c r="JW55" s="42"/>
      <c r="JX55" s="42"/>
      <c r="JY55" s="42"/>
      <c r="JZ55" s="42"/>
      <c r="KA55" s="42"/>
    </row>
    <row r="56" spans="1:287" ht="31.5">
      <c r="A56" s="31" t="s">
        <v>215</v>
      </c>
      <c r="B56" s="31" t="s">
        <v>216</v>
      </c>
      <c r="J56" s="19"/>
      <c r="Q56" s="19"/>
      <c r="Y56" s="19"/>
      <c r="AF56" s="19"/>
      <c r="II56" s="42"/>
      <c r="IJ56" s="42"/>
      <c r="IK56" s="42"/>
      <c r="IL56" s="42"/>
      <c r="IM56" s="42"/>
      <c r="IN56" s="42"/>
      <c r="IO56" s="42"/>
      <c r="IP56" s="42"/>
      <c r="IQ56" s="42"/>
      <c r="IR56" s="42"/>
      <c r="IS56" s="42"/>
      <c r="IT56" s="42"/>
      <c r="IU56" s="42"/>
      <c r="IV56" s="42"/>
      <c r="IW56" s="42"/>
      <c r="IX56" s="42"/>
      <c r="IY56" s="42"/>
      <c r="IZ56" s="42"/>
      <c r="JA56" s="42"/>
      <c r="JB56" s="42"/>
      <c r="JC56" s="42"/>
      <c r="JD56" s="42"/>
      <c r="JE56" s="42"/>
      <c r="JF56" s="42"/>
      <c r="JG56" s="42"/>
      <c r="JH56" s="42"/>
      <c r="JI56" s="42"/>
      <c r="JJ56" s="42"/>
      <c r="JK56" s="42"/>
      <c r="JL56" s="42"/>
      <c r="JM56" s="42"/>
      <c r="JN56" s="42"/>
      <c r="JO56" s="42"/>
      <c r="JP56" s="42"/>
      <c r="JQ56" s="42"/>
      <c r="JR56" s="42"/>
      <c r="JS56" s="42"/>
      <c r="JT56" s="42"/>
      <c r="JU56" s="42"/>
      <c r="JV56" s="42"/>
      <c r="JW56" s="42"/>
      <c r="JX56" s="42"/>
      <c r="JY56" s="42"/>
      <c r="JZ56" s="42"/>
      <c r="KA56" s="42"/>
    </row>
    <row r="57" spans="1:287">
      <c r="A57" s="35" t="s">
        <v>217</v>
      </c>
      <c r="B57" s="35" t="s">
        <v>216</v>
      </c>
      <c r="J57" s="18"/>
      <c r="II57" s="42"/>
      <c r="IJ57" s="42"/>
      <c r="IK57" s="42"/>
      <c r="IL57" s="42"/>
      <c r="IM57" s="42"/>
      <c r="IN57" s="42"/>
      <c r="IO57" s="42"/>
      <c r="IP57" s="42"/>
      <c r="IQ57" s="42"/>
      <c r="IR57" s="42"/>
      <c r="IS57" s="42"/>
      <c r="IT57" s="42"/>
      <c r="IU57" s="42"/>
      <c r="IV57" s="42"/>
      <c r="IW57" s="42"/>
      <c r="IX57" s="42"/>
      <c r="IY57" s="42"/>
      <c r="IZ57" s="42"/>
      <c r="JA57" s="42"/>
      <c r="JB57" s="42"/>
      <c r="JC57" s="42"/>
      <c r="JD57" s="42"/>
      <c r="JE57" s="42"/>
      <c r="JF57" s="42"/>
      <c r="JG57" s="42"/>
      <c r="JH57" s="42"/>
      <c r="JI57" s="42"/>
      <c r="JJ57" s="42"/>
      <c r="JK57" s="42"/>
      <c r="JL57" s="42"/>
      <c r="JM57" s="42"/>
      <c r="JN57" s="42"/>
      <c r="JO57" s="42"/>
      <c r="JP57" s="42"/>
      <c r="JQ57" s="42"/>
      <c r="JR57" s="42"/>
      <c r="JS57" s="42"/>
      <c r="JT57" s="42"/>
      <c r="JU57" s="42"/>
      <c r="JV57" s="42"/>
      <c r="JW57" s="42"/>
      <c r="JX57" s="42"/>
      <c r="JY57" s="42"/>
      <c r="JZ57" s="42"/>
      <c r="KA57" s="42"/>
    </row>
    <row r="58" spans="1:287">
      <c r="A58" s="12" t="s">
        <v>861</v>
      </c>
      <c r="B58" s="12" t="s">
        <v>216</v>
      </c>
      <c r="C58" s="78">
        <v>29.399760000000001</v>
      </c>
      <c r="D58" s="78">
        <v>-83.208759999999998</v>
      </c>
      <c r="E58" s="15">
        <v>26</v>
      </c>
      <c r="F58" s="15">
        <v>0</v>
      </c>
      <c r="J58" s="19"/>
      <c r="O58" s="15"/>
      <c r="Q58" s="19"/>
      <c r="R58" s="15"/>
      <c r="S58" s="15"/>
      <c r="Y58" s="19"/>
      <c r="AD58" s="15"/>
      <c r="AF58" s="19"/>
      <c r="AG58" s="15"/>
      <c r="AH58" s="15"/>
      <c r="AK58" s="15"/>
      <c r="AV58" s="15"/>
      <c r="AW58" s="15"/>
      <c r="BH58" s="15"/>
      <c r="BK58" s="17"/>
      <c r="BZ58" s="17"/>
      <c r="CO58" s="17"/>
      <c r="DD58" s="17"/>
      <c r="DE58" s="17"/>
      <c r="DS58" s="17"/>
      <c r="DT58" s="17"/>
      <c r="EH58" s="17"/>
      <c r="EI58" s="17"/>
      <c r="EW58" s="17"/>
      <c r="EX58" s="17"/>
      <c r="FL58" s="17"/>
      <c r="FM58" s="17"/>
      <c r="GA58" s="17"/>
      <c r="GB58" s="17"/>
      <c r="GP58" s="17"/>
      <c r="GQ58" s="17"/>
      <c r="HE58" s="17"/>
      <c r="HF58" s="17"/>
      <c r="HT58" s="17"/>
      <c r="HU58" s="17"/>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2"/>
      <c r="JT58" s="42"/>
      <c r="JU58" s="42"/>
      <c r="JV58" s="42"/>
      <c r="JW58" s="42"/>
      <c r="JX58" s="42"/>
      <c r="JY58" s="42"/>
      <c r="JZ58" s="42"/>
      <c r="KA58" s="42"/>
    </row>
    <row r="59" spans="1:287" ht="31.5">
      <c r="A59" s="35" t="s">
        <v>218</v>
      </c>
      <c r="B59" s="35" t="s">
        <v>219</v>
      </c>
      <c r="J59" s="19"/>
      <c r="Q59" s="19"/>
      <c r="Y59" s="19"/>
      <c r="AF59" s="19"/>
      <c r="II59" s="42"/>
      <c r="IJ59" s="42"/>
      <c r="IK59" s="42"/>
      <c r="IL59" s="42"/>
      <c r="IM59" s="42"/>
      <c r="IN59" s="42"/>
      <c r="IO59" s="42"/>
      <c r="IP59" s="42"/>
      <c r="IQ59" s="42"/>
      <c r="IR59" s="42"/>
      <c r="IS59" s="42"/>
      <c r="IT59" s="42"/>
      <c r="IU59" s="42"/>
      <c r="IV59" s="42"/>
      <c r="IW59" s="42"/>
      <c r="IX59" s="42"/>
      <c r="IY59" s="42"/>
      <c r="IZ59" s="42"/>
      <c r="JA59" s="42"/>
      <c r="JB59" s="42"/>
      <c r="JC59" s="42"/>
      <c r="JD59" s="42"/>
      <c r="JE59" s="42"/>
      <c r="JF59" s="42"/>
      <c r="JG59" s="42"/>
      <c r="JH59" s="42"/>
      <c r="JI59" s="42"/>
      <c r="JJ59" s="42"/>
      <c r="JK59" s="42"/>
      <c r="JL59" s="42"/>
      <c r="JM59" s="42"/>
      <c r="JN59" s="42"/>
      <c r="JO59" s="42"/>
      <c r="JP59" s="42"/>
      <c r="JQ59" s="42"/>
      <c r="JR59" s="42"/>
      <c r="JS59" s="42"/>
      <c r="JT59" s="42"/>
      <c r="JU59" s="42"/>
      <c r="JV59" s="42"/>
      <c r="JW59" s="42"/>
      <c r="JX59" s="42"/>
      <c r="JY59" s="42"/>
      <c r="JZ59" s="42"/>
      <c r="KA59" s="42"/>
    </row>
    <row r="60" spans="1:287" ht="31.5">
      <c r="A60" s="13" t="s">
        <v>223</v>
      </c>
      <c r="B60" s="35" t="s">
        <v>219</v>
      </c>
      <c r="C60" s="15">
        <v>30.486940000000001</v>
      </c>
      <c r="D60" s="15">
        <v>-81.432090000000002</v>
      </c>
      <c r="E60" s="15">
        <v>0</v>
      </c>
      <c r="G60" s="15">
        <v>0</v>
      </c>
      <c r="I60" s="15">
        <v>1</v>
      </c>
      <c r="J60" s="18" t="s">
        <v>1223</v>
      </c>
      <c r="L60" s="15">
        <v>0</v>
      </c>
      <c r="N60" s="15">
        <v>0</v>
      </c>
      <c r="P60" s="15">
        <v>0</v>
      </c>
      <c r="Q60" s="19"/>
      <c r="Y60" s="19"/>
      <c r="AF60" s="19"/>
      <c r="II60" s="42"/>
      <c r="IJ60" s="42"/>
      <c r="IK60" s="42"/>
      <c r="IL60" s="42"/>
      <c r="IM60" s="42"/>
      <c r="IN60" s="42"/>
      <c r="IO60" s="42"/>
      <c r="IP60" s="42"/>
      <c r="IQ60" s="42"/>
      <c r="IR60" s="42"/>
      <c r="IS60" s="42"/>
      <c r="IT60" s="42"/>
      <c r="IU60" s="42"/>
      <c r="IV60" s="42"/>
      <c r="IW60" s="42"/>
      <c r="IX60" s="42"/>
      <c r="IY60" s="42"/>
      <c r="IZ60" s="42"/>
      <c r="JA60" s="42"/>
      <c r="JB60" s="42"/>
      <c r="JC60" s="42"/>
      <c r="JD60" s="42"/>
      <c r="JE60" s="42"/>
      <c r="JF60" s="42"/>
      <c r="JG60" s="42"/>
      <c r="JH60" s="42"/>
      <c r="JI60" s="42"/>
      <c r="JJ60" s="42"/>
      <c r="JK60" s="42"/>
      <c r="JL60" s="42"/>
      <c r="JM60" s="42"/>
      <c r="JN60" s="42"/>
      <c r="JO60" s="42"/>
      <c r="JP60" s="42"/>
      <c r="JQ60" s="42"/>
      <c r="JR60" s="42"/>
      <c r="JS60" s="42"/>
      <c r="JT60" s="42"/>
      <c r="JU60" s="42"/>
      <c r="JV60" s="42"/>
      <c r="JW60" s="42"/>
      <c r="JX60" s="42"/>
      <c r="JY60" s="42"/>
      <c r="JZ60" s="42"/>
      <c r="KA60" s="42"/>
    </row>
    <row r="61" spans="1:287" ht="51.75">
      <c r="A61" s="13" t="s">
        <v>225</v>
      </c>
      <c r="B61" s="35" t="s">
        <v>219</v>
      </c>
      <c r="C61" s="103">
        <v>30.408909999999999</v>
      </c>
      <c r="D61" s="103">
        <v>-81.457830000000001</v>
      </c>
      <c r="E61" s="15">
        <v>0</v>
      </c>
      <c r="G61" s="15">
        <v>0</v>
      </c>
      <c r="I61" s="15">
        <v>1</v>
      </c>
      <c r="J61" s="18" t="s">
        <v>1223</v>
      </c>
      <c r="K61" s="15">
        <v>0</v>
      </c>
      <c r="M61" s="15">
        <v>0</v>
      </c>
      <c r="O61" s="15">
        <v>0</v>
      </c>
      <c r="Q61" s="18"/>
      <c r="R61" s="103">
        <v>30.506930000000001</v>
      </c>
      <c r="S61" s="103">
        <v>-81.456990000000005</v>
      </c>
      <c r="T61" s="15">
        <v>0</v>
      </c>
      <c r="V61" s="15">
        <v>0</v>
      </c>
      <c r="X61" s="15">
        <v>0</v>
      </c>
      <c r="Y61" s="19"/>
      <c r="Z61" s="15">
        <v>0</v>
      </c>
      <c r="AB61" s="15">
        <v>0</v>
      </c>
      <c r="AD61" s="15">
        <v>0</v>
      </c>
      <c r="AF61" s="18" t="s">
        <v>1224</v>
      </c>
      <c r="II61" s="42"/>
      <c r="IJ61" s="42"/>
      <c r="IK61" s="42"/>
      <c r="IL61" s="42"/>
      <c r="IM61" s="42"/>
      <c r="IN61" s="42"/>
      <c r="IO61" s="42"/>
      <c r="IP61" s="42"/>
      <c r="IQ61" s="42"/>
      <c r="IR61" s="42"/>
      <c r="IS61" s="42"/>
      <c r="IT61" s="42"/>
      <c r="IU61" s="42"/>
      <c r="IV61" s="42"/>
      <c r="IW61" s="42"/>
      <c r="IX61" s="42"/>
      <c r="IY61" s="42"/>
      <c r="IZ61" s="42"/>
      <c r="JA61" s="42"/>
      <c r="JB61" s="42"/>
      <c r="JC61" s="42"/>
      <c r="JD61" s="42"/>
      <c r="JE61" s="42"/>
      <c r="JF61" s="42"/>
      <c r="JG61" s="42"/>
      <c r="JH61" s="42"/>
      <c r="JI61" s="42"/>
      <c r="JJ61" s="42"/>
      <c r="JK61" s="42"/>
      <c r="JL61" s="42"/>
      <c r="JM61" s="42"/>
      <c r="JN61" s="42"/>
      <c r="JO61" s="42"/>
      <c r="JP61" s="42"/>
      <c r="JQ61" s="42"/>
      <c r="JR61" s="42"/>
      <c r="JS61" s="42"/>
      <c r="JT61" s="42"/>
      <c r="JU61" s="42"/>
      <c r="JV61" s="42"/>
      <c r="JW61" s="42"/>
      <c r="JX61" s="42"/>
      <c r="JY61" s="42"/>
      <c r="JZ61" s="42"/>
      <c r="KA61" s="42"/>
    </row>
    <row r="62" spans="1:287" ht="47.25">
      <c r="A62" s="13" t="s">
        <v>227</v>
      </c>
      <c r="B62" s="35" t="s">
        <v>219</v>
      </c>
      <c r="J62" s="19"/>
      <c r="Q62" s="19"/>
      <c r="Y62" s="19"/>
      <c r="AF62" s="19"/>
      <c r="II62" s="42"/>
      <c r="IJ62" s="42"/>
      <c r="IK62" s="42"/>
      <c r="IL62" s="42"/>
      <c r="IM62" s="42"/>
      <c r="IN62" s="42"/>
      <c r="IO62" s="42"/>
      <c r="IP62" s="42"/>
      <c r="IQ62" s="42"/>
      <c r="IR62" s="42"/>
      <c r="IS62" s="42"/>
      <c r="IT62" s="42"/>
      <c r="IU62" s="42"/>
      <c r="IV62" s="42"/>
      <c r="IW62" s="42"/>
      <c r="IX62" s="42"/>
      <c r="IY62" s="42"/>
      <c r="IZ62" s="42"/>
      <c r="JA62" s="42"/>
      <c r="JB62" s="42"/>
      <c r="JC62" s="42"/>
      <c r="JD62" s="42"/>
      <c r="JE62" s="42"/>
      <c r="JF62" s="42"/>
      <c r="JG62" s="42"/>
      <c r="JH62" s="42"/>
      <c r="JI62" s="42"/>
      <c r="JJ62" s="42"/>
      <c r="JK62" s="42"/>
      <c r="JL62" s="42"/>
      <c r="JM62" s="42"/>
      <c r="JN62" s="42"/>
      <c r="JO62" s="42"/>
      <c r="JP62" s="42"/>
      <c r="JQ62" s="42"/>
      <c r="JR62" s="42"/>
      <c r="JS62" s="42"/>
      <c r="JT62" s="42"/>
      <c r="JU62" s="42"/>
      <c r="JV62" s="42"/>
      <c r="JW62" s="42"/>
      <c r="JX62" s="42"/>
      <c r="JY62" s="42"/>
      <c r="JZ62" s="42"/>
      <c r="KA62" s="42"/>
    </row>
    <row r="63" spans="1:287" ht="47.25">
      <c r="A63" s="13" t="s">
        <v>230</v>
      </c>
      <c r="B63" s="35" t="s">
        <v>219</v>
      </c>
      <c r="J63" s="19"/>
      <c r="Q63" s="19"/>
      <c r="Y63" s="19"/>
      <c r="AF63" s="19"/>
      <c r="II63" s="42"/>
      <c r="IJ63" s="42"/>
      <c r="IK63" s="42"/>
      <c r="IL63" s="42"/>
      <c r="IM63" s="42"/>
      <c r="IN63" s="42"/>
      <c r="IO63" s="42"/>
      <c r="IP63" s="42"/>
      <c r="IQ63" s="42"/>
      <c r="IR63" s="42"/>
      <c r="IS63" s="42"/>
      <c r="IT63" s="42"/>
      <c r="IU63" s="42"/>
      <c r="IV63" s="42"/>
      <c r="IW63" s="42"/>
      <c r="IX63" s="42"/>
      <c r="IY63" s="42"/>
      <c r="IZ63" s="42"/>
      <c r="JA63" s="42"/>
      <c r="JB63" s="42"/>
      <c r="JC63" s="42"/>
      <c r="JD63" s="42"/>
      <c r="JE63" s="42"/>
      <c r="JF63" s="42"/>
      <c r="JG63" s="42"/>
      <c r="JH63" s="42"/>
      <c r="JI63" s="42"/>
      <c r="JJ63" s="42"/>
      <c r="JK63" s="42"/>
      <c r="JL63" s="42"/>
      <c r="JM63" s="42"/>
      <c r="JN63" s="42"/>
      <c r="JO63" s="42"/>
      <c r="JP63" s="42"/>
      <c r="JQ63" s="42"/>
      <c r="JR63" s="42"/>
      <c r="JS63" s="42"/>
      <c r="JT63" s="42"/>
      <c r="JU63" s="42"/>
      <c r="JV63" s="42"/>
      <c r="JW63" s="42"/>
      <c r="JX63" s="42"/>
      <c r="JY63" s="42"/>
      <c r="JZ63" s="42"/>
      <c r="KA63" s="42"/>
    </row>
    <row r="64" spans="1:287" ht="47.25">
      <c r="A64" s="13" t="s">
        <v>231</v>
      </c>
      <c r="B64" s="35" t="s">
        <v>219</v>
      </c>
      <c r="J64" s="19"/>
      <c r="Q64" s="18"/>
      <c r="Y64" s="19"/>
      <c r="AF64" s="19"/>
      <c r="BC64" s="18"/>
      <c r="FK64" s="18"/>
      <c r="II64" s="42"/>
      <c r="IJ64" s="42"/>
      <c r="IK64" s="42"/>
      <c r="IL64" s="42"/>
      <c r="IM64" s="42"/>
      <c r="IN64" s="42"/>
      <c r="IO64" s="42"/>
      <c r="IP64" s="42"/>
      <c r="IQ64" s="42"/>
      <c r="IR64" s="42"/>
      <c r="IS64" s="42"/>
      <c r="IT64" s="42"/>
      <c r="IU64" s="42"/>
      <c r="IV64" s="42"/>
      <c r="IW64" s="42"/>
      <c r="IX64" s="42"/>
      <c r="IY64" s="42"/>
      <c r="IZ64" s="42"/>
      <c r="JA64" s="42"/>
      <c r="JB64" s="42"/>
      <c r="JC64" s="42"/>
      <c r="JD64" s="42"/>
      <c r="JE64" s="42"/>
      <c r="JF64" s="42"/>
      <c r="JG64" s="42"/>
      <c r="JH64" s="42"/>
      <c r="JI64" s="42"/>
      <c r="JJ64" s="42"/>
      <c r="JK64" s="42"/>
      <c r="JL64" s="42"/>
      <c r="JM64" s="42"/>
      <c r="JN64" s="42"/>
      <c r="JO64" s="42"/>
      <c r="JP64" s="42"/>
      <c r="JQ64" s="42"/>
      <c r="JR64" s="42"/>
      <c r="JS64" s="42"/>
      <c r="JT64" s="42"/>
      <c r="JU64" s="42"/>
      <c r="JV64" s="42"/>
      <c r="JW64" s="42"/>
      <c r="JX64" s="42"/>
      <c r="JY64" s="42"/>
      <c r="JZ64" s="42"/>
      <c r="KA64" s="42"/>
    </row>
    <row r="65" spans="1:287" ht="31.5">
      <c r="A65" s="13" t="s">
        <v>232</v>
      </c>
      <c r="B65" s="13" t="s">
        <v>219</v>
      </c>
      <c r="C65" s="15">
        <v>30.519130000000001</v>
      </c>
      <c r="D65" s="15">
        <v>-81.457329999999999</v>
      </c>
      <c r="E65" s="15">
        <v>0</v>
      </c>
      <c r="G65" s="15">
        <v>0</v>
      </c>
      <c r="I65" s="15">
        <v>0</v>
      </c>
      <c r="J65" s="18"/>
      <c r="K65" s="15">
        <v>0</v>
      </c>
      <c r="M65" s="15">
        <v>0</v>
      </c>
      <c r="O65" s="15">
        <v>4</v>
      </c>
      <c r="P65" s="15" t="s">
        <v>1225</v>
      </c>
      <c r="Q65" s="19"/>
      <c r="R65" s="17"/>
      <c r="Y65" s="19"/>
      <c r="AF65" s="19"/>
      <c r="AG65" s="17"/>
      <c r="AV65" s="17"/>
      <c r="BK65" s="17"/>
      <c r="BZ65" s="17"/>
      <c r="CO65" s="17"/>
      <c r="DD65" s="17"/>
      <c r="DE65" s="17"/>
      <c r="DS65" s="17"/>
      <c r="DT65" s="17"/>
      <c r="EH65" s="17"/>
      <c r="EI65" s="17"/>
      <c r="EW65" s="17"/>
      <c r="EX65" s="17"/>
      <c r="FL65" s="17"/>
      <c r="FM65" s="17"/>
      <c r="GA65" s="17"/>
      <c r="GB65" s="17"/>
      <c r="GP65" s="17"/>
      <c r="GQ65" s="17"/>
      <c r="HE65" s="17"/>
      <c r="HF65" s="17"/>
      <c r="HT65" s="17"/>
      <c r="HU65" s="17"/>
      <c r="II65" s="42"/>
      <c r="IJ65" s="42"/>
      <c r="IK65" s="42"/>
      <c r="IL65" s="42"/>
      <c r="IM65" s="42"/>
      <c r="IN65" s="42"/>
      <c r="IO65" s="42"/>
      <c r="IP65" s="42"/>
      <c r="IQ65" s="42"/>
      <c r="IR65" s="42"/>
      <c r="IS65" s="42"/>
      <c r="IT65" s="42"/>
      <c r="IU65" s="42"/>
      <c r="IV65" s="42"/>
      <c r="IW65" s="42"/>
      <c r="IX65" s="42"/>
      <c r="IY65" s="42"/>
      <c r="IZ65" s="42"/>
      <c r="JA65" s="42"/>
      <c r="JB65" s="42"/>
      <c r="JC65" s="42"/>
      <c r="JD65" s="42"/>
      <c r="JE65" s="42"/>
      <c r="JF65" s="42"/>
      <c r="JG65" s="42"/>
      <c r="JH65" s="42"/>
      <c r="JI65" s="42"/>
      <c r="JJ65" s="42"/>
      <c r="JK65" s="42"/>
      <c r="JL65" s="42"/>
      <c r="JM65" s="42"/>
      <c r="JN65" s="42"/>
      <c r="JO65" s="42"/>
      <c r="JP65" s="42"/>
      <c r="JQ65" s="42"/>
      <c r="JR65" s="42"/>
      <c r="JS65" s="42"/>
      <c r="JT65" s="42"/>
      <c r="JU65" s="42"/>
      <c r="JV65" s="42"/>
      <c r="JW65" s="42"/>
      <c r="JX65" s="42"/>
      <c r="JY65" s="42"/>
      <c r="JZ65" s="42"/>
      <c r="KA65" s="42"/>
    </row>
    <row r="66" spans="1:287" ht="26.25">
      <c r="A66" s="13" t="s">
        <v>235</v>
      </c>
      <c r="B66" s="13" t="s">
        <v>219</v>
      </c>
      <c r="C66" s="17"/>
      <c r="H66" s="15" t="s">
        <v>1226</v>
      </c>
      <c r="J66" s="18" t="s">
        <v>1227</v>
      </c>
      <c r="Q66" s="19"/>
      <c r="R66" s="17"/>
      <c r="Y66" s="19"/>
      <c r="AF66" s="19"/>
      <c r="AG66" s="17"/>
      <c r="AV66" s="17"/>
      <c r="BK66" s="17"/>
      <c r="BZ66" s="17"/>
      <c r="CO66" s="17"/>
      <c r="DD66" s="17"/>
      <c r="DE66" s="17"/>
      <c r="DS66" s="17"/>
      <c r="DT66" s="17"/>
      <c r="EH66" s="17"/>
      <c r="EI66" s="17"/>
      <c r="EW66" s="17"/>
      <c r="EX66" s="17"/>
      <c r="FL66" s="17"/>
      <c r="FM66" s="17"/>
      <c r="GA66" s="17"/>
      <c r="GB66" s="17"/>
      <c r="GP66" s="17"/>
      <c r="GQ66" s="17"/>
      <c r="HE66" s="17"/>
      <c r="HF66" s="17"/>
      <c r="HT66" s="17"/>
      <c r="HU66" s="17"/>
      <c r="II66" s="42"/>
      <c r="IJ66" s="42"/>
      <c r="IK66" s="42"/>
      <c r="IL66" s="42"/>
      <c r="IM66" s="42"/>
      <c r="IN66" s="42"/>
      <c r="IO66" s="42"/>
      <c r="IP66" s="42"/>
      <c r="IQ66" s="42"/>
      <c r="IR66" s="42"/>
      <c r="IS66" s="42"/>
      <c r="IT66" s="42"/>
      <c r="IU66" s="42"/>
      <c r="IV66" s="42"/>
      <c r="IW66" s="42"/>
      <c r="IX66" s="42"/>
      <c r="IY66" s="42"/>
      <c r="IZ66" s="42"/>
      <c r="JA66" s="42"/>
      <c r="JB66" s="42"/>
      <c r="JC66" s="42"/>
      <c r="JD66" s="42"/>
      <c r="JE66" s="42"/>
      <c r="JF66" s="42"/>
      <c r="JG66" s="42"/>
      <c r="JH66" s="42"/>
      <c r="JI66" s="42"/>
      <c r="JJ66" s="42"/>
      <c r="JK66" s="42"/>
      <c r="JL66" s="42"/>
      <c r="JM66" s="42"/>
      <c r="JN66" s="42"/>
      <c r="JO66" s="42"/>
      <c r="JP66" s="42"/>
      <c r="JQ66" s="42"/>
      <c r="JR66" s="42"/>
      <c r="JS66" s="42"/>
      <c r="JT66" s="42"/>
      <c r="JU66" s="42"/>
      <c r="JV66" s="42"/>
      <c r="JW66" s="42"/>
      <c r="JX66" s="42"/>
      <c r="JY66" s="42"/>
      <c r="JZ66" s="42"/>
      <c r="KA66" s="42"/>
    </row>
    <row r="67" spans="1:287" ht="47.25">
      <c r="A67" s="13" t="s">
        <v>239</v>
      </c>
      <c r="B67" s="13" t="s">
        <v>219</v>
      </c>
      <c r="C67" s="17"/>
      <c r="J67" s="19"/>
      <c r="N67" s="18"/>
      <c r="Q67" s="19"/>
      <c r="R67" s="17"/>
      <c r="Y67" s="19"/>
      <c r="AC67" s="18"/>
      <c r="AF67" s="19"/>
      <c r="AG67" s="17"/>
      <c r="AR67" s="59"/>
      <c r="AV67" s="17"/>
      <c r="BG67" s="18"/>
      <c r="BK67" s="17"/>
      <c r="BZ67" s="17"/>
      <c r="CO67" s="17"/>
      <c r="DD67" s="17"/>
      <c r="DE67" s="17"/>
      <c r="DS67" s="17"/>
      <c r="DT67" s="17"/>
      <c r="EH67" s="17"/>
      <c r="EI67" s="17"/>
      <c r="EW67" s="17"/>
      <c r="EX67" s="17"/>
      <c r="FL67" s="17"/>
      <c r="FM67" s="17"/>
      <c r="GA67" s="17"/>
      <c r="GB67" s="17"/>
      <c r="GP67" s="17"/>
      <c r="GQ67" s="17"/>
      <c r="HE67" s="17"/>
      <c r="HF67" s="17"/>
      <c r="HT67" s="17"/>
      <c r="HU67" s="17"/>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2"/>
      <c r="JT67" s="42"/>
      <c r="JU67" s="42"/>
      <c r="JV67" s="42"/>
      <c r="JW67" s="42"/>
      <c r="JX67" s="42"/>
      <c r="JY67" s="42"/>
      <c r="JZ67" s="42"/>
      <c r="KA67" s="42"/>
    </row>
    <row r="68" spans="1:287" ht="115.5">
      <c r="A68" s="13" t="s">
        <v>240</v>
      </c>
      <c r="B68" s="13" t="s">
        <v>219</v>
      </c>
      <c r="C68" s="15">
        <v>30.485589999999998</v>
      </c>
      <c r="D68" s="15">
        <v>-81.420360000000002</v>
      </c>
      <c r="E68" s="15">
        <v>2</v>
      </c>
      <c r="F68" s="15" t="s">
        <v>1228</v>
      </c>
      <c r="G68" s="15">
        <v>0</v>
      </c>
      <c r="I68" s="15">
        <v>0</v>
      </c>
      <c r="J68" s="18"/>
      <c r="K68" s="15">
        <v>0</v>
      </c>
      <c r="M68" s="15">
        <v>0</v>
      </c>
      <c r="O68" s="15">
        <v>0</v>
      </c>
      <c r="Q68" s="18" t="s">
        <v>1229</v>
      </c>
      <c r="R68" s="15">
        <v>30.487459999999999</v>
      </c>
      <c r="S68" s="15">
        <v>-81.414760000000001</v>
      </c>
      <c r="T68" s="15">
        <v>0</v>
      </c>
      <c r="V68" s="15">
        <v>0</v>
      </c>
      <c r="X68" s="15">
        <v>0</v>
      </c>
      <c r="Y68" s="19"/>
      <c r="Z68" s="15">
        <v>82</v>
      </c>
      <c r="AA68" s="15" t="s">
        <v>1230</v>
      </c>
      <c r="AB68" s="15">
        <v>0</v>
      </c>
      <c r="AD68" s="15">
        <v>0</v>
      </c>
      <c r="AF68" s="18" t="s">
        <v>1231</v>
      </c>
      <c r="AG68" s="15">
        <v>30.486599999999999</v>
      </c>
      <c r="AH68" s="15">
        <v>-81.412279999999996</v>
      </c>
      <c r="AI68" s="15">
        <v>0</v>
      </c>
      <c r="AK68" s="51">
        <v>1</v>
      </c>
      <c r="AL68" s="15" t="s">
        <v>1232</v>
      </c>
      <c r="AM68" s="15">
        <v>0</v>
      </c>
      <c r="AO68" s="15">
        <v>38</v>
      </c>
      <c r="AP68" s="15" t="s">
        <v>1213</v>
      </c>
      <c r="AQ68" s="15">
        <v>0</v>
      </c>
      <c r="AS68" s="15">
        <v>0</v>
      </c>
      <c r="AU68" s="15" t="s">
        <v>1233</v>
      </c>
      <c r="AV68" s="15">
        <v>30.486280000000001</v>
      </c>
      <c r="AW68" s="15">
        <v>-81.412220000000005</v>
      </c>
      <c r="AX68" s="15">
        <v>0</v>
      </c>
      <c r="AZ68" s="15">
        <v>0</v>
      </c>
      <c r="BB68" s="15">
        <v>0</v>
      </c>
      <c r="BD68" s="15">
        <v>72</v>
      </c>
      <c r="BE68" s="15" t="s">
        <v>1234</v>
      </c>
      <c r="BF68" s="15">
        <v>0</v>
      </c>
      <c r="BH68" s="15">
        <v>0</v>
      </c>
      <c r="BJ68" s="15" t="s">
        <v>1235</v>
      </c>
      <c r="BK68" s="15">
        <v>30.441690000000001</v>
      </c>
      <c r="BL68" s="15">
        <v>-81.408908999999994</v>
      </c>
      <c r="BM68" s="15">
        <v>0</v>
      </c>
      <c r="BO68" s="15">
        <v>0</v>
      </c>
      <c r="BQ68" s="15">
        <v>1</v>
      </c>
      <c r="BR68" s="15" t="s">
        <v>1225</v>
      </c>
      <c r="BS68" s="15">
        <v>0</v>
      </c>
      <c r="BU68" s="15">
        <v>0</v>
      </c>
      <c r="BW68" s="15">
        <v>0</v>
      </c>
      <c r="BZ68" s="15">
        <v>30.44125</v>
      </c>
      <c r="CA68" s="15">
        <v>-81.407960000000003</v>
      </c>
      <c r="CB68" s="15">
        <v>0</v>
      </c>
      <c r="CD68" s="15">
        <v>0</v>
      </c>
      <c r="CF68" s="15">
        <v>1</v>
      </c>
      <c r="CG68" s="15" t="s">
        <v>1236</v>
      </c>
      <c r="CH68" s="15">
        <v>0</v>
      </c>
      <c r="CJ68" s="15">
        <v>0</v>
      </c>
      <c r="CL68" s="15">
        <v>0</v>
      </c>
      <c r="CO68" s="15">
        <v>30.44125</v>
      </c>
      <c r="CP68" s="15">
        <v>-81.407759999999996</v>
      </c>
      <c r="CQ68" s="15">
        <v>0</v>
      </c>
      <c r="CS68" s="15">
        <v>0</v>
      </c>
      <c r="CU68" s="15">
        <v>1</v>
      </c>
      <c r="CV68" s="15" t="s">
        <v>1237</v>
      </c>
      <c r="CW68" s="15">
        <v>0</v>
      </c>
      <c r="CY68" s="15">
        <v>0</v>
      </c>
      <c r="DA68" s="15">
        <v>0</v>
      </c>
      <c r="DD68" s="15">
        <v>30.439779999999999</v>
      </c>
      <c r="DE68" s="15">
        <v>-81.407489999999996</v>
      </c>
      <c r="DF68" s="15">
        <v>0</v>
      </c>
      <c r="DH68" s="15">
        <v>0</v>
      </c>
      <c r="DJ68" s="15">
        <v>2</v>
      </c>
      <c r="DK68" s="15" t="s">
        <v>1228</v>
      </c>
      <c r="DL68" s="15">
        <v>0</v>
      </c>
      <c r="DN68" s="15">
        <v>0</v>
      </c>
      <c r="DP68" s="15">
        <v>0</v>
      </c>
      <c r="DS68" s="15">
        <v>30.43777</v>
      </c>
      <c r="DT68" s="15">
        <v>-81.407110000000003</v>
      </c>
      <c r="DU68" s="15">
        <v>0</v>
      </c>
      <c r="DW68" s="15">
        <v>0</v>
      </c>
      <c r="DY68" s="15">
        <v>2</v>
      </c>
      <c r="DZ68" s="15" t="s">
        <v>1238</v>
      </c>
      <c r="EC68" s="15">
        <v>0</v>
      </c>
      <c r="EE68" s="15">
        <v>0</v>
      </c>
      <c r="EH68" s="15">
        <v>30.436</v>
      </c>
      <c r="EI68" s="15">
        <v>-81.406850000000006</v>
      </c>
      <c r="EJ68" s="15">
        <v>0</v>
      </c>
      <c r="EL68" s="15">
        <v>0</v>
      </c>
      <c r="EN68" s="15">
        <v>1</v>
      </c>
      <c r="EO68" s="15" t="s">
        <v>1237</v>
      </c>
      <c r="EP68" s="15">
        <v>0</v>
      </c>
      <c r="ER68" s="15">
        <v>0</v>
      </c>
      <c r="ET68" s="15">
        <v>0</v>
      </c>
      <c r="EW68" s="15">
        <v>30.435369999999999</v>
      </c>
      <c r="EX68" s="15">
        <v>-81.406850000000006</v>
      </c>
      <c r="EY68" s="15">
        <v>0</v>
      </c>
      <c r="FA68" s="15">
        <v>0</v>
      </c>
      <c r="FC68" s="15">
        <v>2</v>
      </c>
      <c r="FD68" s="15" t="s">
        <v>1228</v>
      </c>
      <c r="FE68" s="15">
        <v>0</v>
      </c>
      <c r="FG68" s="15">
        <v>0</v>
      </c>
      <c r="FI68" s="15">
        <v>0</v>
      </c>
      <c r="FL68" s="15">
        <v>30.435020000000002</v>
      </c>
      <c r="FM68" s="15">
        <v>-81.406850000000006</v>
      </c>
      <c r="FN68" s="15">
        <v>0</v>
      </c>
      <c r="FP68" s="15">
        <v>0</v>
      </c>
      <c r="FR68" s="15">
        <v>1</v>
      </c>
      <c r="FS68" s="15" t="s">
        <v>1237</v>
      </c>
      <c r="FT68" s="15">
        <v>0</v>
      </c>
      <c r="FV68" s="15">
        <v>0</v>
      </c>
      <c r="FX68" s="15">
        <v>0</v>
      </c>
      <c r="GA68" s="15">
        <v>30.433450000000001</v>
      </c>
      <c r="GB68" s="15">
        <v>-81.406059999999997</v>
      </c>
      <c r="GC68" s="15">
        <v>0</v>
      </c>
      <c r="GE68" s="15">
        <v>0</v>
      </c>
      <c r="GG68" s="15">
        <v>0</v>
      </c>
      <c r="GI68" s="15">
        <v>0</v>
      </c>
      <c r="GK68" s="15">
        <v>0</v>
      </c>
      <c r="GM68" s="15">
        <v>0</v>
      </c>
      <c r="GO68" s="15" t="s">
        <v>1239</v>
      </c>
      <c r="GP68" s="15">
        <v>30.43262</v>
      </c>
      <c r="GQ68" s="15">
        <v>-81.406059999999997</v>
      </c>
      <c r="GR68" s="15">
        <v>0</v>
      </c>
      <c r="GT68" s="15">
        <v>0</v>
      </c>
      <c r="GV68" s="15">
        <v>0</v>
      </c>
      <c r="GX68" s="15">
        <v>75</v>
      </c>
      <c r="GY68" s="15" t="s">
        <v>1240</v>
      </c>
      <c r="GZ68" s="15">
        <v>0</v>
      </c>
      <c r="HB68" s="15">
        <v>0</v>
      </c>
      <c r="HE68" s="15">
        <v>30.433710000000001</v>
      </c>
      <c r="HF68" s="15">
        <v>-81.40813</v>
      </c>
      <c r="HG68" s="15">
        <v>0</v>
      </c>
      <c r="HI68" s="15">
        <v>0</v>
      </c>
      <c r="HK68" s="15">
        <v>1</v>
      </c>
      <c r="HL68" s="15" t="s">
        <v>1241</v>
      </c>
      <c r="HM68" s="15">
        <v>0</v>
      </c>
      <c r="HO68" s="15">
        <v>0</v>
      </c>
      <c r="HQ68" s="15">
        <v>0</v>
      </c>
      <c r="HT68" s="17"/>
      <c r="HU68" s="17"/>
      <c r="II68" s="42"/>
      <c r="IJ68" s="42"/>
      <c r="IK68" s="42"/>
      <c r="IL68" s="42"/>
      <c r="IM68" s="42"/>
      <c r="IN68" s="42"/>
      <c r="IO68" s="42"/>
      <c r="IP68" s="42"/>
      <c r="IQ68" s="42"/>
      <c r="IR68" s="42"/>
      <c r="IS68" s="42"/>
      <c r="IT68" s="42"/>
      <c r="IU68" s="42"/>
      <c r="IV68" s="42"/>
      <c r="IW68" s="42"/>
      <c r="IX68" s="42"/>
      <c r="IY68" s="42"/>
      <c r="IZ68" s="42"/>
      <c r="JA68" s="42"/>
      <c r="JB68" s="42"/>
      <c r="JC68" s="42"/>
      <c r="JD68" s="42"/>
      <c r="JE68" s="42"/>
      <c r="JF68" s="42"/>
      <c r="JG68" s="42"/>
      <c r="JH68" s="42"/>
      <c r="JI68" s="42"/>
      <c r="JJ68" s="42"/>
      <c r="JK68" s="42"/>
      <c r="JL68" s="42"/>
      <c r="JM68" s="42"/>
      <c r="JN68" s="42"/>
      <c r="JO68" s="42"/>
      <c r="JP68" s="42"/>
      <c r="JQ68" s="42"/>
      <c r="JR68" s="42"/>
      <c r="JS68" s="42"/>
      <c r="JT68" s="42"/>
      <c r="JU68" s="42"/>
      <c r="JV68" s="42"/>
      <c r="JW68" s="42"/>
      <c r="JX68" s="42"/>
      <c r="JY68" s="42"/>
      <c r="JZ68" s="42"/>
      <c r="KA68" s="42"/>
    </row>
    <row r="69" spans="1:287" ht="31.5">
      <c r="A69" s="13" t="s">
        <v>243</v>
      </c>
      <c r="B69" s="13" t="s">
        <v>219</v>
      </c>
      <c r="C69" s="15">
        <v>30.397020999999999</v>
      </c>
      <c r="D69" s="15">
        <v>-81.391678999999996</v>
      </c>
      <c r="G69" s="15">
        <v>160</v>
      </c>
      <c r="J69" s="19"/>
      <c r="Q69" s="19"/>
      <c r="R69" s="17"/>
      <c r="Y69" s="19"/>
      <c r="AF69" s="18"/>
      <c r="AG69" s="17"/>
      <c r="AV69" s="15">
        <v>30.304431999999998</v>
      </c>
      <c r="AW69" s="15">
        <v>-91.390883000000002</v>
      </c>
      <c r="AZ69" s="15">
        <v>180</v>
      </c>
      <c r="BK69" s="15">
        <v>30.291830999999998</v>
      </c>
      <c r="BL69" s="15">
        <v>-81.388450000000006</v>
      </c>
      <c r="BO69" s="15">
        <v>35</v>
      </c>
      <c r="BZ69" s="17"/>
      <c r="CO69" s="17"/>
      <c r="DD69" s="17"/>
      <c r="DE69" s="17"/>
      <c r="DS69" s="17"/>
      <c r="DT69" s="17"/>
      <c r="EH69" s="17"/>
      <c r="EI69" s="17"/>
      <c r="EW69" s="17"/>
      <c r="EX69" s="17"/>
      <c r="FL69" s="17"/>
      <c r="FM69" s="17"/>
      <c r="GA69" s="17"/>
      <c r="GB69" s="17"/>
      <c r="GP69" s="17"/>
      <c r="GQ69" s="17"/>
      <c r="HE69" s="17"/>
      <c r="HF69" s="17"/>
      <c r="HT69" s="17"/>
      <c r="HU69" s="17"/>
      <c r="II69" s="42"/>
      <c r="IJ69" s="42"/>
      <c r="IK69" s="42"/>
      <c r="IL69" s="42"/>
      <c r="IM69" s="42"/>
      <c r="IN69" s="42"/>
      <c r="IO69" s="42"/>
      <c r="IP69" s="42"/>
      <c r="IQ69" s="42"/>
      <c r="IR69" s="42"/>
      <c r="IS69" s="42"/>
      <c r="IT69" s="42"/>
      <c r="IU69" s="42"/>
      <c r="IV69" s="42"/>
      <c r="IW69" s="42"/>
      <c r="IX69" s="42"/>
      <c r="IY69" s="42"/>
      <c r="IZ69" s="42"/>
      <c r="JA69" s="42"/>
      <c r="JB69" s="42"/>
      <c r="JC69" s="42"/>
      <c r="JD69" s="42"/>
      <c r="JE69" s="42"/>
      <c r="JF69" s="42"/>
      <c r="JG69" s="42"/>
      <c r="JH69" s="42"/>
      <c r="JI69" s="42"/>
      <c r="JJ69" s="42"/>
      <c r="JK69" s="42"/>
      <c r="JL69" s="42"/>
      <c r="JM69" s="42"/>
      <c r="JN69" s="42"/>
      <c r="JO69" s="42"/>
      <c r="JP69" s="42"/>
      <c r="JQ69" s="42"/>
      <c r="JR69" s="42"/>
      <c r="JS69" s="42"/>
      <c r="JT69" s="42"/>
      <c r="JU69" s="42"/>
      <c r="JV69" s="42"/>
      <c r="JW69" s="42"/>
      <c r="JX69" s="42"/>
      <c r="JY69" s="42"/>
      <c r="JZ69" s="42"/>
      <c r="KA69" s="42"/>
    </row>
    <row r="70" spans="1:287" ht="31.5">
      <c r="A70" s="13" t="s">
        <v>247</v>
      </c>
      <c r="B70" s="13" t="s">
        <v>219</v>
      </c>
      <c r="C70" s="17"/>
      <c r="J70" s="19"/>
      <c r="N70" s="18"/>
      <c r="Q70" s="19"/>
      <c r="R70" s="17"/>
      <c r="Y70" s="19"/>
      <c r="AF70" s="19"/>
      <c r="AG70" s="17"/>
      <c r="AV70" s="17"/>
      <c r="BK70" s="17"/>
      <c r="BZ70" s="17"/>
      <c r="CO70" s="17"/>
      <c r="DD70" s="17"/>
      <c r="DE70" s="17"/>
      <c r="DS70" s="17"/>
      <c r="DT70" s="17"/>
      <c r="EH70" s="17"/>
      <c r="EI70" s="17"/>
      <c r="EW70" s="17"/>
      <c r="EX70" s="17"/>
      <c r="FL70" s="17"/>
      <c r="FM70" s="17"/>
      <c r="GA70" s="17"/>
      <c r="GB70" s="17"/>
      <c r="GP70" s="17"/>
      <c r="GQ70" s="17"/>
      <c r="HE70" s="17"/>
      <c r="HF70" s="17"/>
      <c r="HT70" s="17"/>
      <c r="HU70" s="17"/>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2"/>
      <c r="JT70" s="42"/>
      <c r="JU70" s="42"/>
      <c r="JV70" s="42"/>
      <c r="JW70" s="42"/>
      <c r="JX70" s="42"/>
      <c r="JY70" s="42"/>
      <c r="JZ70" s="42"/>
      <c r="KA70" s="42"/>
    </row>
    <row r="71" spans="1:287" ht="31.5">
      <c r="A71" s="13" t="s">
        <v>248</v>
      </c>
      <c r="B71" s="13" t="s">
        <v>219</v>
      </c>
      <c r="C71" s="17"/>
      <c r="J71" s="18"/>
      <c r="Q71" s="19"/>
      <c r="R71" s="17"/>
      <c r="Y71" s="19"/>
      <c r="AC71" s="18"/>
      <c r="AF71" s="19"/>
      <c r="AG71" s="17"/>
      <c r="AV71" s="17"/>
      <c r="BK71" s="17"/>
      <c r="BZ71" s="17"/>
      <c r="CO71" s="17"/>
      <c r="DD71" s="17"/>
      <c r="DE71" s="17"/>
      <c r="DO71" s="18"/>
      <c r="DS71" s="17"/>
      <c r="DT71" s="17"/>
      <c r="EH71" s="17"/>
      <c r="EI71" s="17"/>
      <c r="EW71" s="17"/>
      <c r="EX71" s="17"/>
      <c r="FL71" s="17"/>
      <c r="FM71" s="17"/>
      <c r="GA71" s="17"/>
      <c r="GB71" s="17"/>
      <c r="GP71" s="17"/>
      <c r="GQ71" s="17"/>
      <c r="HE71" s="17"/>
      <c r="HF71" s="17"/>
      <c r="HT71" s="17"/>
      <c r="HU71" s="17"/>
      <c r="II71" s="42"/>
      <c r="IJ71" s="42"/>
      <c r="IK71" s="42"/>
      <c r="IL71" s="42"/>
      <c r="IM71" s="42"/>
      <c r="IN71" s="42"/>
      <c r="IO71" s="42"/>
      <c r="IP71" s="42"/>
      <c r="IQ71" s="42"/>
      <c r="IR71" s="42"/>
      <c r="IS71" s="42"/>
      <c r="IT71" s="42"/>
      <c r="IU71" s="42"/>
      <c r="IV71" s="42"/>
      <c r="IW71" s="42"/>
      <c r="IX71" s="42"/>
      <c r="IY71" s="42"/>
      <c r="IZ71" s="42"/>
      <c r="JA71" s="42"/>
      <c r="JB71" s="42"/>
      <c r="JC71" s="42"/>
      <c r="JD71" s="42"/>
      <c r="JE71" s="42"/>
      <c r="JF71" s="42"/>
      <c r="JG71" s="42"/>
      <c r="JH71" s="42"/>
      <c r="JI71" s="42"/>
      <c r="JJ71" s="42"/>
      <c r="JK71" s="42"/>
      <c r="JL71" s="42"/>
      <c r="JM71" s="42"/>
      <c r="JN71" s="42"/>
      <c r="JO71" s="42"/>
      <c r="JP71" s="42"/>
      <c r="JQ71" s="42"/>
      <c r="JR71" s="42"/>
      <c r="JS71" s="42"/>
      <c r="JT71" s="42"/>
      <c r="JU71" s="42"/>
      <c r="JV71" s="42"/>
      <c r="JW71" s="42"/>
      <c r="JX71" s="42"/>
      <c r="JY71" s="42"/>
      <c r="JZ71" s="42"/>
      <c r="KA71" s="42"/>
    </row>
    <row r="72" spans="1:287" ht="47.25">
      <c r="A72" s="13" t="s">
        <v>249</v>
      </c>
      <c r="B72" s="13" t="s">
        <v>219</v>
      </c>
      <c r="C72" s="17"/>
      <c r="J72" s="19"/>
      <c r="Q72" s="19"/>
      <c r="R72" s="17"/>
      <c r="Y72" s="19"/>
      <c r="AF72" s="19"/>
      <c r="AG72" s="17"/>
      <c r="AV72" s="17"/>
      <c r="BK72" s="17"/>
      <c r="BZ72" s="17"/>
      <c r="CO72" s="17"/>
      <c r="DD72" s="17"/>
      <c r="DE72" s="17"/>
      <c r="DS72" s="17"/>
      <c r="DT72" s="17"/>
      <c r="EH72" s="17"/>
      <c r="EI72" s="17"/>
      <c r="EW72" s="17"/>
      <c r="EX72" s="17"/>
      <c r="FL72" s="17"/>
      <c r="FM72" s="17"/>
      <c r="GA72" s="17"/>
      <c r="GB72" s="17"/>
      <c r="GP72" s="17"/>
      <c r="GQ72" s="17"/>
      <c r="HE72" s="17"/>
      <c r="HF72" s="17"/>
      <c r="HT72" s="17"/>
      <c r="HU72" s="17"/>
      <c r="II72" s="42"/>
      <c r="IJ72" s="42"/>
      <c r="IK72" s="42"/>
      <c r="IL72" s="42"/>
      <c r="IM72" s="42"/>
      <c r="IN72" s="42"/>
      <c r="IO72" s="42"/>
      <c r="IP72" s="42"/>
      <c r="IQ72" s="42"/>
      <c r="IR72" s="42"/>
      <c r="IS72" s="42"/>
      <c r="IT72" s="42"/>
      <c r="IU72" s="42"/>
      <c r="IV72" s="42"/>
      <c r="IW72" s="42"/>
      <c r="IX72" s="42"/>
      <c r="IY72" s="42"/>
      <c r="IZ72" s="42"/>
      <c r="JA72" s="42"/>
      <c r="JB72" s="42"/>
      <c r="JC72" s="42"/>
      <c r="JD72" s="42"/>
      <c r="JE72" s="42"/>
      <c r="JF72" s="42"/>
      <c r="JG72" s="42"/>
      <c r="JH72" s="42"/>
      <c r="JI72" s="42"/>
      <c r="JJ72" s="42"/>
      <c r="JK72" s="42"/>
      <c r="JL72" s="42"/>
      <c r="JM72" s="42"/>
      <c r="JN72" s="42"/>
      <c r="JO72" s="42"/>
      <c r="JP72" s="42"/>
      <c r="JQ72" s="42"/>
      <c r="JR72" s="42"/>
      <c r="JS72" s="42"/>
      <c r="JT72" s="42"/>
      <c r="JU72" s="42"/>
      <c r="JV72" s="42"/>
      <c r="JW72" s="42"/>
      <c r="JX72" s="42"/>
      <c r="JY72" s="42"/>
      <c r="JZ72" s="42"/>
      <c r="KA72" s="42"/>
    </row>
    <row r="73" spans="1:287">
      <c r="A73" s="13" t="s">
        <v>250</v>
      </c>
      <c r="B73" s="13" t="s">
        <v>251</v>
      </c>
      <c r="C73" s="17"/>
      <c r="J73" s="19"/>
      <c r="Q73" s="19"/>
      <c r="R73" s="17"/>
      <c r="Y73" s="19"/>
      <c r="AF73" s="19"/>
      <c r="AG73" s="17"/>
      <c r="AV73" s="17"/>
      <c r="BK73" s="17"/>
      <c r="BZ73" s="17"/>
      <c r="CO73" s="17"/>
      <c r="DD73" s="17"/>
      <c r="DE73" s="17"/>
      <c r="DS73" s="17"/>
      <c r="DT73" s="17"/>
      <c r="EH73" s="17"/>
      <c r="EI73" s="17"/>
      <c r="EW73" s="17"/>
      <c r="EX73" s="17"/>
      <c r="FL73" s="17"/>
      <c r="FM73" s="17"/>
      <c r="GA73" s="17"/>
      <c r="GB73" s="17"/>
      <c r="GP73" s="17"/>
      <c r="GQ73" s="17"/>
      <c r="HE73" s="17"/>
      <c r="HF73" s="17"/>
      <c r="HT73" s="17"/>
      <c r="HU73" s="17"/>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2"/>
      <c r="JT73" s="42"/>
      <c r="JU73" s="42"/>
      <c r="JV73" s="42"/>
      <c r="JW73" s="42"/>
      <c r="JX73" s="42"/>
      <c r="JY73" s="42"/>
      <c r="JZ73" s="42"/>
      <c r="KA73" s="42"/>
    </row>
    <row r="74" spans="1:287" ht="31.5">
      <c r="A74" s="13" t="s">
        <v>253</v>
      </c>
      <c r="B74" s="13" t="s">
        <v>251</v>
      </c>
      <c r="C74" s="15">
        <v>30.308709</v>
      </c>
      <c r="D74" s="15">
        <v>-87.272219000000007</v>
      </c>
      <c r="J74" s="18"/>
      <c r="M74" s="15">
        <v>7</v>
      </c>
      <c r="Q74" s="19"/>
      <c r="R74" s="15">
        <v>30.330295</v>
      </c>
      <c r="S74" s="15">
        <v>-87.315960000000004</v>
      </c>
      <c r="V74" s="15">
        <v>9</v>
      </c>
      <c r="Y74" s="19"/>
      <c r="AB74" s="15">
        <v>12</v>
      </c>
      <c r="AF74" s="19"/>
      <c r="AG74" s="15">
        <v>30.321159000000002</v>
      </c>
      <c r="AH74" s="15">
        <v>-87.324051999999995</v>
      </c>
      <c r="AM74" s="15">
        <v>1</v>
      </c>
      <c r="AS74" s="15">
        <v>1</v>
      </c>
      <c r="AV74" s="17"/>
      <c r="BK74" s="17"/>
      <c r="BZ74" s="17"/>
      <c r="CO74" s="17"/>
      <c r="DD74" s="17"/>
      <c r="DE74" s="17"/>
      <c r="DS74" s="17"/>
      <c r="DT74" s="17"/>
      <c r="EH74" s="17"/>
      <c r="EI74" s="17"/>
      <c r="EW74" s="17"/>
      <c r="EX74" s="17"/>
      <c r="FL74" s="17"/>
      <c r="FM74" s="17"/>
      <c r="GA74" s="17"/>
      <c r="GB74" s="17"/>
      <c r="GP74" s="17"/>
      <c r="GQ74" s="17"/>
      <c r="HE74" s="17"/>
      <c r="HF74" s="17"/>
      <c r="HT74" s="17"/>
      <c r="HU74" s="17"/>
      <c r="II74" s="42"/>
      <c r="IJ74" s="42"/>
      <c r="IK74" s="42"/>
      <c r="IL74" s="42"/>
      <c r="IM74" s="42"/>
      <c r="IN74" s="42"/>
      <c r="IO74" s="42"/>
      <c r="IP74" s="42"/>
      <c r="IQ74" s="42"/>
      <c r="IR74" s="42"/>
      <c r="IS74" s="42"/>
      <c r="IT74" s="42"/>
      <c r="IU74" s="42"/>
      <c r="IV74" s="42"/>
      <c r="IW74" s="42"/>
      <c r="IX74" s="42"/>
      <c r="IY74" s="42"/>
      <c r="IZ74" s="42"/>
      <c r="JA74" s="42"/>
      <c r="JB74" s="42"/>
      <c r="JC74" s="42"/>
      <c r="JD74" s="42"/>
      <c r="JE74" s="42"/>
      <c r="JF74" s="42"/>
      <c r="JG74" s="42"/>
      <c r="JH74" s="42"/>
      <c r="JI74" s="42"/>
      <c r="JJ74" s="42"/>
      <c r="JK74" s="42"/>
      <c r="JL74" s="42"/>
      <c r="JM74" s="42"/>
      <c r="JN74" s="42"/>
      <c r="JO74" s="42"/>
      <c r="JP74" s="42"/>
      <c r="JQ74" s="42"/>
      <c r="JR74" s="42"/>
      <c r="JS74" s="42"/>
      <c r="JT74" s="42"/>
      <c r="JU74" s="42"/>
      <c r="JV74" s="42"/>
      <c r="JW74" s="42"/>
      <c r="JX74" s="42"/>
      <c r="JY74" s="42"/>
      <c r="JZ74" s="42"/>
      <c r="KA74" s="42"/>
    </row>
    <row r="75" spans="1:287" ht="31.5">
      <c r="A75" s="13" t="s">
        <v>256</v>
      </c>
      <c r="B75" s="13" t="s">
        <v>251</v>
      </c>
      <c r="C75" s="15">
        <v>30.368027000000001</v>
      </c>
      <c r="D75" s="15">
        <v>-86.937416999999996</v>
      </c>
      <c r="J75" s="19"/>
      <c r="M75" s="15">
        <v>8</v>
      </c>
      <c r="N75" s="15" t="s">
        <v>1242</v>
      </c>
      <c r="Q75" s="19"/>
      <c r="R75" s="15">
        <v>30.363796000000001</v>
      </c>
      <c r="S75" s="15">
        <v>-86.962333000000001</v>
      </c>
      <c r="Y75" s="19"/>
      <c r="AB75" s="15">
        <v>3</v>
      </c>
      <c r="AC75" s="15" t="s">
        <v>1243</v>
      </c>
      <c r="AF75" s="19"/>
      <c r="AG75" s="17"/>
      <c r="AV75" s="17"/>
      <c r="BK75" s="17"/>
      <c r="BZ75" s="17"/>
      <c r="CO75" s="17"/>
      <c r="DD75" s="17"/>
      <c r="DE75" s="17"/>
      <c r="DS75" s="17"/>
      <c r="DT75" s="17"/>
      <c r="EH75" s="17"/>
      <c r="EI75" s="17"/>
      <c r="EW75" s="17"/>
      <c r="EX75" s="17"/>
      <c r="FL75" s="17"/>
      <c r="FM75" s="17"/>
      <c r="GA75" s="17"/>
      <c r="GB75" s="17"/>
      <c r="GP75" s="17"/>
      <c r="GQ75" s="17"/>
      <c r="HE75" s="17"/>
      <c r="HF75" s="17"/>
      <c r="HT75" s="17"/>
      <c r="HU75" s="17"/>
      <c r="II75" s="42"/>
      <c r="IJ75" s="42"/>
      <c r="IK75" s="42"/>
      <c r="IL75" s="42"/>
      <c r="IM75" s="42"/>
      <c r="IN75" s="42"/>
      <c r="IO75" s="42"/>
      <c r="IP75" s="42"/>
      <c r="IQ75" s="42"/>
      <c r="IR75" s="42"/>
      <c r="IS75" s="42"/>
      <c r="IT75" s="42"/>
      <c r="IU75" s="42"/>
      <c r="IV75" s="42"/>
      <c r="IW75" s="42"/>
      <c r="IX75" s="42"/>
      <c r="IY75" s="42"/>
      <c r="IZ75" s="42"/>
      <c r="JA75" s="42"/>
      <c r="JB75" s="42"/>
      <c r="JC75" s="42"/>
      <c r="JD75" s="42"/>
      <c r="JE75" s="42"/>
      <c r="JF75" s="42"/>
      <c r="JG75" s="42"/>
      <c r="JH75" s="42"/>
      <c r="JI75" s="42"/>
      <c r="JJ75" s="42"/>
      <c r="JK75" s="42"/>
      <c r="JL75" s="42"/>
      <c r="JM75" s="42"/>
      <c r="JN75" s="42"/>
      <c r="JO75" s="42"/>
      <c r="JP75" s="42"/>
      <c r="JQ75" s="42"/>
      <c r="JR75" s="42"/>
      <c r="JS75" s="42"/>
      <c r="JT75" s="42"/>
      <c r="JU75" s="42"/>
      <c r="JV75" s="42"/>
      <c r="JW75" s="42"/>
      <c r="JX75" s="42"/>
      <c r="JY75" s="42"/>
      <c r="JZ75" s="42"/>
      <c r="KA75" s="42"/>
    </row>
    <row r="76" spans="1:287" ht="31.5">
      <c r="A76" s="13" t="s">
        <v>260</v>
      </c>
      <c r="B76" s="13" t="s">
        <v>251</v>
      </c>
      <c r="C76" s="15">
        <v>30.324152999999999</v>
      </c>
      <c r="D76" s="15">
        <v>-87.187759999999997</v>
      </c>
      <c r="J76" s="19"/>
      <c r="M76" s="15">
        <v>1</v>
      </c>
      <c r="Q76" s="19"/>
      <c r="R76" s="15">
        <v>30.324010000000001</v>
      </c>
      <c r="S76" s="15">
        <v>-87.19802</v>
      </c>
      <c r="Y76" s="19"/>
      <c r="AB76" s="15">
        <v>3</v>
      </c>
      <c r="AF76" s="19"/>
      <c r="AG76" s="15">
        <v>30.317779999999999</v>
      </c>
      <c r="AH76" s="15">
        <v>-87.277707000000007</v>
      </c>
      <c r="AQ76" s="15">
        <v>4</v>
      </c>
      <c r="AV76" s="15">
        <v>30.319240000000001</v>
      </c>
      <c r="AW76" s="15">
        <v>-87.284000000000006</v>
      </c>
      <c r="BF76" s="15">
        <v>2</v>
      </c>
      <c r="BK76" s="15">
        <v>30.323892499999999</v>
      </c>
      <c r="BL76" s="15">
        <v>-87.209072699999993</v>
      </c>
      <c r="BU76" s="15">
        <v>2</v>
      </c>
      <c r="BZ76" s="17"/>
      <c r="CO76" s="17"/>
      <c r="DD76" s="17"/>
      <c r="DE76" s="17"/>
      <c r="DS76" s="17"/>
      <c r="DT76" s="17"/>
      <c r="EH76" s="17"/>
      <c r="EI76" s="17"/>
      <c r="EW76" s="17"/>
      <c r="EX76" s="17"/>
      <c r="FL76" s="17"/>
      <c r="FM76" s="17"/>
      <c r="GA76" s="17"/>
      <c r="GB76" s="17"/>
      <c r="GP76" s="17"/>
      <c r="GQ76" s="17"/>
      <c r="HE76" s="17"/>
      <c r="HF76" s="17"/>
      <c r="HT76" s="17"/>
      <c r="HU76" s="17"/>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2"/>
      <c r="JT76" s="42"/>
      <c r="JU76" s="42"/>
      <c r="JV76" s="42"/>
      <c r="JW76" s="42"/>
      <c r="JX76" s="42"/>
      <c r="JY76" s="42"/>
      <c r="JZ76" s="42"/>
      <c r="KA76" s="42"/>
    </row>
    <row r="77" spans="1:287">
      <c r="A77" s="13" t="s">
        <v>263</v>
      </c>
      <c r="B77" s="13" t="s">
        <v>251</v>
      </c>
      <c r="C77" s="17"/>
      <c r="J77" s="19"/>
      <c r="Q77" s="19"/>
      <c r="R77" s="17"/>
      <c r="Y77" s="19"/>
      <c r="AF77" s="19"/>
      <c r="AG77" s="17"/>
      <c r="AV77" s="17"/>
      <c r="BK77" s="17"/>
      <c r="BZ77" s="17"/>
      <c r="CO77" s="17"/>
      <c r="DD77" s="17"/>
      <c r="DE77" s="17"/>
      <c r="DS77" s="17"/>
      <c r="DT77" s="17"/>
      <c r="EH77" s="17"/>
      <c r="EI77" s="17"/>
      <c r="EW77" s="17"/>
      <c r="EX77" s="17"/>
      <c r="FL77" s="17"/>
      <c r="FM77" s="17"/>
      <c r="GA77" s="17"/>
      <c r="GB77" s="17"/>
      <c r="GP77" s="17"/>
      <c r="GQ77" s="17"/>
      <c r="HE77" s="17"/>
      <c r="HF77" s="17"/>
      <c r="HT77" s="17"/>
      <c r="HU77" s="17"/>
      <c r="II77" s="42"/>
      <c r="IJ77" s="42"/>
      <c r="IK77" s="42"/>
      <c r="IL77" s="42"/>
      <c r="IM77" s="42"/>
      <c r="IN77" s="42"/>
      <c r="IO77" s="42"/>
      <c r="IP77" s="42"/>
      <c r="IQ77" s="42"/>
      <c r="IR77" s="42"/>
      <c r="IS77" s="42"/>
      <c r="IT77" s="42"/>
      <c r="IU77" s="42"/>
      <c r="IV77" s="42"/>
      <c r="IW77" s="42"/>
      <c r="IX77" s="42"/>
      <c r="IY77" s="42"/>
      <c r="IZ77" s="42"/>
      <c r="JA77" s="42"/>
      <c r="JB77" s="42"/>
      <c r="JC77" s="42"/>
      <c r="JD77" s="42"/>
      <c r="JE77" s="42"/>
      <c r="JF77" s="42"/>
      <c r="JG77" s="42"/>
      <c r="JH77" s="42"/>
      <c r="JI77" s="42"/>
      <c r="JJ77" s="42"/>
      <c r="JK77" s="42"/>
      <c r="JL77" s="42"/>
      <c r="JM77" s="42"/>
      <c r="JN77" s="42"/>
      <c r="JO77" s="42"/>
      <c r="JP77" s="42"/>
      <c r="JQ77" s="42"/>
      <c r="JR77" s="42"/>
      <c r="JS77" s="42"/>
      <c r="JT77" s="42"/>
      <c r="JU77" s="42"/>
      <c r="JV77" s="42"/>
      <c r="JW77" s="42"/>
      <c r="JX77" s="42"/>
      <c r="JY77" s="42"/>
      <c r="JZ77" s="42"/>
      <c r="KA77" s="42"/>
    </row>
    <row r="78" spans="1:287">
      <c r="A78" s="13" t="s">
        <v>264</v>
      </c>
      <c r="B78" s="13" t="s">
        <v>251</v>
      </c>
      <c r="C78" s="17"/>
      <c r="J78" s="19"/>
      <c r="Q78" s="19"/>
      <c r="R78" s="17"/>
      <c r="Y78" s="19"/>
      <c r="AF78" s="19"/>
      <c r="AG78" s="17"/>
      <c r="AV78" s="17"/>
      <c r="BK78" s="17"/>
      <c r="BZ78" s="17"/>
      <c r="CO78" s="17"/>
      <c r="DD78" s="17"/>
      <c r="DE78" s="17"/>
      <c r="DS78" s="17"/>
      <c r="DT78" s="17"/>
      <c r="EH78" s="17"/>
      <c r="EI78" s="17"/>
      <c r="EW78" s="17"/>
      <c r="EX78" s="17"/>
      <c r="FL78" s="17"/>
      <c r="FM78" s="17"/>
      <c r="GA78" s="17"/>
      <c r="GB78" s="17"/>
      <c r="GP78" s="17"/>
      <c r="GQ78" s="17"/>
      <c r="HE78" s="17"/>
      <c r="HF78" s="17"/>
      <c r="HT78" s="17"/>
      <c r="HU78" s="17"/>
      <c r="II78" s="42"/>
      <c r="IJ78" s="42"/>
      <c r="IK78" s="42"/>
      <c r="IL78" s="42"/>
      <c r="IM78" s="42"/>
      <c r="IN78" s="42"/>
      <c r="IO78" s="42"/>
      <c r="IP78" s="42"/>
      <c r="IQ78" s="42"/>
      <c r="IR78" s="42"/>
      <c r="IS78" s="42"/>
      <c r="IT78" s="42"/>
      <c r="IU78" s="42"/>
      <c r="IV78" s="42"/>
      <c r="IW78" s="42"/>
      <c r="IX78" s="42"/>
      <c r="IY78" s="42"/>
      <c r="IZ78" s="42"/>
      <c r="JA78" s="42"/>
      <c r="JB78" s="42"/>
      <c r="JC78" s="42"/>
      <c r="JD78" s="42"/>
      <c r="JE78" s="42"/>
      <c r="JF78" s="42"/>
      <c r="JG78" s="42"/>
      <c r="JH78" s="42"/>
      <c r="JI78" s="42"/>
      <c r="JJ78" s="42"/>
      <c r="JK78" s="42"/>
      <c r="JL78" s="42"/>
      <c r="JM78" s="42"/>
      <c r="JN78" s="42"/>
      <c r="JO78" s="42"/>
      <c r="JP78" s="42"/>
      <c r="JQ78" s="42"/>
      <c r="JR78" s="42"/>
      <c r="JS78" s="42"/>
      <c r="JT78" s="42"/>
      <c r="JU78" s="42"/>
      <c r="JV78" s="42"/>
      <c r="JW78" s="42"/>
      <c r="JX78" s="42"/>
      <c r="JY78" s="42"/>
      <c r="JZ78" s="42"/>
      <c r="KA78" s="42"/>
    </row>
    <row r="79" spans="1:287">
      <c r="A79" s="13" t="s">
        <v>265</v>
      </c>
      <c r="B79" s="13" t="s">
        <v>251</v>
      </c>
      <c r="C79" s="17"/>
      <c r="J79" s="19"/>
      <c r="Q79" s="19"/>
      <c r="R79" s="17"/>
      <c r="Y79" s="19"/>
      <c r="AF79" s="19"/>
      <c r="AG79" s="17"/>
      <c r="AV79" s="17"/>
      <c r="BK79" s="17"/>
      <c r="BZ79" s="17"/>
      <c r="CO79" s="17"/>
      <c r="DD79" s="17"/>
      <c r="DE79" s="17"/>
      <c r="DS79" s="17"/>
      <c r="DT79" s="17"/>
      <c r="EH79" s="17"/>
      <c r="EI79" s="17"/>
      <c r="EW79" s="17"/>
      <c r="EX79" s="17"/>
      <c r="FL79" s="17"/>
      <c r="FM79" s="17"/>
      <c r="GA79" s="17"/>
      <c r="GB79" s="17"/>
      <c r="GP79" s="17"/>
      <c r="GQ79" s="17"/>
      <c r="HE79" s="17"/>
      <c r="HF79" s="17"/>
      <c r="HT79" s="17"/>
      <c r="HU79" s="17"/>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2"/>
      <c r="JT79" s="42"/>
      <c r="JU79" s="42"/>
      <c r="JV79" s="42"/>
      <c r="JW79" s="42"/>
      <c r="JX79" s="42"/>
      <c r="JY79" s="42"/>
      <c r="JZ79" s="42"/>
      <c r="KA79" s="42"/>
    </row>
    <row r="80" spans="1:287" ht="31.5">
      <c r="A80" s="29" t="s">
        <v>266</v>
      </c>
      <c r="B80" s="24" t="s">
        <v>251</v>
      </c>
      <c r="C80" s="15"/>
      <c r="D80" s="15">
        <v>-87.317089999999993</v>
      </c>
      <c r="G80" s="15">
        <v>14</v>
      </c>
      <c r="J80" s="19"/>
      <c r="M80" s="15">
        <v>14</v>
      </c>
      <c r="N80" s="15" t="s">
        <v>1244</v>
      </c>
      <c r="Q80" s="19"/>
      <c r="R80" s="15">
        <v>30.329006</v>
      </c>
      <c r="S80" s="15">
        <v>-87.318438999999998</v>
      </c>
      <c r="X80" s="15">
        <v>1</v>
      </c>
      <c r="Y80" s="18" t="s">
        <v>1245</v>
      </c>
      <c r="AF80" s="19"/>
      <c r="AG80" s="17"/>
      <c r="AV80" s="17"/>
      <c r="BK80" s="17"/>
      <c r="BZ80" s="17"/>
      <c r="CO80" s="17"/>
      <c r="DD80" s="17"/>
      <c r="DE80" s="17"/>
      <c r="DS80" s="17"/>
      <c r="DT80" s="17"/>
      <c r="EH80" s="17"/>
      <c r="EI80" s="17"/>
      <c r="EW80" s="17"/>
      <c r="EX80" s="17"/>
      <c r="FL80" s="17"/>
      <c r="FM80" s="17"/>
      <c r="GA80" s="17"/>
      <c r="GB80" s="17"/>
      <c r="GP80" s="17"/>
      <c r="GQ80" s="17"/>
      <c r="HE80" s="17"/>
      <c r="HF80" s="17"/>
      <c r="HT80" s="17"/>
      <c r="HU80" s="17"/>
      <c r="II80" s="42"/>
      <c r="IJ80" s="42"/>
      <c r="IK80" s="42"/>
      <c r="IL80" s="42"/>
      <c r="IM80" s="42"/>
      <c r="IN80" s="42"/>
      <c r="IO80" s="42"/>
      <c r="IP80" s="42"/>
      <c r="IQ80" s="42"/>
      <c r="IR80" s="42"/>
      <c r="IS80" s="42"/>
      <c r="IT80" s="42"/>
      <c r="IU80" s="42"/>
      <c r="IV80" s="42"/>
      <c r="IW80" s="42"/>
      <c r="IX80" s="42"/>
      <c r="IY80" s="42"/>
      <c r="IZ80" s="42"/>
      <c r="JA80" s="42"/>
      <c r="JB80" s="42"/>
      <c r="JC80" s="42"/>
      <c r="JD80" s="42"/>
      <c r="JE80" s="42"/>
      <c r="JF80" s="42"/>
      <c r="JG80" s="42"/>
      <c r="JH80" s="42"/>
      <c r="JI80" s="42"/>
      <c r="JJ80" s="42"/>
      <c r="JK80" s="42"/>
      <c r="JL80" s="42"/>
      <c r="JM80" s="42"/>
      <c r="JN80" s="42"/>
      <c r="JO80" s="42"/>
      <c r="JP80" s="42"/>
      <c r="JQ80" s="42"/>
      <c r="JR80" s="42"/>
      <c r="JS80" s="42"/>
      <c r="JT80" s="42"/>
      <c r="JU80" s="42"/>
      <c r="JV80" s="42"/>
      <c r="JW80" s="42"/>
      <c r="JX80" s="42"/>
      <c r="JY80" s="42"/>
      <c r="JZ80" s="42"/>
      <c r="KA80" s="42"/>
    </row>
    <row r="81" spans="1:287">
      <c r="A81" s="20" t="s">
        <v>267</v>
      </c>
      <c r="B81" s="13" t="s">
        <v>268</v>
      </c>
      <c r="C81" s="17"/>
      <c r="J81" s="19"/>
      <c r="Q81" s="19"/>
      <c r="R81" s="17"/>
      <c r="Y81" s="19"/>
      <c r="AF81" s="19"/>
      <c r="AG81" s="17"/>
      <c r="AV81" s="17"/>
      <c r="BK81" s="17"/>
      <c r="BZ81" s="17"/>
      <c r="CO81" s="17"/>
      <c r="DD81" s="17"/>
      <c r="DE81" s="17"/>
      <c r="DS81" s="17"/>
      <c r="DT81" s="17"/>
      <c r="EH81" s="17"/>
      <c r="EI81" s="17"/>
      <c r="EW81" s="17"/>
      <c r="EX81" s="17"/>
      <c r="FL81" s="17"/>
      <c r="FM81" s="17"/>
      <c r="GA81" s="17"/>
      <c r="GB81" s="17"/>
      <c r="GP81" s="17"/>
      <c r="GQ81" s="17"/>
      <c r="HE81" s="17"/>
      <c r="HF81" s="17"/>
      <c r="HT81" s="17"/>
      <c r="HU81" s="17"/>
      <c r="II81" s="42"/>
      <c r="IJ81" s="42"/>
      <c r="IK81" s="42"/>
      <c r="IL81" s="42"/>
      <c r="IM81" s="42"/>
      <c r="IN81" s="42"/>
      <c r="IO81" s="42"/>
      <c r="IP81" s="42"/>
      <c r="IQ81" s="42"/>
      <c r="IR81" s="42"/>
      <c r="IS81" s="42"/>
      <c r="IT81" s="42"/>
      <c r="IU81" s="42"/>
      <c r="IV81" s="42"/>
      <c r="IW81" s="42"/>
      <c r="IX81" s="42"/>
      <c r="IY81" s="42"/>
      <c r="IZ81" s="42"/>
      <c r="JA81" s="42"/>
      <c r="JB81" s="42"/>
      <c r="JC81" s="42"/>
      <c r="JD81" s="42"/>
      <c r="JE81" s="42"/>
      <c r="JF81" s="42"/>
      <c r="JG81" s="42"/>
      <c r="JH81" s="42"/>
      <c r="JI81" s="42"/>
      <c r="JJ81" s="42"/>
      <c r="JK81" s="42"/>
      <c r="JL81" s="42"/>
      <c r="JM81" s="42"/>
      <c r="JN81" s="42"/>
      <c r="JO81" s="42"/>
      <c r="JP81" s="42"/>
      <c r="JQ81" s="42"/>
      <c r="JR81" s="42"/>
      <c r="JS81" s="42"/>
      <c r="JT81" s="42"/>
      <c r="JU81" s="42"/>
      <c r="JV81" s="42"/>
      <c r="JW81" s="42"/>
      <c r="JX81" s="42"/>
      <c r="JY81" s="42"/>
      <c r="JZ81" s="42"/>
      <c r="KA81" s="42"/>
    </row>
    <row r="82" spans="1:287">
      <c r="A82" s="20" t="s">
        <v>269</v>
      </c>
      <c r="B82" s="13" t="s">
        <v>268</v>
      </c>
      <c r="C82" s="17"/>
      <c r="J82" s="19"/>
      <c r="Q82" s="18"/>
      <c r="R82" s="17"/>
      <c r="Y82" s="19"/>
      <c r="AF82" s="18"/>
      <c r="AG82" s="17"/>
      <c r="AV82" s="17"/>
      <c r="BK82" s="17"/>
      <c r="BZ82" s="17"/>
      <c r="CO82" s="17"/>
      <c r="DD82" s="17"/>
      <c r="DE82" s="17"/>
      <c r="DS82" s="17"/>
      <c r="DT82" s="17"/>
      <c r="EH82" s="17"/>
      <c r="EI82" s="17"/>
      <c r="EW82" s="17"/>
      <c r="EX82" s="17"/>
      <c r="FL82" s="17"/>
      <c r="FM82" s="17"/>
      <c r="GA82" s="17"/>
      <c r="GB82" s="17"/>
      <c r="GP82" s="17"/>
      <c r="GQ82" s="17"/>
      <c r="HE82" s="17"/>
      <c r="HF82" s="17"/>
      <c r="HT82" s="17"/>
      <c r="HU82" s="17"/>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2"/>
      <c r="JT82" s="42"/>
      <c r="JU82" s="42"/>
      <c r="JV82" s="42"/>
      <c r="JW82" s="42"/>
      <c r="JX82" s="42"/>
      <c r="JY82" s="42"/>
      <c r="JZ82" s="42"/>
      <c r="KA82" s="42"/>
    </row>
    <row r="83" spans="1:287">
      <c r="A83" s="20" t="s">
        <v>270</v>
      </c>
      <c r="B83" s="13" t="s">
        <v>268</v>
      </c>
      <c r="C83" s="36">
        <v>30.292387000000002</v>
      </c>
      <c r="D83" s="36">
        <v>-87.454519000000005</v>
      </c>
      <c r="J83" s="18"/>
      <c r="M83" s="15">
        <v>2</v>
      </c>
      <c r="Q83" s="18"/>
      <c r="R83" s="17"/>
      <c r="Y83" s="18"/>
      <c r="AF83" s="19"/>
      <c r="AG83" s="17"/>
      <c r="AV83" s="17"/>
      <c r="BK83" s="17"/>
      <c r="BZ83" s="17"/>
      <c r="CO83" s="17"/>
      <c r="DD83" s="17"/>
      <c r="DE83" s="17"/>
      <c r="DS83" s="17"/>
      <c r="DT83" s="17"/>
      <c r="EH83" s="17"/>
      <c r="EI83" s="17"/>
      <c r="EW83" s="17"/>
      <c r="EX83" s="17"/>
      <c r="FL83" s="17"/>
      <c r="FM83" s="17"/>
      <c r="GA83" s="17"/>
      <c r="GB83" s="17"/>
      <c r="GP83" s="17"/>
      <c r="GQ83" s="17"/>
      <c r="HE83" s="17"/>
      <c r="HF83" s="17"/>
      <c r="HT83" s="17"/>
      <c r="HU83" s="17"/>
      <c r="II83" s="42"/>
      <c r="IJ83" s="42"/>
      <c r="IK83" s="42"/>
      <c r="IL83" s="42"/>
      <c r="IM83" s="42"/>
      <c r="IN83" s="42"/>
      <c r="IO83" s="42"/>
      <c r="IP83" s="42"/>
      <c r="IQ83" s="42"/>
      <c r="IR83" s="42"/>
      <c r="IS83" s="42"/>
      <c r="IT83" s="42"/>
      <c r="IU83" s="42"/>
      <c r="IV83" s="42"/>
      <c r="IW83" s="42"/>
      <c r="IX83" s="42"/>
      <c r="IY83" s="42"/>
      <c r="IZ83" s="42"/>
      <c r="JA83" s="42"/>
      <c r="JB83" s="42"/>
      <c r="JC83" s="42"/>
      <c r="JD83" s="42"/>
      <c r="JE83" s="42"/>
      <c r="JF83" s="42"/>
      <c r="JG83" s="42"/>
      <c r="JH83" s="42"/>
      <c r="JI83" s="42"/>
      <c r="JJ83" s="42"/>
      <c r="JK83" s="42"/>
      <c r="JL83" s="42"/>
      <c r="JM83" s="42"/>
      <c r="JN83" s="42"/>
      <c r="JO83" s="42"/>
      <c r="JP83" s="42"/>
      <c r="JQ83" s="42"/>
      <c r="JR83" s="42"/>
      <c r="JS83" s="42"/>
      <c r="JT83" s="42"/>
      <c r="JU83" s="42"/>
      <c r="JV83" s="42"/>
      <c r="JW83" s="42"/>
      <c r="JX83" s="42"/>
      <c r="JY83" s="42"/>
      <c r="JZ83" s="42"/>
      <c r="KA83" s="42"/>
    </row>
    <row r="84" spans="1:287">
      <c r="A84" s="13" t="s">
        <v>271</v>
      </c>
      <c r="B84" s="13" t="s">
        <v>272</v>
      </c>
      <c r="C84" s="17"/>
      <c r="J84" s="19"/>
      <c r="Q84" s="18"/>
      <c r="R84" s="17"/>
      <c r="Y84" s="19"/>
      <c r="AF84" s="19"/>
      <c r="AG84" s="17"/>
      <c r="AV84" s="17"/>
      <c r="BK84" s="17"/>
      <c r="BZ84" s="17"/>
      <c r="CO84" s="17"/>
      <c r="DD84" s="17"/>
      <c r="DE84" s="17"/>
      <c r="DS84" s="17"/>
      <c r="DT84" s="17"/>
      <c r="EH84" s="17"/>
      <c r="EI84" s="17"/>
      <c r="EW84" s="17"/>
      <c r="EX84" s="17"/>
      <c r="FL84" s="17"/>
      <c r="FM84" s="17"/>
      <c r="GA84" s="17"/>
      <c r="GB84" s="17"/>
      <c r="GP84" s="17"/>
      <c r="GQ84" s="17"/>
      <c r="HE84" s="17"/>
      <c r="HF84" s="17"/>
      <c r="HT84" s="17"/>
      <c r="HU84" s="17"/>
      <c r="II84" s="42"/>
      <c r="IJ84" s="42"/>
      <c r="IK84" s="42"/>
      <c r="IL84" s="42"/>
      <c r="IM84" s="42"/>
      <c r="IN84" s="42"/>
      <c r="IO84" s="42"/>
      <c r="IP84" s="42"/>
      <c r="IQ84" s="42"/>
      <c r="IR84" s="42"/>
      <c r="IS84" s="42"/>
      <c r="IT84" s="42"/>
      <c r="IU84" s="42"/>
      <c r="IV84" s="42"/>
      <c r="IW84" s="42"/>
      <c r="IX84" s="42"/>
      <c r="IY84" s="42"/>
      <c r="IZ84" s="42"/>
      <c r="JA84" s="42"/>
      <c r="JB84" s="42"/>
      <c r="JC84" s="42"/>
      <c r="JD84" s="42"/>
      <c r="JE84" s="42"/>
      <c r="JF84" s="42"/>
      <c r="JG84" s="42"/>
      <c r="JH84" s="42"/>
      <c r="JI84" s="42"/>
      <c r="JJ84" s="42"/>
      <c r="JK84" s="42"/>
      <c r="JL84" s="42"/>
      <c r="JM84" s="42"/>
      <c r="JN84" s="42"/>
      <c r="JO84" s="42"/>
      <c r="JP84" s="42"/>
      <c r="JQ84" s="42"/>
      <c r="JR84" s="42"/>
      <c r="JS84" s="42"/>
      <c r="JT84" s="42"/>
      <c r="JU84" s="42"/>
      <c r="JV84" s="42"/>
      <c r="JW84" s="42"/>
      <c r="JX84" s="42"/>
      <c r="JY84" s="42"/>
      <c r="JZ84" s="42"/>
      <c r="KA84" s="42"/>
    </row>
    <row r="85" spans="1:287" ht="31.5">
      <c r="A85" s="13" t="s">
        <v>273</v>
      </c>
      <c r="B85" s="13" t="s">
        <v>272</v>
      </c>
      <c r="C85" s="17"/>
      <c r="J85" s="19"/>
      <c r="Q85" s="18"/>
      <c r="R85" s="17"/>
      <c r="Y85" s="19"/>
      <c r="AF85" s="18"/>
      <c r="AG85" s="17"/>
      <c r="AV85" s="17"/>
      <c r="BK85" s="17"/>
      <c r="BZ85" s="17"/>
      <c r="CO85" s="17"/>
      <c r="DD85" s="17"/>
      <c r="DE85" s="17"/>
      <c r="DS85" s="17"/>
      <c r="DT85" s="17"/>
      <c r="EH85" s="17"/>
      <c r="EI85" s="17"/>
      <c r="EW85" s="17"/>
      <c r="EX85" s="17"/>
      <c r="FL85" s="17"/>
      <c r="FM85" s="17"/>
      <c r="GA85" s="17"/>
      <c r="GB85" s="17"/>
      <c r="GP85" s="17"/>
      <c r="GQ85" s="17"/>
      <c r="HE85" s="17"/>
      <c r="HF85" s="17"/>
      <c r="HT85" s="17"/>
      <c r="HU85" s="17"/>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2"/>
      <c r="JT85" s="42"/>
      <c r="JU85" s="42"/>
      <c r="JV85" s="42"/>
      <c r="JW85" s="42"/>
      <c r="JX85" s="42"/>
      <c r="JY85" s="42"/>
      <c r="JZ85" s="42"/>
      <c r="KA85" s="42"/>
    </row>
    <row r="86" spans="1:287" ht="31.5">
      <c r="A86" s="13" t="s">
        <v>274</v>
      </c>
      <c r="B86" s="13" t="s">
        <v>272</v>
      </c>
      <c r="C86" s="102">
        <v>29.431632</v>
      </c>
      <c r="D86" s="36">
        <v>-81.104276999999996</v>
      </c>
      <c r="E86" s="15">
        <v>1</v>
      </c>
      <c r="F86" s="15">
        <v>0</v>
      </c>
      <c r="J86" s="18"/>
      <c r="Q86" s="18"/>
      <c r="R86" s="17"/>
      <c r="Y86" s="18"/>
      <c r="AF86" s="18"/>
      <c r="AG86" s="17"/>
      <c r="AV86" s="17"/>
      <c r="BK86" s="17"/>
      <c r="BZ86" s="17"/>
      <c r="CO86" s="17"/>
      <c r="DD86" s="17"/>
      <c r="DE86" s="17"/>
      <c r="DS86" s="17"/>
      <c r="DT86" s="17"/>
      <c r="EH86" s="17"/>
      <c r="EI86" s="17"/>
      <c r="EW86" s="17"/>
      <c r="EX86" s="17"/>
      <c r="FL86" s="17"/>
      <c r="FM86" s="17"/>
      <c r="GA86" s="17"/>
      <c r="GB86" s="17"/>
      <c r="GP86" s="17"/>
      <c r="GQ86" s="17"/>
      <c r="HE86" s="17"/>
      <c r="HF86" s="17"/>
      <c r="HT86" s="17"/>
      <c r="HU86" s="17"/>
      <c r="II86" s="42"/>
      <c r="IJ86" s="42"/>
      <c r="IK86" s="42"/>
      <c r="IL86" s="42"/>
      <c r="IM86" s="42"/>
      <c r="IN86" s="42"/>
      <c r="IO86" s="42"/>
      <c r="IP86" s="42"/>
      <c r="IQ86" s="42"/>
      <c r="IR86" s="42"/>
      <c r="IS86" s="42"/>
      <c r="IT86" s="42"/>
      <c r="IU86" s="42"/>
      <c r="IV86" s="42"/>
      <c r="IW86" s="42"/>
      <c r="IX86" s="42"/>
      <c r="IY86" s="42"/>
      <c r="IZ86" s="42"/>
      <c r="JA86" s="42"/>
      <c r="JB86" s="42"/>
      <c r="JC86" s="42"/>
      <c r="JD86" s="42"/>
      <c r="JE86" s="42"/>
      <c r="JF86" s="42"/>
      <c r="JG86" s="42"/>
      <c r="JH86" s="42"/>
      <c r="JI86" s="42"/>
      <c r="JJ86" s="42"/>
      <c r="JK86" s="42"/>
      <c r="JL86" s="42"/>
      <c r="JM86" s="42"/>
      <c r="JN86" s="42"/>
      <c r="JO86" s="42"/>
      <c r="JP86" s="42"/>
      <c r="JQ86" s="42"/>
      <c r="JR86" s="42"/>
      <c r="JS86" s="42"/>
      <c r="JT86" s="42"/>
      <c r="JU86" s="42"/>
      <c r="JV86" s="42"/>
      <c r="JW86" s="42"/>
      <c r="JX86" s="42"/>
      <c r="JY86" s="42"/>
      <c r="JZ86" s="42"/>
      <c r="KA86" s="42"/>
    </row>
    <row r="87" spans="1:287" ht="31.5">
      <c r="A87" s="20" t="s">
        <v>278</v>
      </c>
      <c r="B87" s="24" t="s">
        <v>272</v>
      </c>
      <c r="C87" s="17"/>
      <c r="J87" s="19"/>
      <c r="Q87" s="19"/>
      <c r="R87" s="17"/>
      <c r="Y87" s="19"/>
      <c r="AF87" s="19"/>
      <c r="AG87" s="17"/>
      <c r="AV87" s="17"/>
      <c r="BK87" s="17"/>
      <c r="BZ87" s="17"/>
      <c r="CO87" s="17"/>
      <c r="DD87" s="17"/>
      <c r="DE87" s="17"/>
      <c r="DS87" s="17"/>
      <c r="DT87" s="17"/>
      <c r="EH87" s="17"/>
      <c r="EI87" s="17"/>
      <c r="EW87" s="17"/>
      <c r="EX87" s="17"/>
      <c r="FL87" s="17"/>
      <c r="FM87" s="17"/>
      <c r="GA87" s="17"/>
      <c r="GB87" s="17"/>
      <c r="GP87" s="17"/>
      <c r="GQ87" s="17"/>
      <c r="HE87" s="17"/>
      <c r="HF87" s="17"/>
      <c r="HT87" s="17"/>
      <c r="HU87" s="17"/>
      <c r="II87" s="42"/>
      <c r="IJ87" s="42"/>
      <c r="IK87" s="42"/>
      <c r="IL87" s="42"/>
      <c r="IM87" s="42"/>
      <c r="IN87" s="42"/>
      <c r="IO87" s="42"/>
      <c r="IP87" s="42"/>
      <c r="IQ87" s="42"/>
      <c r="IR87" s="42"/>
      <c r="IS87" s="42"/>
      <c r="IT87" s="42"/>
      <c r="IU87" s="42"/>
      <c r="IV87" s="42"/>
      <c r="IW87" s="42"/>
      <c r="IX87" s="42"/>
      <c r="IY87" s="42"/>
      <c r="IZ87" s="42"/>
      <c r="JA87" s="42"/>
      <c r="JB87" s="42"/>
      <c r="JC87" s="42"/>
      <c r="JD87" s="42"/>
      <c r="JE87" s="42"/>
      <c r="JF87" s="42"/>
      <c r="JG87" s="42"/>
      <c r="JH87" s="42"/>
      <c r="JI87" s="42"/>
      <c r="JJ87" s="42"/>
      <c r="JK87" s="42"/>
      <c r="JL87" s="42"/>
      <c r="JM87" s="42"/>
      <c r="JN87" s="42"/>
      <c r="JO87" s="42"/>
      <c r="JP87" s="42"/>
      <c r="JQ87" s="42"/>
      <c r="JR87" s="42"/>
      <c r="JS87" s="42"/>
      <c r="JT87" s="42"/>
      <c r="JU87" s="42"/>
      <c r="JV87" s="42"/>
      <c r="JW87" s="42"/>
      <c r="JX87" s="42"/>
      <c r="JY87" s="42"/>
      <c r="JZ87" s="42"/>
      <c r="KA87" s="42"/>
    </row>
    <row r="88" spans="1:287" ht="31.5">
      <c r="A88" s="13" t="s">
        <v>280</v>
      </c>
      <c r="B88" s="13" t="s">
        <v>272</v>
      </c>
      <c r="C88" s="17"/>
      <c r="J88" s="19"/>
      <c r="Q88" s="19"/>
      <c r="R88" s="17"/>
      <c r="Y88" s="19"/>
      <c r="AF88" s="18"/>
      <c r="AG88" s="17"/>
      <c r="AV88" s="17"/>
      <c r="BK88" s="17"/>
      <c r="BZ88" s="17"/>
      <c r="CO88" s="17"/>
      <c r="DD88" s="17"/>
      <c r="DE88" s="17"/>
      <c r="DS88" s="17"/>
      <c r="DT88" s="17"/>
      <c r="EH88" s="17"/>
      <c r="EI88" s="17"/>
      <c r="EW88" s="17"/>
      <c r="EX88" s="17"/>
      <c r="FL88" s="17"/>
      <c r="FM88" s="17"/>
      <c r="GA88" s="17"/>
      <c r="GB88" s="17"/>
      <c r="GP88" s="17"/>
      <c r="GQ88" s="17"/>
      <c r="HE88" s="17"/>
      <c r="HF88" s="17"/>
      <c r="HT88" s="17"/>
      <c r="HU88" s="17"/>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2"/>
      <c r="JT88" s="42"/>
      <c r="JU88" s="42"/>
      <c r="JV88" s="42"/>
      <c r="JW88" s="42"/>
      <c r="JX88" s="42"/>
      <c r="JY88" s="42"/>
      <c r="JZ88" s="42"/>
      <c r="KA88" s="42"/>
    </row>
    <row r="89" spans="1:287">
      <c r="A89" s="29" t="s">
        <v>281</v>
      </c>
      <c r="B89" s="13" t="s">
        <v>282</v>
      </c>
      <c r="C89" s="15">
        <v>29.899940000000001</v>
      </c>
      <c r="D89" s="15">
        <v>-84.368449999999996</v>
      </c>
      <c r="E89" s="15">
        <v>2</v>
      </c>
      <c r="F89" s="15" t="s">
        <v>1246</v>
      </c>
      <c r="J89" s="18"/>
      <c r="Q89" s="19"/>
      <c r="R89" s="15">
        <v>29.899640000000002</v>
      </c>
      <c r="S89" s="15">
        <v>-84.370419999999996</v>
      </c>
      <c r="T89" s="15">
        <v>2</v>
      </c>
      <c r="U89" s="15" t="s">
        <v>1247</v>
      </c>
      <c r="Y89" s="19"/>
      <c r="AF89" s="19"/>
      <c r="AG89" s="17"/>
      <c r="AV89" s="17"/>
      <c r="BK89" s="17"/>
      <c r="BZ89" s="17"/>
      <c r="CO89" s="17"/>
      <c r="DD89" s="17"/>
      <c r="DE89" s="17"/>
      <c r="DS89" s="17"/>
      <c r="DT89" s="17"/>
      <c r="EH89" s="17"/>
      <c r="EI89" s="17"/>
      <c r="EW89" s="17"/>
      <c r="EX89" s="17"/>
      <c r="FL89" s="17"/>
      <c r="FM89" s="17"/>
      <c r="GA89" s="17"/>
      <c r="GB89" s="17"/>
      <c r="GP89" s="17"/>
      <c r="GQ89" s="17"/>
      <c r="HE89" s="17"/>
      <c r="HF89" s="17"/>
      <c r="HT89" s="17"/>
      <c r="HU89" s="17"/>
      <c r="II89" s="42"/>
      <c r="IJ89" s="42"/>
      <c r="IK89" s="42"/>
      <c r="IL89" s="42"/>
      <c r="IM89" s="42"/>
      <c r="IN89" s="42"/>
      <c r="IO89" s="42"/>
      <c r="IP89" s="42"/>
      <c r="IQ89" s="42"/>
      <c r="IR89" s="42"/>
      <c r="IS89" s="42"/>
      <c r="IT89" s="42"/>
      <c r="IU89" s="42"/>
      <c r="IV89" s="42"/>
      <c r="IW89" s="42"/>
      <c r="IX89" s="42"/>
      <c r="IY89" s="42"/>
      <c r="IZ89" s="42"/>
      <c r="JA89" s="42"/>
      <c r="JB89" s="42"/>
      <c r="JC89" s="42"/>
      <c r="JD89" s="42"/>
      <c r="JE89" s="42"/>
      <c r="JF89" s="42"/>
      <c r="JG89" s="42"/>
      <c r="JH89" s="42"/>
      <c r="JI89" s="42"/>
      <c r="JJ89" s="42"/>
      <c r="JK89" s="42"/>
      <c r="JL89" s="42"/>
      <c r="JM89" s="42"/>
      <c r="JN89" s="42"/>
      <c r="JO89" s="42"/>
      <c r="JP89" s="42"/>
      <c r="JQ89" s="42"/>
      <c r="JR89" s="42"/>
      <c r="JS89" s="42"/>
      <c r="JT89" s="42"/>
      <c r="JU89" s="42"/>
      <c r="JV89" s="42"/>
      <c r="JW89" s="42"/>
      <c r="JX89" s="42"/>
      <c r="JY89" s="42"/>
      <c r="JZ89" s="42"/>
      <c r="KA89" s="42"/>
    </row>
    <row r="90" spans="1:287">
      <c r="A90" s="29" t="s">
        <v>284</v>
      </c>
      <c r="B90" s="13" t="s">
        <v>282</v>
      </c>
      <c r="C90" s="15">
        <v>29.910990000000002</v>
      </c>
      <c r="D90" s="15">
        <v>-84.385739999999998</v>
      </c>
      <c r="E90" s="15">
        <v>2</v>
      </c>
      <c r="F90" s="15" t="s">
        <v>1248</v>
      </c>
      <c r="J90" s="104"/>
      <c r="Q90" s="18"/>
      <c r="R90" s="17"/>
      <c r="Y90" s="19"/>
      <c r="AF90" s="18"/>
      <c r="AG90" s="17"/>
      <c r="AV90" s="17"/>
      <c r="BK90" s="17"/>
      <c r="BZ90" s="17"/>
      <c r="CO90" s="17"/>
      <c r="DD90" s="17"/>
      <c r="DE90" s="17"/>
      <c r="DS90" s="17"/>
      <c r="DT90" s="17"/>
      <c r="EH90" s="17"/>
      <c r="EI90" s="17"/>
      <c r="EW90" s="17"/>
      <c r="EX90" s="17"/>
      <c r="FL90" s="17"/>
      <c r="FM90" s="17"/>
      <c r="GA90" s="17"/>
      <c r="GB90" s="17"/>
      <c r="GP90" s="17"/>
      <c r="GQ90" s="17"/>
      <c r="HE90" s="17"/>
      <c r="HF90" s="17"/>
      <c r="HT90" s="17"/>
      <c r="HU90" s="17"/>
      <c r="II90" s="42"/>
      <c r="IJ90" s="42"/>
      <c r="IK90" s="42"/>
      <c r="IL90" s="42"/>
      <c r="IM90" s="42"/>
      <c r="IN90" s="42"/>
      <c r="IO90" s="42"/>
      <c r="IP90" s="42"/>
      <c r="IQ90" s="42"/>
      <c r="IR90" s="42"/>
      <c r="IS90" s="42"/>
      <c r="IT90" s="42"/>
      <c r="IU90" s="42"/>
      <c r="IV90" s="42"/>
      <c r="IW90" s="42"/>
      <c r="IX90" s="42"/>
      <c r="IY90" s="42"/>
      <c r="IZ90" s="42"/>
      <c r="JA90" s="42"/>
      <c r="JB90" s="42"/>
      <c r="JC90" s="42"/>
      <c r="JD90" s="42"/>
      <c r="JE90" s="42"/>
      <c r="JF90" s="42"/>
      <c r="JG90" s="42"/>
      <c r="JH90" s="42"/>
      <c r="JI90" s="42"/>
      <c r="JJ90" s="42"/>
      <c r="JK90" s="42"/>
      <c r="JL90" s="42"/>
      <c r="JM90" s="42"/>
      <c r="JN90" s="42"/>
      <c r="JO90" s="42"/>
      <c r="JP90" s="42"/>
      <c r="JQ90" s="42"/>
      <c r="JR90" s="42"/>
      <c r="JS90" s="42"/>
      <c r="JT90" s="42"/>
      <c r="JU90" s="42"/>
      <c r="JV90" s="42"/>
      <c r="JW90" s="42"/>
      <c r="JX90" s="42"/>
      <c r="JY90" s="42"/>
      <c r="JZ90" s="42"/>
      <c r="KA90" s="42"/>
    </row>
    <row r="91" spans="1:287" ht="39">
      <c r="A91" s="13" t="s">
        <v>285</v>
      </c>
      <c r="B91" s="13" t="s">
        <v>282</v>
      </c>
      <c r="C91" s="15">
        <v>29.90598</v>
      </c>
      <c r="D91" s="15">
        <v>-84.427449999999993</v>
      </c>
      <c r="E91" s="15">
        <v>0</v>
      </c>
      <c r="G91" s="15">
        <v>0</v>
      </c>
      <c r="I91" s="15">
        <v>0</v>
      </c>
      <c r="J91" s="18"/>
      <c r="K91" s="15">
        <v>4</v>
      </c>
      <c r="M91" s="15">
        <v>0</v>
      </c>
      <c r="O91" s="15">
        <v>0</v>
      </c>
      <c r="Q91" s="18" t="s">
        <v>1249</v>
      </c>
      <c r="R91" s="15">
        <v>29.906714999999998</v>
      </c>
      <c r="S91" s="15">
        <v>-84.426320000000004</v>
      </c>
      <c r="T91" s="15">
        <v>0</v>
      </c>
      <c r="V91" s="15">
        <v>0</v>
      </c>
      <c r="X91" s="15">
        <v>2</v>
      </c>
      <c r="Y91" s="18"/>
      <c r="Z91" s="15">
        <v>0</v>
      </c>
      <c r="AB91" s="15">
        <v>0</v>
      </c>
      <c r="AD91" s="15">
        <v>0</v>
      </c>
      <c r="AF91" s="18" t="s">
        <v>1250</v>
      </c>
      <c r="AG91" s="15">
        <v>29.907845999999999</v>
      </c>
      <c r="AH91" s="15">
        <v>-84.431481000000005</v>
      </c>
      <c r="AI91" s="15">
        <v>0</v>
      </c>
      <c r="AK91" s="15">
        <v>0</v>
      </c>
      <c r="AM91" s="15">
        <v>1</v>
      </c>
      <c r="AO91" s="15">
        <v>0</v>
      </c>
      <c r="AQ91" s="15">
        <v>6</v>
      </c>
      <c r="AR91" s="15" t="s">
        <v>1251</v>
      </c>
      <c r="AS91" s="15">
        <v>0</v>
      </c>
      <c r="AU91" s="15" t="s">
        <v>1252</v>
      </c>
      <c r="AV91" s="15">
        <v>29.908698000000001</v>
      </c>
      <c r="AW91" s="15">
        <v>-84.433206999999996</v>
      </c>
      <c r="AX91" s="15">
        <v>0</v>
      </c>
      <c r="AZ91" s="15">
        <v>0</v>
      </c>
      <c r="BB91" s="15">
        <v>3</v>
      </c>
      <c r="BD91" s="15">
        <v>0</v>
      </c>
      <c r="BF91" s="15">
        <v>1</v>
      </c>
      <c r="BG91" s="15" t="s">
        <v>1253</v>
      </c>
      <c r="BH91" s="15">
        <v>0</v>
      </c>
      <c r="BJ91" s="15" t="s">
        <v>1254</v>
      </c>
      <c r="BK91" s="15">
        <v>29.90878</v>
      </c>
      <c r="BL91" s="15">
        <v>-84.432749999999999</v>
      </c>
      <c r="BM91" s="15">
        <v>0</v>
      </c>
      <c r="BO91" s="15">
        <v>0</v>
      </c>
      <c r="BQ91" s="15">
        <v>1</v>
      </c>
      <c r="BS91" s="15">
        <v>0</v>
      </c>
      <c r="BU91" s="15">
        <v>0</v>
      </c>
      <c r="BW91" s="15">
        <v>0</v>
      </c>
      <c r="BY91" s="15" t="s">
        <v>1255</v>
      </c>
      <c r="BZ91" s="15">
        <v>29.910049999999998</v>
      </c>
      <c r="CA91" s="15">
        <v>-84.435040000000001</v>
      </c>
      <c r="CB91" s="15">
        <v>0</v>
      </c>
      <c r="CD91" s="15">
        <v>0</v>
      </c>
      <c r="CF91" s="15">
        <v>5</v>
      </c>
      <c r="CG91" s="15" t="s">
        <v>1256</v>
      </c>
      <c r="CH91" s="15">
        <v>0</v>
      </c>
      <c r="CI91" s="15">
        <v>0</v>
      </c>
      <c r="CJ91" s="15">
        <v>1</v>
      </c>
      <c r="CL91" s="15">
        <v>0</v>
      </c>
      <c r="CN91" s="15" t="s">
        <v>1257</v>
      </c>
      <c r="CO91" s="15">
        <v>29.910969999999999</v>
      </c>
      <c r="CP91" s="15">
        <v>-84.436319999999995</v>
      </c>
      <c r="CQ91" s="15">
        <v>0</v>
      </c>
      <c r="CS91" s="15">
        <v>0</v>
      </c>
      <c r="CU91" s="15">
        <v>1</v>
      </c>
      <c r="CW91" s="15">
        <v>0</v>
      </c>
      <c r="CY91" s="15">
        <v>0</v>
      </c>
      <c r="DA91" s="15">
        <v>0</v>
      </c>
      <c r="DC91" s="15" t="s">
        <v>1258</v>
      </c>
      <c r="DD91" s="15">
        <v>29.913499000000002</v>
      </c>
      <c r="DE91" s="15">
        <v>-84.439957000000007</v>
      </c>
      <c r="DF91" s="15">
        <v>0</v>
      </c>
      <c r="DH91" s="15">
        <v>0</v>
      </c>
      <c r="DJ91" s="15">
        <v>3</v>
      </c>
      <c r="DL91" s="15">
        <v>0</v>
      </c>
      <c r="DN91" s="15">
        <v>0</v>
      </c>
      <c r="DP91" s="15">
        <v>0</v>
      </c>
      <c r="DR91" s="15" t="s">
        <v>1259</v>
      </c>
      <c r="DS91" s="15">
        <v>29.917446999999999</v>
      </c>
      <c r="DT91" s="15">
        <v>-84.441293999999999</v>
      </c>
      <c r="DU91" s="15">
        <v>0</v>
      </c>
      <c r="DW91" s="15">
        <v>49</v>
      </c>
      <c r="DX91" s="15" t="s">
        <v>1260</v>
      </c>
      <c r="DY91" s="15">
        <v>16</v>
      </c>
      <c r="DZ91" s="15" t="s">
        <v>1261</v>
      </c>
      <c r="EA91" s="15">
        <v>104</v>
      </c>
      <c r="EC91" s="15">
        <v>0</v>
      </c>
      <c r="EE91" s="15">
        <v>0</v>
      </c>
      <c r="EG91" s="15" t="s">
        <v>1262</v>
      </c>
      <c r="EH91" s="15">
        <v>29.917446999999999</v>
      </c>
      <c r="EI91" s="15">
        <v>-84.441293999999999</v>
      </c>
      <c r="EJ91" s="15">
        <v>0</v>
      </c>
      <c r="EL91" s="15">
        <v>0</v>
      </c>
      <c r="EN91" s="15">
        <v>1</v>
      </c>
      <c r="EP91" s="15">
        <v>0</v>
      </c>
      <c r="ER91" s="15">
        <v>0</v>
      </c>
      <c r="ET91" s="15">
        <v>0</v>
      </c>
      <c r="EV91" s="15" t="s">
        <v>1263</v>
      </c>
      <c r="EW91" s="15">
        <v>29.915230000000001</v>
      </c>
      <c r="EX91" s="15">
        <v>-84.439009999999996</v>
      </c>
      <c r="EY91" s="15">
        <v>0</v>
      </c>
      <c r="FA91" s="15">
        <v>0</v>
      </c>
      <c r="FC91" s="15">
        <v>0</v>
      </c>
      <c r="FE91" s="15">
        <v>0</v>
      </c>
      <c r="FG91" s="15">
        <v>0</v>
      </c>
      <c r="FI91" s="15">
        <v>0</v>
      </c>
      <c r="FK91" s="15" t="s">
        <v>1264</v>
      </c>
      <c r="FL91" s="15">
        <v>29.914339999999999</v>
      </c>
      <c r="FM91" s="15">
        <v>-84.438320000000004</v>
      </c>
      <c r="FN91" s="15">
        <v>0</v>
      </c>
      <c r="FP91" s="15">
        <v>0</v>
      </c>
      <c r="FR91" s="15">
        <v>1</v>
      </c>
      <c r="FT91" s="15">
        <v>0</v>
      </c>
      <c r="FV91" s="15">
        <v>0</v>
      </c>
      <c r="FX91" s="15">
        <v>0</v>
      </c>
      <c r="FZ91" s="15" t="s">
        <v>1265</v>
      </c>
      <c r="GA91" s="15">
        <v>29.912839999999999</v>
      </c>
      <c r="GB91" s="15">
        <v>-84.437139999999999</v>
      </c>
      <c r="GC91" s="15">
        <v>0</v>
      </c>
      <c r="GE91" s="15">
        <v>0</v>
      </c>
      <c r="GG91" s="15">
        <v>1</v>
      </c>
      <c r="GI91" s="15">
        <v>0</v>
      </c>
      <c r="GK91" s="15">
        <v>0</v>
      </c>
      <c r="GM91" s="15">
        <v>0</v>
      </c>
      <c r="GO91" s="15" t="s">
        <v>1266</v>
      </c>
      <c r="GP91" s="15">
        <v>29.904399999999999</v>
      </c>
      <c r="GQ91" s="15">
        <v>-84.424350000000004</v>
      </c>
      <c r="GR91" s="15">
        <v>0</v>
      </c>
      <c r="GT91" s="15">
        <v>0</v>
      </c>
      <c r="GV91" s="15">
        <v>0</v>
      </c>
      <c r="GX91" s="15">
        <v>3</v>
      </c>
      <c r="GZ91" s="15">
        <v>0</v>
      </c>
      <c r="HB91" s="15">
        <v>0</v>
      </c>
      <c r="HD91" s="15" t="s">
        <v>1267</v>
      </c>
      <c r="HE91" s="17"/>
      <c r="HF91" s="17"/>
      <c r="HT91" s="17"/>
      <c r="HU91" s="17"/>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2"/>
      <c r="JT91" s="42"/>
      <c r="JU91" s="42"/>
      <c r="JV91" s="42"/>
      <c r="JW91" s="42"/>
      <c r="JX91" s="42"/>
      <c r="JY91" s="42"/>
      <c r="JZ91" s="42"/>
      <c r="KA91" s="42"/>
    </row>
    <row r="92" spans="1:287" ht="141">
      <c r="A92" s="13" t="s">
        <v>289</v>
      </c>
      <c r="B92" s="13" t="s">
        <v>282</v>
      </c>
      <c r="C92" s="15">
        <v>29.896504</v>
      </c>
      <c r="D92" s="15">
        <v>-84.351829109999997</v>
      </c>
      <c r="E92" s="15">
        <v>0</v>
      </c>
      <c r="G92" s="15">
        <v>0</v>
      </c>
      <c r="I92" s="15">
        <v>0</v>
      </c>
      <c r="J92" s="18"/>
      <c r="K92" s="15">
        <v>0</v>
      </c>
      <c r="M92" s="15">
        <v>0</v>
      </c>
      <c r="O92" s="15">
        <v>0</v>
      </c>
      <c r="Q92" s="18" t="s">
        <v>1268</v>
      </c>
      <c r="R92" s="17"/>
      <c r="U92" s="18"/>
      <c r="Y92" s="18"/>
      <c r="AF92" s="18"/>
      <c r="AG92" s="17"/>
      <c r="AV92" s="17"/>
      <c r="BK92" s="17"/>
      <c r="BZ92" s="17"/>
      <c r="CO92" s="17"/>
      <c r="DD92" s="17"/>
      <c r="DE92" s="17"/>
      <c r="DS92" s="17"/>
      <c r="DT92" s="17"/>
      <c r="EH92" s="17"/>
      <c r="EI92" s="17"/>
      <c r="EW92" s="17"/>
      <c r="EX92" s="17"/>
      <c r="FL92" s="17"/>
      <c r="FM92" s="17"/>
      <c r="GA92" s="17"/>
      <c r="GB92" s="17"/>
      <c r="GP92" s="17"/>
      <c r="GQ92" s="17"/>
      <c r="HE92" s="17"/>
      <c r="HF92" s="17"/>
      <c r="HT92" s="17"/>
      <c r="HU92" s="17"/>
      <c r="II92" s="42"/>
      <c r="IJ92" s="42"/>
      <c r="IK92" s="42"/>
      <c r="IL92" s="42"/>
      <c r="IM92" s="42"/>
      <c r="IN92" s="42"/>
      <c r="IO92" s="42"/>
      <c r="IP92" s="42"/>
      <c r="IQ92" s="42"/>
      <c r="IR92" s="42"/>
      <c r="IS92" s="42"/>
      <c r="IT92" s="42"/>
      <c r="IU92" s="42"/>
      <c r="IV92" s="42"/>
      <c r="IW92" s="42"/>
      <c r="IX92" s="42"/>
      <c r="IY92" s="42"/>
      <c r="IZ92" s="42"/>
      <c r="JA92" s="42"/>
      <c r="JB92" s="42"/>
      <c r="JC92" s="42"/>
      <c r="JD92" s="42"/>
      <c r="JE92" s="42"/>
      <c r="JF92" s="42"/>
      <c r="JG92" s="42"/>
      <c r="JH92" s="42"/>
      <c r="JI92" s="42"/>
      <c r="JJ92" s="42"/>
      <c r="JK92" s="42"/>
      <c r="JL92" s="42"/>
      <c r="JM92" s="42"/>
      <c r="JN92" s="42"/>
      <c r="JO92" s="42"/>
      <c r="JP92" s="42"/>
      <c r="JQ92" s="42"/>
      <c r="JR92" s="42"/>
      <c r="JS92" s="42"/>
      <c r="JT92" s="42"/>
      <c r="JU92" s="42"/>
      <c r="JV92" s="42"/>
      <c r="JW92" s="42"/>
      <c r="JX92" s="42"/>
      <c r="JY92" s="42"/>
      <c r="JZ92" s="42"/>
      <c r="KA92" s="42"/>
    </row>
    <row r="93" spans="1:287">
      <c r="A93" s="24" t="s">
        <v>291</v>
      </c>
      <c r="B93" s="24" t="s">
        <v>282</v>
      </c>
      <c r="C93" s="17"/>
      <c r="J93" s="18"/>
      <c r="Q93" s="19"/>
      <c r="R93" s="17"/>
      <c r="Y93" s="19"/>
      <c r="AF93" s="19"/>
      <c r="AG93" s="17"/>
      <c r="AV93" s="17"/>
      <c r="BK93" s="17"/>
      <c r="BZ93" s="17"/>
      <c r="CO93" s="17"/>
      <c r="DD93" s="17"/>
      <c r="DE93" s="17"/>
      <c r="DS93" s="17"/>
      <c r="DT93" s="17"/>
      <c r="EH93" s="17"/>
      <c r="EI93" s="17"/>
      <c r="EW93" s="17"/>
      <c r="EX93" s="17"/>
      <c r="FL93" s="17"/>
      <c r="FM93" s="17"/>
      <c r="GA93" s="17"/>
      <c r="GB93" s="17"/>
      <c r="GP93" s="17"/>
      <c r="GQ93" s="17"/>
      <c r="HE93" s="17"/>
      <c r="HF93" s="17"/>
      <c r="HT93" s="17"/>
      <c r="HU93" s="17"/>
      <c r="II93" s="42"/>
      <c r="IJ93" s="42"/>
      <c r="IK93" s="42"/>
      <c r="IL93" s="42"/>
      <c r="IM93" s="42"/>
      <c r="IN93" s="42"/>
      <c r="IO93" s="42"/>
      <c r="IP93" s="42"/>
      <c r="IQ93" s="42"/>
      <c r="IR93" s="42"/>
      <c r="IS93" s="42"/>
      <c r="IT93" s="42"/>
      <c r="IU93" s="42"/>
      <c r="IV93" s="42"/>
      <c r="IW93" s="42"/>
      <c r="IX93" s="42"/>
      <c r="IY93" s="42"/>
      <c r="IZ93" s="42"/>
      <c r="JA93" s="42"/>
      <c r="JB93" s="42"/>
      <c r="JC93" s="42"/>
      <c r="JD93" s="42"/>
      <c r="JE93" s="42"/>
      <c r="JF93" s="42"/>
      <c r="JG93" s="42"/>
      <c r="JH93" s="42"/>
      <c r="JI93" s="42"/>
      <c r="JJ93" s="42"/>
      <c r="JK93" s="42"/>
      <c r="JL93" s="42"/>
      <c r="JM93" s="42"/>
      <c r="JN93" s="42"/>
      <c r="JO93" s="42"/>
      <c r="JP93" s="42"/>
      <c r="JQ93" s="42"/>
      <c r="JR93" s="42"/>
      <c r="JS93" s="42"/>
      <c r="JT93" s="42"/>
      <c r="JU93" s="42"/>
      <c r="JV93" s="42"/>
      <c r="JW93" s="42"/>
      <c r="JX93" s="42"/>
      <c r="JY93" s="42"/>
      <c r="JZ93" s="42"/>
      <c r="KA93" s="42"/>
    </row>
    <row r="94" spans="1:287">
      <c r="A94" s="13" t="s">
        <v>293</v>
      </c>
      <c r="B94" s="13" t="s">
        <v>282</v>
      </c>
      <c r="C94" s="15">
        <v>29.901199999999999</v>
      </c>
      <c r="D94" s="15">
        <v>-84.399010000000004</v>
      </c>
      <c r="E94" s="15">
        <v>2</v>
      </c>
      <c r="F94" s="15" t="s">
        <v>1269</v>
      </c>
      <c r="G94" s="15">
        <v>0</v>
      </c>
      <c r="I94" s="15">
        <v>0</v>
      </c>
      <c r="J94" s="19"/>
      <c r="K94" s="15">
        <v>0</v>
      </c>
      <c r="M94" s="15">
        <v>0</v>
      </c>
      <c r="O94" s="15">
        <v>0</v>
      </c>
      <c r="Q94" s="18" t="s">
        <v>1270</v>
      </c>
      <c r="R94" s="15">
        <v>29.902480000000001</v>
      </c>
      <c r="S94" s="15">
        <v>-84.405829999999995</v>
      </c>
      <c r="T94" s="15">
        <v>0</v>
      </c>
      <c r="V94" s="15">
        <v>0</v>
      </c>
      <c r="X94" s="15">
        <v>1</v>
      </c>
      <c r="Y94" s="19"/>
      <c r="Z94" s="15">
        <v>0</v>
      </c>
      <c r="AB94" s="15">
        <v>0</v>
      </c>
      <c r="AD94" s="15">
        <v>0</v>
      </c>
      <c r="AF94" s="18"/>
      <c r="AG94" s="15">
        <v>29.903379999999999</v>
      </c>
      <c r="AH94" s="15">
        <v>-84.413979999999995</v>
      </c>
      <c r="AI94" s="15">
        <v>2</v>
      </c>
      <c r="AJ94" s="15" t="s">
        <v>1180</v>
      </c>
      <c r="AK94" s="15">
        <v>0</v>
      </c>
      <c r="AM94" s="15">
        <v>0</v>
      </c>
      <c r="AO94" s="15">
        <v>0</v>
      </c>
      <c r="AQ94" s="15">
        <v>0</v>
      </c>
      <c r="AS94" s="15">
        <v>0</v>
      </c>
      <c r="AV94" s="15">
        <v>29.906298</v>
      </c>
      <c r="AW94" s="15">
        <v>-84.422273000000004</v>
      </c>
      <c r="AX94" s="15">
        <v>1</v>
      </c>
      <c r="AY94" s="15" t="s">
        <v>1180</v>
      </c>
      <c r="AZ94" s="15">
        <v>0</v>
      </c>
      <c r="BB94" s="15">
        <v>0</v>
      </c>
      <c r="BD94" s="15">
        <v>0</v>
      </c>
      <c r="BF94" s="15">
        <v>0</v>
      </c>
      <c r="BH94" s="15">
        <v>0</v>
      </c>
      <c r="BJ94" s="15" t="s">
        <v>1271</v>
      </c>
      <c r="BK94" s="15">
        <v>29.905408000000001</v>
      </c>
      <c r="BL94" s="15">
        <v>-84.421522999999993</v>
      </c>
      <c r="BM94" s="15">
        <v>1</v>
      </c>
      <c r="BN94" s="15" t="s">
        <v>1180</v>
      </c>
      <c r="BO94" s="15">
        <v>0</v>
      </c>
      <c r="BQ94" s="15">
        <v>0</v>
      </c>
      <c r="BS94" s="15">
        <v>0</v>
      </c>
      <c r="BU94" s="15">
        <v>0</v>
      </c>
      <c r="BW94" s="15">
        <v>0</v>
      </c>
      <c r="BZ94" s="17"/>
      <c r="CO94" s="17"/>
      <c r="DD94" s="17"/>
      <c r="DE94" s="17"/>
      <c r="DS94" s="17"/>
      <c r="DT94" s="17"/>
      <c r="EH94" s="17"/>
      <c r="EI94" s="17"/>
      <c r="EW94" s="17"/>
      <c r="EX94" s="17"/>
      <c r="FL94" s="17"/>
      <c r="FM94" s="17"/>
      <c r="GA94" s="17"/>
      <c r="GB94" s="17"/>
      <c r="GP94" s="17"/>
      <c r="GQ94" s="17"/>
      <c r="HE94" s="17"/>
      <c r="HF94" s="17"/>
      <c r="HT94" s="17"/>
      <c r="HU94" s="17"/>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2"/>
      <c r="JT94" s="42"/>
      <c r="JU94" s="42"/>
      <c r="JV94" s="42"/>
      <c r="JW94" s="42"/>
      <c r="JX94" s="42"/>
      <c r="JY94" s="42"/>
      <c r="JZ94" s="42"/>
      <c r="KA94" s="42"/>
    </row>
    <row r="95" spans="1:287">
      <c r="A95" s="13" t="s">
        <v>295</v>
      </c>
      <c r="B95" s="13" t="s">
        <v>282</v>
      </c>
      <c r="C95" s="17"/>
      <c r="J95" s="18"/>
      <c r="Q95" s="19"/>
      <c r="R95" s="17"/>
      <c r="Y95" s="19"/>
      <c r="AF95" s="19"/>
      <c r="AG95" s="17"/>
      <c r="AV95" s="17"/>
      <c r="BK95" s="17"/>
      <c r="BZ95" s="17"/>
      <c r="CO95" s="17"/>
      <c r="DD95" s="17"/>
      <c r="DE95" s="17"/>
      <c r="DS95" s="17"/>
      <c r="DT95" s="17"/>
      <c r="EH95" s="17"/>
      <c r="EI95" s="17"/>
      <c r="EW95" s="17"/>
      <c r="EX95" s="17"/>
      <c r="FL95" s="17"/>
      <c r="FM95" s="17"/>
      <c r="GA95" s="17"/>
      <c r="GB95" s="17"/>
      <c r="GP95" s="17"/>
      <c r="GQ95" s="17"/>
      <c r="HE95" s="17"/>
      <c r="HF95" s="17"/>
      <c r="HT95" s="17"/>
      <c r="HU95" s="17"/>
      <c r="II95" s="42"/>
      <c r="IJ95" s="42"/>
      <c r="IK95" s="42"/>
      <c r="IL95" s="42"/>
      <c r="IM95" s="42"/>
      <c r="IN95" s="42"/>
      <c r="IO95" s="42"/>
      <c r="IP95" s="42"/>
      <c r="IQ95" s="42"/>
      <c r="IR95" s="42"/>
      <c r="IS95" s="42"/>
      <c r="IT95" s="42"/>
      <c r="IU95" s="42"/>
      <c r="IV95" s="42"/>
      <c r="IW95" s="42"/>
      <c r="IX95" s="42"/>
      <c r="IY95" s="42"/>
      <c r="IZ95" s="42"/>
      <c r="JA95" s="42"/>
      <c r="JB95" s="42"/>
      <c r="JC95" s="42"/>
      <c r="JD95" s="42"/>
      <c r="JE95" s="42"/>
      <c r="JF95" s="42"/>
      <c r="JG95" s="42"/>
      <c r="JH95" s="42"/>
      <c r="JI95" s="42"/>
      <c r="JJ95" s="42"/>
      <c r="JK95" s="42"/>
      <c r="JL95" s="42"/>
      <c r="JM95" s="42"/>
      <c r="JN95" s="42"/>
      <c r="JO95" s="42"/>
      <c r="JP95" s="42"/>
      <c r="JQ95" s="42"/>
      <c r="JR95" s="42"/>
      <c r="JS95" s="42"/>
      <c r="JT95" s="42"/>
      <c r="JU95" s="42"/>
      <c r="JV95" s="42"/>
      <c r="JW95" s="42"/>
      <c r="JX95" s="42"/>
      <c r="JY95" s="42"/>
      <c r="JZ95" s="42"/>
      <c r="KA95" s="42"/>
    </row>
    <row r="96" spans="1:287">
      <c r="A96" s="13" t="s">
        <v>297</v>
      </c>
      <c r="B96" s="13" t="s">
        <v>282</v>
      </c>
      <c r="C96" s="17"/>
      <c r="J96" s="18"/>
      <c r="Q96" s="18"/>
      <c r="R96" s="17"/>
      <c r="Y96" s="19"/>
      <c r="AF96" s="19"/>
      <c r="AG96" s="17"/>
      <c r="AV96" s="17"/>
      <c r="BK96" s="17"/>
      <c r="BZ96" s="17"/>
      <c r="CO96" s="17"/>
      <c r="DD96" s="17"/>
      <c r="DE96" s="17"/>
      <c r="DS96" s="17"/>
      <c r="DT96" s="17"/>
      <c r="EH96" s="17"/>
      <c r="EI96" s="17"/>
      <c r="EW96" s="17"/>
      <c r="EX96" s="17"/>
      <c r="FL96" s="17"/>
      <c r="FM96" s="17"/>
      <c r="GA96" s="17"/>
      <c r="GB96" s="17"/>
      <c r="GP96" s="17"/>
      <c r="GQ96" s="17"/>
      <c r="HE96" s="17"/>
      <c r="HF96" s="17"/>
      <c r="HT96" s="17"/>
      <c r="HU96" s="17"/>
      <c r="II96" s="42"/>
      <c r="IJ96" s="42"/>
      <c r="IK96" s="42"/>
      <c r="IL96" s="42"/>
      <c r="IM96" s="42"/>
      <c r="IN96" s="42"/>
      <c r="IO96" s="42"/>
      <c r="IP96" s="42"/>
      <c r="IQ96" s="42"/>
      <c r="IR96" s="42"/>
      <c r="IS96" s="42"/>
      <c r="IT96" s="42"/>
      <c r="IU96" s="42"/>
      <c r="IV96" s="42"/>
      <c r="IW96" s="42"/>
      <c r="IX96" s="42"/>
      <c r="IY96" s="42"/>
      <c r="IZ96" s="42"/>
      <c r="JA96" s="42"/>
      <c r="JB96" s="42"/>
      <c r="JC96" s="42"/>
      <c r="JD96" s="42"/>
      <c r="JE96" s="42"/>
      <c r="JF96" s="42"/>
      <c r="JG96" s="42"/>
      <c r="JH96" s="42"/>
      <c r="JI96" s="42"/>
      <c r="JJ96" s="42"/>
      <c r="JK96" s="42"/>
      <c r="JL96" s="42"/>
      <c r="JM96" s="42"/>
      <c r="JN96" s="42"/>
      <c r="JO96" s="42"/>
      <c r="JP96" s="42"/>
      <c r="JQ96" s="42"/>
      <c r="JR96" s="42"/>
      <c r="JS96" s="42"/>
      <c r="JT96" s="42"/>
      <c r="JU96" s="42"/>
      <c r="JV96" s="42"/>
      <c r="JW96" s="42"/>
      <c r="JX96" s="42"/>
      <c r="JY96" s="42"/>
      <c r="JZ96" s="42"/>
      <c r="KA96" s="42"/>
    </row>
    <row r="97" spans="1:287">
      <c r="A97" s="13" t="s">
        <v>299</v>
      </c>
      <c r="B97" s="13" t="s">
        <v>282</v>
      </c>
      <c r="C97" s="17"/>
      <c r="J97" s="18"/>
      <c r="R97" s="17"/>
      <c r="Y97" s="19"/>
      <c r="AF97" s="18"/>
      <c r="AG97" s="17"/>
      <c r="AV97" s="17"/>
      <c r="BK97" s="17"/>
      <c r="BZ97" s="17"/>
      <c r="CO97" s="17"/>
      <c r="DD97" s="17"/>
      <c r="DE97" s="17"/>
      <c r="DS97" s="17"/>
      <c r="DT97" s="17"/>
      <c r="EH97" s="17"/>
      <c r="EI97" s="17"/>
      <c r="EW97" s="17"/>
      <c r="EX97" s="17"/>
      <c r="FL97" s="17"/>
      <c r="FM97" s="17"/>
      <c r="GA97" s="17"/>
      <c r="GB97" s="17"/>
      <c r="GP97" s="17"/>
      <c r="GQ97" s="17"/>
      <c r="HE97" s="17"/>
      <c r="HF97" s="17"/>
      <c r="HT97" s="17"/>
      <c r="HU97" s="17"/>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2"/>
      <c r="JT97" s="42"/>
      <c r="JU97" s="42"/>
      <c r="JV97" s="42"/>
      <c r="JW97" s="42"/>
      <c r="JX97" s="42"/>
      <c r="JY97" s="42"/>
      <c r="JZ97" s="42"/>
      <c r="KA97" s="42"/>
    </row>
    <row r="98" spans="1:287" ht="51.75">
      <c r="A98" s="13" t="s">
        <v>302</v>
      </c>
      <c r="B98" s="13" t="s">
        <v>282</v>
      </c>
      <c r="C98" s="15">
        <v>29.90232</v>
      </c>
      <c r="D98" s="15">
        <v>-84.341830000000002</v>
      </c>
      <c r="E98" s="15">
        <v>5</v>
      </c>
      <c r="F98" s="15" t="s">
        <v>1272</v>
      </c>
      <c r="J98" s="18"/>
      <c r="Q98" s="18"/>
      <c r="R98" s="15">
        <v>29.908349999999999</v>
      </c>
      <c r="S98" s="15">
        <v>-84.337699999999998</v>
      </c>
      <c r="Y98" s="18"/>
      <c r="AF98" s="18" t="s">
        <v>1273</v>
      </c>
      <c r="AG98" s="17"/>
      <c r="AV98" s="17"/>
      <c r="BK98" s="17"/>
      <c r="BZ98" s="17"/>
      <c r="CO98" s="17"/>
      <c r="DD98" s="17"/>
      <c r="DE98" s="17"/>
      <c r="DS98" s="17"/>
      <c r="DT98" s="17"/>
      <c r="EH98" s="17"/>
      <c r="EI98" s="17"/>
      <c r="EW98" s="17"/>
      <c r="EX98" s="17"/>
      <c r="FL98" s="17"/>
      <c r="FM98" s="17"/>
      <c r="GA98" s="17"/>
      <c r="GB98" s="17"/>
      <c r="GP98" s="17"/>
      <c r="GQ98" s="17"/>
      <c r="HE98" s="17"/>
      <c r="HF98" s="17"/>
      <c r="HT98" s="17"/>
      <c r="HU98" s="17"/>
      <c r="II98" s="42"/>
      <c r="IJ98" s="42"/>
      <c r="IK98" s="42"/>
      <c r="IL98" s="42"/>
      <c r="IM98" s="42"/>
      <c r="IN98" s="42"/>
      <c r="IO98" s="42"/>
      <c r="IP98" s="42"/>
      <c r="IQ98" s="42"/>
      <c r="IR98" s="42"/>
      <c r="IS98" s="42"/>
      <c r="IT98" s="42"/>
      <c r="IU98" s="42"/>
      <c r="IV98" s="42"/>
      <c r="IW98" s="42"/>
      <c r="IX98" s="42"/>
      <c r="IY98" s="42"/>
      <c r="IZ98" s="42"/>
      <c r="JA98" s="42"/>
      <c r="JB98" s="42"/>
      <c r="JC98" s="42"/>
      <c r="JD98" s="42"/>
      <c r="JE98" s="42"/>
      <c r="JF98" s="42"/>
      <c r="JG98" s="42"/>
      <c r="JH98" s="42"/>
      <c r="JI98" s="42"/>
      <c r="JJ98" s="42"/>
      <c r="JK98" s="42"/>
      <c r="JL98" s="42"/>
      <c r="JM98" s="42"/>
      <c r="JN98" s="42"/>
      <c r="JO98" s="42"/>
      <c r="JP98" s="42"/>
      <c r="JQ98" s="42"/>
      <c r="JR98" s="42"/>
      <c r="JS98" s="42"/>
      <c r="JT98" s="42"/>
      <c r="JU98" s="42"/>
      <c r="JV98" s="42"/>
      <c r="JW98" s="42"/>
      <c r="JX98" s="42"/>
      <c r="JY98" s="42"/>
      <c r="JZ98" s="42"/>
      <c r="KA98" s="42"/>
    </row>
    <row r="99" spans="1:287" ht="26.25">
      <c r="A99" s="13" t="s">
        <v>305</v>
      </c>
      <c r="B99" s="13" t="s">
        <v>282</v>
      </c>
      <c r="C99" s="15">
        <v>29.948309999999999</v>
      </c>
      <c r="D99" s="15">
        <v>-84.340320000000006</v>
      </c>
      <c r="I99" s="15">
        <v>1</v>
      </c>
      <c r="J99" s="18" t="s">
        <v>1274</v>
      </c>
      <c r="Q99" s="19"/>
      <c r="R99" s="15">
        <v>29.94896</v>
      </c>
      <c r="S99" s="15">
        <v>-84.341239999999999</v>
      </c>
      <c r="T99" s="15">
        <v>4</v>
      </c>
      <c r="U99" s="15" t="s">
        <v>1275</v>
      </c>
      <c r="Y99" s="19"/>
      <c r="AF99" s="18"/>
      <c r="AG99" s="17"/>
      <c r="AV99" s="17"/>
      <c r="BK99" s="17"/>
      <c r="BZ99" s="17"/>
      <c r="CO99" s="17"/>
      <c r="DD99" s="17"/>
      <c r="DE99" s="17"/>
      <c r="DS99" s="17"/>
      <c r="DT99" s="17"/>
      <c r="EH99" s="17"/>
      <c r="EI99" s="17"/>
      <c r="EW99" s="17"/>
      <c r="EX99" s="17"/>
      <c r="FL99" s="17"/>
      <c r="FM99" s="17"/>
      <c r="GA99" s="17"/>
      <c r="GB99" s="17"/>
      <c r="GP99" s="17"/>
      <c r="GQ99" s="17"/>
      <c r="HE99" s="17"/>
      <c r="HF99" s="17"/>
      <c r="HT99" s="17"/>
      <c r="HU99" s="17"/>
      <c r="II99" s="42"/>
      <c r="IJ99" s="42"/>
      <c r="IK99" s="42"/>
      <c r="IL99" s="42"/>
      <c r="IM99" s="42"/>
      <c r="IN99" s="42"/>
      <c r="IO99" s="42"/>
      <c r="IP99" s="42"/>
      <c r="IQ99" s="42"/>
      <c r="IR99" s="42"/>
      <c r="IS99" s="42"/>
      <c r="IT99" s="42"/>
      <c r="IU99" s="42"/>
      <c r="IV99" s="42"/>
      <c r="IW99" s="42"/>
      <c r="IX99" s="42"/>
      <c r="IY99" s="42"/>
      <c r="IZ99" s="42"/>
      <c r="JA99" s="42"/>
      <c r="JB99" s="42"/>
      <c r="JC99" s="42"/>
      <c r="JD99" s="42"/>
      <c r="JE99" s="42"/>
      <c r="JF99" s="42"/>
      <c r="JG99" s="42"/>
      <c r="JH99" s="42"/>
      <c r="JI99" s="42"/>
      <c r="JJ99" s="42"/>
      <c r="JK99" s="42"/>
      <c r="JL99" s="42"/>
      <c r="JM99" s="42"/>
      <c r="JN99" s="42"/>
      <c r="JO99" s="42"/>
      <c r="JP99" s="42"/>
      <c r="JQ99" s="42"/>
      <c r="JR99" s="42"/>
      <c r="JS99" s="42"/>
      <c r="JT99" s="42"/>
      <c r="JU99" s="42"/>
      <c r="JV99" s="42"/>
      <c r="JW99" s="42"/>
      <c r="JX99" s="42"/>
      <c r="JY99" s="42"/>
      <c r="JZ99" s="42"/>
      <c r="KA99" s="42"/>
    </row>
    <row r="100" spans="1:287">
      <c r="A100" s="13" t="s">
        <v>164</v>
      </c>
      <c r="B100" s="13" t="s">
        <v>282</v>
      </c>
      <c r="C100" s="17"/>
      <c r="J100" s="18"/>
      <c r="Q100" s="18"/>
      <c r="R100" s="17"/>
      <c r="Y100" s="18"/>
      <c r="AF100" s="18"/>
      <c r="AG100" s="17"/>
      <c r="AV100" s="17"/>
      <c r="BK100" s="17"/>
      <c r="BZ100" s="17"/>
      <c r="CO100" s="17"/>
      <c r="DD100" s="17"/>
      <c r="DE100" s="17"/>
      <c r="DS100" s="17"/>
      <c r="DT100" s="17"/>
      <c r="EH100" s="17"/>
      <c r="EI100" s="17"/>
      <c r="EW100" s="17"/>
      <c r="EX100" s="17"/>
      <c r="FL100" s="17"/>
      <c r="FM100" s="17"/>
      <c r="GA100" s="17"/>
      <c r="GB100" s="17"/>
      <c r="GP100" s="17"/>
      <c r="GQ100" s="17"/>
      <c r="HE100" s="17"/>
      <c r="HF100" s="17"/>
      <c r="HT100" s="17"/>
      <c r="HU100" s="17"/>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2"/>
      <c r="JT100" s="42"/>
      <c r="JU100" s="42"/>
      <c r="JV100" s="42"/>
      <c r="JW100" s="42"/>
      <c r="JX100" s="42"/>
      <c r="JY100" s="42"/>
      <c r="JZ100" s="42"/>
      <c r="KA100" s="42"/>
    </row>
    <row r="101" spans="1:287">
      <c r="A101" s="13" t="s">
        <v>306</v>
      </c>
      <c r="B101" s="13" t="s">
        <v>282</v>
      </c>
      <c r="C101" s="15">
        <v>29.830423</v>
      </c>
      <c r="D101" s="15">
        <v>-84.678918999999993</v>
      </c>
      <c r="I101" s="15">
        <v>3</v>
      </c>
      <c r="J101" s="18" t="s">
        <v>1276</v>
      </c>
      <c r="Q101" s="18"/>
      <c r="R101" s="15">
        <v>29.830241000000001</v>
      </c>
      <c r="S101" s="15">
        <v>-84.675003000000004</v>
      </c>
      <c r="T101" s="15">
        <v>2</v>
      </c>
      <c r="U101" s="15" t="s">
        <v>1277</v>
      </c>
      <c r="Y101" s="18"/>
      <c r="AF101" s="18"/>
      <c r="AG101" s="17"/>
      <c r="AV101" s="17"/>
      <c r="BK101" s="17"/>
      <c r="BZ101" s="17"/>
      <c r="CO101" s="17"/>
      <c r="DD101" s="17"/>
      <c r="DE101" s="17"/>
      <c r="DS101" s="17"/>
      <c r="DT101" s="17"/>
      <c r="EH101" s="17"/>
      <c r="EI101" s="17"/>
      <c r="EW101" s="17"/>
      <c r="EX101" s="17"/>
      <c r="FL101" s="17"/>
      <c r="FM101" s="17"/>
      <c r="GA101" s="17"/>
      <c r="GB101" s="17"/>
      <c r="GP101" s="17"/>
      <c r="GQ101" s="17"/>
      <c r="HE101" s="17"/>
      <c r="HF101" s="17"/>
      <c r="HT101" s="17"/>
      <c r="HU101" s="17"/>
      <c r="II101" s="42"/>
      <c r="IJ101" s="42"/>
      <c r="IK101" s="42"/>
      <c r="IL101" s="42"/>
      <c r="IM101" s="42"/>
      <c r="IN101" s="42"/>
      <c r="IO101" s="42"/>
      <c r="IP101" s="42"/>
      <c r="IQ101" s="42"/>
      <c r="IR101" s="42"/>
      <c r="IS101" s="42"/>
      <c r="IT101" s="42"/>
      <c r="IU101" s="42"/>
      <c r="IV101" s="42"/>
      <c r="IW101" s="42"/>
      <c r="IX101" s="42"/>
      <c r="IY101" s="42"/>
      <c r="IZ101" s="42"/>
      <c r="JA101" s="42"/>
      <c r="JB101" s="42"/>
      <c r="JC101" s="42"/>
      <c r="JD101" s="42"/>
      <c r="JE101" s="42"/>
      <c r="JF101" s="42"/>
      <c r="JG101" s="42"/>
      <c r="JH101" s="42"/>
      <c r="JI101" s="42"/>
      <c r="JJ101" s="42"/>
      <c r="JK101" s="42"/>
      <c r="JL101" s="42"/>
      <c r="JM101" s="42"/>
      <c r="JN101" s="42"/>
      <c r="JO101" s="42"/>
      <c r="JP101" s="42"/>
      <c r="JQ101" s="42"/>
      <c r="JR101" s="42"/>
      <c r="JS101" s="42"/>
      <c r="JT101" s="42"/>
      <c r="JU101" s="42"/>
      <c r="JV101" s="42"/>
      <c r="JW101" s="42"/>
      <c r="JX101" s="42"/>
      <c r="JY101" s="42"/>
      <c r="JZ101" s="42"/>
      <c r="KA101" s="42"/>
    </row>
    <row r="102" spans="1:287" ht="51.75">
      <c r="A102" s="13" t="s">
        <v>310</v>
      </c>
      <c r="B102" s="13" t="s">
        <v>282</v>
      </c>
      <c r="C102" s="15">
        <v>29.72897</v>
      </c>
      <c r="D102" s="15">
        <v>-84.885189999999994</v>
      </c>
      <c r="E102" s="15">
        <v>1</v>
      </c>
      <c r="F102" s="15">
        <v>0</v>
      </c>
      <c r="G102" s="15">
        <v>0</v>
      </c>
      <c r="H102" s="15">
        <v>0</v>
      </c>
      <c r="I102" s="15">
        <v>0</v>
      </c>
      <c r="J102" s="18">
        <v>0</v>
      </c>
      <c r="K102" s="15">
        <v>0</v>
      </c>
      <c r="L102" s="15">
        <v>0</v>
      </c>
      <c r="M102" s="15">
        <v>0</v>
      </c>
      <c r="N102" s="15">
        <v>0</v>
      </c>
      <c r="O102" s="15">
        <v>0</v>
      </c>
      <c r="P102" s="15">
        <v>0</v>
      </c>
      <c r="Q102" s="18">
        <v>0</v>
      </c>
      <c r="R102" s="15">
        <v>29.724070000000001</v>
      </c>
      <c r="S102" s="15">
        <v>-84.893119999999996</v>
      </c>
      <c r="T102" s="15">
        <v>0</v>
      </c>
      <c r="U102" s="15">
        <v>0</v>
      </c>
      <c r="V102" s="15">
        <v>0</v>
      </c>
      <c r="W102" s="15">
        <v>0</v>
      </c>
      <c r="X102" s="15">
        <v>0</v>
      </c>
      <c r="Y102" s="18">
        <v>0</v>
      </c>
      <c r="Z102" s="15">
        <v>0</v>
      </c>
      <c r="AA102" s="15">
        <v>0</v>
      </c>
      <c r="AB102" s="15">
        <v>0</v>
      </c>
      <c r="AC102" s="15">
        <v>0</v>
      </c>
      <c r="AD102" s="15">
        <v>0</v>
      </c>
      <c r="AE102" s="15">
        <v>0</v>
      </c>
      <c r="AF102" s="18" t="s">
        <v>1278</v>
      </c>
      <c r="AG102" s="17"/>
      <c r="AV102" s="17"/>
      <c r="BK102" s="17"/>
      <c r="BZ102" s="17"/>
      <c r="CO102" s="17"/>
      <c r="DD102" s="17"/>
      <c r="DE102" s="17"/>
      <c r="DS102" s="17"/>
      <c r="DT102" s="17"/>
      <c r="EH102" s="17"/>
      <c r="EI102" s="17"/>
      <c r="EW102" s="17"/>
      <c r="EX102" s="17"/>
      <c r="FL102" s="17"/>
      <c r="FM102" s="17"/>
      <c r="GA102" s="17"/>
      <c r="GB102" s="17"/>
      <c r="GP102" s="17"/>
      <c r="GQ102" s="17"/>
      <c r="HE102" s="17"/>
      <c r="HF102" s="17"/>
      <c r="HT102" s="17"/>
      <c r="HU102" s="17"/>
      <c r="II102" s="42"/>
      <c r="IJ102" s="42"/>
      <c r="IK102" s="42"/>
      <c r="IL102" s="42"/>
      <c r="IM102" s="42"/>
      <c r="IN102" s="42"/>
      <c r="IO102" s="42"/>
      <c r="IP102" s="42"/>
      <c r="IQ102" s="42"/>
      <c r="IR102" s="42"/>
      <c r="IS102" s="42"/>
      <c r="IT102" s="42"/>
      <c r="IU102" s="42"/>
      <c r="IV102" s="42"/>
      <c r="IW102" s="42"/>
      <c r="IX102" s="42"/>
      <c r="IY102" s="42"/>
      <c r="IZ102" s="42"/>
      <c r="JA102" s="42"/>
      <c r="JB102" s="42"/>
      <c r="JC102" s="42"/>
      <c r="JD102" s="42"/>
      <c r="JE102" s="42"/>
      <c r="JF102" s="42"/>
      <c r="JG102" s="42"/>
      <c r="JH102" s="42"/>
      <c r="JI102" s="42"/>
      <c r="JJ102" s="42"/>
      <c r="JK102" s="42"/>
      <c r="JL102" s="42"/>
      <c r="JM102" s="42"/>
      <c r="JN102" s="42"/>
      <c r="JO102" s="42"/>
      <c r="JP102" s="42"/>
      <c r="JQ102" s="42"/>
      <c r="JR102" s="42"/>
      <c r="JS102" s="42"/>
      <c r="JT102" s="42"/>
      <c r="JU102" s="42"/>
      <c r="JV102" s="42"/>
      <c r="JW102" s="42"/>
      <c r="JX102" s="42"/>
      <c r="JY102" s="42"/>
      <c r="JZ102" s="42"/>
      <c r="KA102" s="42"/>
    </row>
    <row r="103" spans="1:287">
      <c r="A103" s="13" t="s">
        <v>312</v>
      </c>
      <c r="B103" s="13" t="s">
        <v>282</v>
      </c>
      <c r="C103" s="15">
        <v>29.808032000000001</v>
      </c>
      <c r="D103" s="15">
        <v>-84.579111999999995</v>
      </c>
      <c r="E103" s="15">
        <v>0</v>
      </c>
      <c r="G103" s="15">
        <v>0</v>
      </c>
      <c r="I103" s="15">
        <v>0</v>
      </c>
      <c r="J103" s="18"/>
      <c r="K103" s="15">
        <v>0</v>
      </c>
      <c r="M103" s="15">
        <v>0</v>
      </c>
      <c r="O103" s="15">
        <v>0</v>
      </c>
      <c r="Q103" s="15" t="s">
        <v>1279</v>
      </c>
      <c r="R103" s="15">
        <v>29.798825000000001</v>
      </c>
      <c r="S103" s="15">
        <v>-84.600498999999999</v>
      </c>
      <c r="T103" s="15">
        <v>1</v>
      </c>
      <c r="U103" s="15" t="s">
        <v>1180</v>
      </c>
      <c r="V103" s="15">
        <v>0</v>
      </c>
      <c r="X103" s="15">
        <v>0</v>
      </c>
      <c r="Y103" s="18"/>
      <c r="Z103" s="15">
        <v>0</v>
      </c>
      <c r="AB103" s="15">
        <v>0</v>
      </c>
      <c r="AD103" s="15">
        <v>0</v>
      </c>
      <c r="AG103" s="15">
        <v>29.785112000000002</v>
      </c>
      <c r="AH103" s="15">
        <v>-84.640581999999995</v>
      </c>
      <c r="AI103" s="15">
        <v>0</v>
      </c>
      <c r="AK103" s="15">
        <v>0</v>
      </c>
      <c r="AM103" s="15">
        <v>1</v>
      </c>
      <c r="AO103" s="15">
        <v>0</v>
      </c>
      <c r="AQ103" s="15">
        <v>9</v>
      </c>
      <c r="AS103" s="15">
        <v>9</v>
      </c>
      <c r="AU103" s="15" t="s">
        <v>1280</v>
      </c>
      <c r="AV103" s="15">
        <v>29.78004</v>
      </c>
      <c r="AW103" s="15">
        <v>-84.660712000000004</v>
      </c>
      <c r="AX103" s="15">
        <v>2</v>
      </c>
      <c r="AY103" s="15" t="s">
        <v>1180</v>
      </c>
      <c r="AZ103" s="15">
        <v>0</v>
      </c>
      <c r="BB103" s="15">
        <v>0</v>
      </c>
      <c r="BD103" s="15">
        <v>0</v>
      </c>
      <c r="BF103" s="15">
        <v>0</v>
      </c>
      <c r="BH103" s="15">
        <v>0</v>
      </c>
      <c r="BJ103" s="15" t="s">
        <v>1281</v>
      </c>
      <c r="BK103" s="15">
        <v>29.780033</v>
      </c>
      <c r="BL103" s="15">
        <v>-84.674588999999997</v>
      </c>
      <c r="BM103" s="15">
        <v>0</v>
      </c>
      <c r="BO103" s="15">
        <v>0</v>
      </c>
      <c r="BQ103" s="15">
        <v>0</v>
      </c>
      <c r="BS103" s="15">
        <v>0</v>
      </c>
      <c r="BU103" s="15">
        <v>2</v>
      </c>
      <c r="BV103" s="15" t="s">
        <v>1282</v>
      </c>
      <c r="BW103" s="15">
        <v>0</v>
      </c>
      <c r="BY103" s="15" t="s">
        <v>1283</v>
      </c>
      <c r="BZ103" s="15">
        <v>29.82001</v>
      </c>
      <c r="CA103" s="15">
        <v>-84.571560000000005</v>
      </c>
      <c r="CB103" s="15">
        <v>0</v>
      </c>
      <c r="CD103" s="15">
        <v>0</v>
      </c>
      <c r="CF103" s="15">
        <v>0</v>
      </c>
      <c r="CH103" s="15">
        <v>13</v>
      </c>
      <c r="CJ103" s="15">
        <v>0</v>
      </c>
      <c r="CL103" s="15">
        <v>0</v>
      </c>
      <c r="CN103" s="15" t="s">
        <v>1284</v>
      </c>
      <c r="CO103" s="15">
        <v>29.82131</v>
      </c>
      <c r="CP103" s="15">
        <v>-84.571240000000003</v>
      </c>
      <c r="CQ103" s="15">
        <v>2</v>
      </c>
      <c r="CR103" s="15" t="s">
        <v>1180</v>
      </c>
      <c r="CS103" s="15">
        <v>0</v>
      </c>
      <c r="CU103" s="15">
        <v>0</v>
      </c>
      <c r="CW103" s="15">
        <v>0</v>
      </c>
      <c r="CY103" s="15">
        <v>0</v>
      </c>
      <c r="DA103" s="15">
        <v>0</v>
      </c>
      <c r="DC103" s="15" t="s">
        <v>1285</v>
      </c>
      <c r="DD103" s="15">
        <v>29.833780000000001</v>
      </c>
      <c r="DE103" s="15">
        <v>-84.875709999999998</v>
      </c>
      <c r="DF103" s="15">
        <v>0</v>
      </c>
      <c r="DH103" s="15">
        <v>0</v>
      </c>
      <c r="DJ103" s="15">
        <v>0</v>
      </c>
      <c r="DL103" s="15">
        <v>0</v>
      </c>
      <c r="DN103" s="15">
        <v>0</v>
      </c>
      <c r="DP103" s="15">
        <v>0</v>
      </c>
      <c r="DR103" s="15" t="s">
        <v>1286</v>
      </c>
      <c r="DS103" s="15">
        <v>29.787597000000002</v>
      </c>
      <c r="DT103" s="15">
        <v>-84.646034999999998</v>
      </c>
      <c r="DU103" s="15">
        <v>0</v>
      </c>
      <c r="DW103" s="15">
        <v>0</v>
      </c>
      <c r="DY103" s="15">
        <v>0</v>
      </c>
      <c r="EA103" s="15">
        <v>0</v>
      </c>
      <c r="EC103" s="15">
        <v>0</v>
      </c>
      <c r="EE103" s="15">
        <v>0</v>
      </c>
      <c r="EG103" s="15" t="s">
        <v>1287</v>
      </c>
      <c r="EH103" s="15">
        <v>29.782209999999999</v>
      </c>
      <c r="EI103" s="15">
        <v>-84.650660000000002</v>
      </c>
      <c r="EJ103" s="15">
        <v>2</v>
      </c>
      <c r="EK103" s="15" t="s">
        <v>1180</v>
      </c>
      <c r="EL103" s="15">
        <v>0</v>
      </c>
      <c r="EN103" s="15">
        <v>0</v>
      </c>
      <c r="EP103" s="15">
        <v>0</v>
      </c>
      <c r="ER103" s="15">
        <v>0</v>
      </c>
      <c r="ET103" s="15">
        <v>0</v>
      </c>
      <c r="EV103" s="15" t="s">
        <v>1288</v>
      </c>
      <c r="EW103" s="15">
        <v>29.78246</v>
      </c>
      <c r="EX103" s="15">
        <v>-84.650660000000002</v>
      </c>
      <c r="EY103" s="15">
        <v>0</v>
      </c>
      <c r="FA103" s="15">
        <v>0</v>
      </c>
      <c r="FC103" s="15">
        <v>0</v>
      </c>
      <c r="FE103" s="15">
        <v>0</v>
      </c>
      <c r="FG103" s="15">
        <v>8</v>
      </c>
      <c r="FH103" s="15" t="s">
        <v>1289</v>
      </c>
      <c r="FI103" s="15">
        <v>2</v>
      </c>
      <c r="FL103" s="15">
        <v>29.788519999999998</v>
      </c>
      <c r="FM103" s="15">
        <v>-84.628039999999999</v>
      </c>
      <c r="FN103" s="15">
        <v>0</v>
      </c>
      <c r="FP103" s="15">
        <v>0</v>
      </c>
      <c r="FR103" s="15">
        <v>3</v>
      </c>
      <c r="FS103" s="15" t="s">
        <v>1180</v>
      </c>
      <c r="FT103" s="15">
        <v>0</v>
      </c>
      <c r="FV103" s="15">
        <v>0</v>
      </c>
      <c r="FX103" s="15">
        <v>0</v>
      </c>
      <c r="GA103" s="17"/>
      <c r="GB103" s="17"/>
      <c r="GP103" s="17"/>
      <c r="GQ103" s="17"/>
      <c r="HE103" s="17"/>
      <c r="HF103" s="17"/>
      <c r="HT103" s="17"/>
      <c r="HU103" s="17"/>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2"/>
      <c r="JT103" s="42"/>
      <c r="JU103" s="42"/>
      <c r="JV103" s="42"/>
      <c r="JW103" s="42"/>
      <c r="JX103" s="42"/>
      <c r="JY103" s="42"/>
      <c r="JZ103" s="42"/>
      <c r="KA103" s="42"/>
    </row>
    <row r="104" spans="1:287" ht="90">
      <c r="A104" s="24" t="s">
        <v>316</v>
      </c>
      <c r="B104" s="24" t="s">
        <v>282</v>
      </c>
      <c r="C104" s="15">
        <v>29.80546</v>
      </c>
      <c r="D104" s="15">
        <v>-84.729100000000003</v>
      </c>
      <c r="E104" s="15">
        <v>0</v>
      </c>
      <c r="F104" s="15">
        <v>0</v>
      </c>
      <c r="G104" s="15">
        <v>0</v>
      </c>
      <c r="H104" s="15">
        <v>0</v>
      </c>
      <c r="I104" s="15">
        <v>0</v>
      </c>
      <c r="J104" s="18">
        <v>0</v>
      </c>
      <c r="K104" s="15">
        <v>0</v>
      </c>
      <c r="L104" s="15">
        <v>0</v>
      </c>
      <c r="M104" s="15">
        <v>0</v>
      </c>
      <c r="N104" s="15">
        <v>0</v>
      </c>
      <c r="O104" s="15">
        <v>0</v>
      </c>
      <c r="P104" s="15">
        <v>0</v>
      </c>
      <c r="Q104" s="18" t="s">
        <v>1290</v>
      </c>
      <c r="R104" s="15">
        <v>29.810220000000001</v>
      </c>
      <c r="S104" s="15">
        <v>-84.72251</v>
      </c>
      <c r="T104" s="15">
        <v>0</v>
      </c>
      <c r="U104" s="15">
        <v>0</v>
      </c>
      <c r="V104" s="15">
        <v>0</v>
      </c>
      <c r="W104" s="15">
        <v>0</v>
      </c>
      <c r="X104" s="15">
        <v>0</v>
      </c>
      <c r="Y104" s="18">
        <v>0</v>
      </c>
      <c r="Z104" s="15">
        <v>0</v>
      </c>
      <c r="AA104" s="15">
        <v>0</v>
      </c>
      <c r="AB104" s="15">
        <v>0</v>
      </c>
      <c r="AC104" s="15">
        <v>0</v>
      </c>
      <c r="AD104" s="15">
        <v>0</v>
      </c>
      <c r="AE104" s="15">
        <v>0</v>
      </c>
      <c r="AF104" s="18" t="s">
        <v>1291</v>
      </c>
      <c r="AG104" s="17"/>
      <c r="AV104" s="17"/>
      <c r="BK104" s="17"/>
      <c r="BZ104" s="17"/>
      <c r="CO104" s="17"/>
      <c r="DD104" s="17"/>
      <c r="DE104" s="17"/>
      <c r="DS104" s="17"/>
      <c r="DT104" s="17"/>
      <c r="EH104" s="17"/>
      <c r="EI104" s="17"/>
      <c r="EW104" s="17"/>
      <c r="EX104" s="17"/>
      <c r="FL104" s="17"/>
      <c r="FM104" s="17"/>
      <c r="GA104" s="17"/>
      <c r="GB104" s="17"/>
      <c r="GP104" s="17"/>
      <c r="GQ104" s="17"/>
      <c r="HE104" s="17"/>
      <c r="HF104" s="17"/>
      <c r="HT104" s="17"/>
      <c r="HU104" s="17"/>
      <c r="II104" s="42"/>
      <c r="IJ104" s="42"/>
      <c r="IK104" s="42"/>
      <c r="IL104" s="42"/>
      <c r="IM104" s="42"/>
      <c r="IN104" s="42"/>
      <c r="IO104" s="42"/>
      <c r="IP104" s="42"/>
      <c r="IQ104" s="42"/>
      <c r="IR104" s="42"/>
      <c r="IS104" s="42"/>
      <c r="IT104" s="42"/>
      <c r="IU104" s="42"/>
      <c r="IV104" s="42"/>
      <c r="IW104" s="42"/>
      <c r="IX104" s="42"/>
      <c r="IY104" s="42"/>
      <c r="IZ104" s="42"/>
      <c r="JA104" s="42"/>
      <c r="JB104" s="42"/>
      <c r="JC104" s="42"/>
      <c r="JD104" s="42"/>
      <c r="JE104" s="42"/>
      <c r="JF104" s="42"/>
      <c r="JG104" s="42"/>
      <c r="JH104" s="42"/>
      <c r="JI104" s="42"/>
      <c r="JJ104" s="42"/>
      <c r="JK104" s="42"/>
      <c r="JL104" s="42"/>
      <c r="JM104" s="42"/>
      <c r="JN104" s="42"/>
      <c r="JO104" s="42"/>
      <c r="JP104" s="42"/>
      <c r="JQ104" s="42"/>
      <c r="JR104" s="42"/>
      <c r="JS104" s="42"/>
      <c r="JT104" s="42"/>
      <c r="JU104" s="42"/>
      <c r="JV104" s="42"/>
      <c r="JW104" s="42"/>
      <c r="JX104" s="42"/>
      <c r="JY104" s="42"/>
      <c r="JZ104" s="42"/>
      <c r="KA104" s="42"/>
    </row>
    <row r="105" spans="1:287">
      <c r="A105" s="13" t="s">
        <v>319</v>
      </c>
      <c r="B105" s="13" t="s">
        <v>282</v>
      </c>
      <c r="C105" s="15">
        <v>29.733309999999999</v>
      </c>
      <c r="D105" s="15">
        <v>-84.980189999999993</v>
      </c>
      <c r="E105" s="15">
        <v>2</v>
      </c>
      <c r="F105" s="15" t="s">
        <v>1246</v>
      </c>
      <c r="G105" s="15">
        <v>0</v>
      </c>
      <c r="H105" s="15">
        <v>0</v>
      </c>
      <c r="I105" s="15">
        <v>0</v>
      </c>
      <c r="J105" s="18">
        <v>0</v>
      </c>
      <c r="K105" s="15">
        <v>0</v>
      </c>
      <c r="L105" s="15">
        <v>0</v>
      </c>
      <c r="M105" s="15">
        <v>0</v>
      </c>
      <c r="N105" s="15">
        <v>0</v>
      </c>
      <c r="O105" s="15">
        <v>0</v>
      </c>
      <c r="P105" s="15">
        <v>0</v>
      </c>
      <c r="Q105" s="18"/>
      <c r="R105" s="15">
        <v>29.741610000000001</v>
      </c>
      <c r="S105" s="15">
        <v>-84.826480000000004</v>
      </c>
      <c r="T105" s="15">
        <v>1</v>
      </c>
      <c r="U105" s="15" t="s">
        <v>1292</v>
      </c>
      <c r="V105" s="15">
        <v>0</v>
      </c>
      <c r="W105" s="15">
        <v>0</v>
      </c>
      <c r="X105" s="15">
        <v>0</v>
      </c>
      <c r="Y105" s="18">
        <v>0</v>
      </c>
      <c r="Z105" s="15">
        <v>0</v>
      </c>
      <c r="AA105" s="15">
        <v>0</v>
      </c>
      <c r="AB105" s="15">
        <v>0</v>
      </c>
      <c r="AC105" s="15">
        <v>0</v>
      </c>
      <c r="AD105" s="15">
        <v>0</v>
      </c>
      <c r="AE105" s="15">
        <v>0</v>
      </c>
      <c r="AF105" s="18"/>
      <c r="AG105" s="15">
        <v>29.735880000000002</v>
      </c>
      <c r="AH105" s="15">
        <v>-8487725</v>
      </c>
      <c r="AI105" s="15">
        <v>2</v>
      </c>
      <c r="AJ105" s="15" t="s">
        <v>1293</v>
      </c>
      <c r="AK105" s="15">
        <v>0</v>
      </c>
      <c r="AL105" s="15">
        <v>0</v>
      </c>
      <c r="AM105" s="15">
        <v>0</v>
      </c>
      <c r="AN105" s="15">
        <v>0</v>
      </c>
      <c r="AO105" s="15">
        <v>0</v>
      </c>
      <c r="AP105" s="15">
        <v>0</v>
      </c>
      <c r="AQ105" s="15">
        <v>0</v>
      </c>
      <c r="AR105" s="15">
        <v>0</v>
      </c>
      <c r="AS105" s="15">
        <v>0</v>
      </c>
      <c r="AT105" s="15">
        <v>0</v>
      </c>
      <c r="AV105" s="17"/>
      <c r="BK105" s="17"/>
      <c r="BZ105" s="17"/>
      <c r="CO105" s="17"/>
      <c r="DD105" s="17"/>
      <c r="DE105" s="17"/>
      <c r="DS105" s="17"/>
      <c r="DT105" s="17"/>
      <c r="EH105" s="17"/>
      <c r="EI105" s="17"/>
      <c r="EW105" s="17"/>
      <c r="EX105" s="17"/>
      <c r="FL105" s="17"/>
      <c r="FM105" s="17"/>
      <c r="GA105" s="17"/>
      <c r="GB105" s="17"/>
      <c r="GP105" s="17"/>
      <c r="GQ105" s="17"/>
      <c r="HE105" s="17"/>
      <c r="HF105" s="17"/>
      <c r="HT105" s="17"/>
      <c r="HU105" s="17"/>
      <c r="II105" s="42"/>
      <c r="IJ105" s="42"/>
      <c r="IK105" s="42"/>
      <c r="IL105" s="42"/>
      <c r="IM105" s="42"/>
      <c r="IN105" s="42"/>
      <c r="IO105" s="42"/>
      <c r="IP105" s="42"/>
      <c r="IQ105" s="42"/>
      <c r="IR105" s="42"/>
      <c r="IS105" s="42"/>
      <c r="IT105" s="42"/>
      <c r="IU105" s="42"/>
      <c r="IV105" s="42"/>
      <c r="IW105" s="42"/>
      <c r="IX105" s="42"/>
      <c r="IY105" s="42"/>
      <c r="IZ105" s="42"/>
      <c r="JA105" s="42"/>
      <c r="JB105" s="42"/>
      <c r="JC105" s="42"/>
      <c r="JD105" s="42"/>
      <c r="JE105" s="42"/>
      <c r="JF105" s="42"/>
      <c r="JG105" s="42"/>
      <c r="JH105" s="42"/>
      <c r="JI105" s="42"/>
      <c r="JJ105" s="42"/>
      <c r="JK105" s="42"/>
      <c r="JL105" s="42"/>
      <c r="JM105" s="42"/>
      <c r="JN105" s="42"/>
      <c r="JO105" s="42"/>
      <c r="JP105" s="42"/>
      <c r="JQ105" s="42"/>
      <c r="JR105" s="42"/>
      <c r="JS105" s="42"/>
      <c r="JT105" s="42"/>
      <c r="JU105" s="42"/>
      <c r="JV105" s="42"/>
      <c r="JW105" s="42"/>
      <c r="JX105" s="42"/>
      <c r="JY105" s="42"/>
      <c r="JZ105" s="42"/>
      <c r="KA105" s="42"/>
    </row>
    <row r="106" spans="1:287">
      <c r="A106" s="13" t="s">
        <v>320</v>
      </c>
      <c r="B106" s="13" t="s">
        <v>282</v>
      </c>
      <c r="C106" s="17"/>
      <c r="J106" s="18"/>
      <c r="Q106" s="18"/>
      <c r="R106" s="17"/>
      <c r="Y106" s="19"/>
      <c r="AF106" s="18"/>
      <c r="AG106" s="17"/>
      <c r="AV106" s="17"/>
      <c r="BK106" s="17"/>
      <c r="BZ106" s="17"/>
      <c r="CO106" s="17"/>
      <c r="DD106" s="17"/>
      <c r="DE106" s="17"/>
      <c r="DS106" s="17"/>
      <c r="DT106" s="17"/>
      <c r="EH106" s="17"/>
      <c r="EI106" s="17"/>
      <c r="EW106" s="17"/>
      <c r="EX106" s="17"/>
      <c r="FL106" s="17"/>
      <c r="FM106" s="17"/>
      <c r="GA106" s="17"/>
      <c r="GB106" s="17"/>
      <c r="GP106" s="17"/>
      <c r="GQ106" s="17"/>
      <c r="HE106" s="17"/>
      <c r="HF106" s="17"/>
      <c r="HT106" s="17"/>
      <c r="HU106" s="17"/>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2"/>
      <c r="JT106" s="42"/>
      <c r="JU106" s="42"/>
      <c r="JV106" s="42"/>
      <c r="JW106" s="42"/>
      <c r="JX106" s="42"/>
      <c r="JY106" s="42"/>
      <c r="JZ106" s="42"/>
      <c r="KA106" s="42"/>
    </row>
    <row r="107" spans="1:287" ht="141">
      <c r="A107" s="13" t="s">
        <v>321</v>
      </c>
      <c r="B107" s="13" t="s">
        <v>282</v>
      </c>
      <c r="C107" s="15">
        <v>29.62781</v>
      </c>
      <c r="D107" s="15">
        <v>-85.153689999999997</v>
      </c>
      <c r="E107" s="15">
        <v>0</v>
      </c>
      <c r="G107" s="15">
        <v>0</v>
      </c>
      <c r="I107" s="15">
        <v>3</v>
      </c>
      <c r="J107" s="18" t="s">
        <v>1294</v>
      </c>
      <c r="K107" s="15">
        <v>8</v>
      </c>
      <c r="M107" s="15">
        <v>14</v>
      </c>
      <c r="N107" s="15" t="s">
        <v>1295</v>
      </c>
      <c r="O107" s="15">
        <v>0</v>
      </c>
      <c r="Q107" s="18" t="s">
        <v>1296</v>
      </c>
      <c r="R107" s="15">
        <v>29.631239999999998</v>
      </c>
      <c r="S107" s="15">
        <v>-85.154250000000005</v>
      </c>
      <c r="T107" s="15">
        <v>0</v>
      </c>
      <c r="V107" s="15">
        <v>0</v>
      </c>
      <c r="X107" s="15">
        <v>3</v>
      </c>
      <c r="Y107" s="18" t="s">
        <v>1297</v>
      </c>
      <c r="Z107" s="15">
        <v>5</v>
      </c>
      <c r="AB107" s="15">
        <v>2</v>
      </c>
      <c r="AC107" s="15" t="s">
        <v>1298</v>
      </c>
      <c r="AF107" s="18" t="s">
        <v>1299</v>
      </c>
      <c r="AG107" s="15">
        <v>29.627041999999999</v>
      </c>
      <c r="AH107" s="15">
        <v>-85.151684000000003</v>
      </c>
      <c r="AI107" s="15">
        <v>0</v>
      </c>
      <c r="AK107" s="15">
        <v>0</v>
      </c>
      <c r="AM107" s="15">
        <v>1</v>
      </c>
      <c r="AN107" s="15" t="s">
        <v>1300</v>
      </c>
      <c r="AO107" s="15">
        <v>0</v>
      </c>
      <c r="AQ107" s="15">
        <v>1</v>
      </c>
      <c r="AR107" s="15" t="s">
        <v>1180</v>
      </c>
      <c r="AS107" s="15">
        <v>0</v>
      </c>
      <c r="AV107" s="15">
        <v>29.626773100000001</v>
      </c>
      <c r="AW107" s="15">
        <v>-85.150655999999998</v>
      </c>
      <c r="AX107" s="15">
        <v>0</v>
      </c>
      <c r="AZ107" s="15">
        <v>0</v>
      </c>
      <c r="BB107" s="15">
        <v>0</v>
      </c>
      <c r="BD107" s="15">
        <v>0</v>
      </c>
      <c r="BF107" s="15">
        <v>2</v>
      </c>
      <c r="BG107" s="15" t="s">
        <v>1180</v>
      </c>
      <c r="BH107" s="15">
        <v>0</v>
      </c>
      <c r="BK107" s="15">
        <v>29.627852099999998</v>
      </c>
      <c r="BL107" s="15">
        <v>-85.148281999999995</v>
      </c>
      <c r="BM107" s="15">
        <v>0</v>
      </c>
      <c r="BO107" s="15">
        <v>16</v>
      </c>
      <c r="BQ107" s="15">
        <v>1</v>
      </c>
      <c r="BR107" s="15" t="s">
        <v>1180</v>
      </c>
      <c r="BS107" s="15">
        <v>0</v>
      </c>
      <c r="BU107" s="15">
        <v>0</v>
      </c>
      <c r="BW107" s="15">
        <v>0</v>
      </c>
      <c r="BY107" s="15" t="s">
        <v>1301</v>
      </c>
      <c r="BZ107" s="17"/>
      <c r="CO107" s="17"/>
      <c r="DD107" s="17"/>
      <c r="DE107" s="17"/>
      <c r="DS107" s="17"/>
      <c r="DT107" s="17"/>
      <c r="EH107" s="17"/>
      <c r="EI107" s="17"/>
      <c r="EW107" s="17"/>
      <c r="EX107" s="17"/>
      <c r="FL107" s="17"/>
      <c r="FM107" s="17"/>
      <c r="GA107" s="17"/>
      <c r="GB107" s="17"/>
      <c r="GP107" s="17"/>
      <c r="GQ107" s="17"/>
      <c r="HE107" s="17"/>
      <c r="HF107" s="17"/>
      <c r="HT107" s="17"/>
      <c r="HU107" s="17"/>
      <c r="II107" s="42"/>
      <c r="IJ107" s="42"/>
      <c r="IK107" s="42"/>
      <c r="IL107" s="42"/>
      <c r="IM107" s="42"/>
      <c r="IN107" s="42"/>
      <c r="IO107" s="42"/>
      <c r="IP107" s="42"/>
      <c r="IQ107" s="42"/>
      <c r="IR107" s="42"/>
      <c r="IS107" s="42"/>
      <c r="IT107" s="42"/>
      <c r="IU107" s="42"/>
      <c r="IV107" s="42"/>
      <c r="IW107" s="42"/>
      <c r="IX107" s="42"/>
      <c r="IY107" s="42"/>
      <c r="IZ107" s="42"/>
      <c r="JA107" s="42"/>
      <c r="JB107" s="42"/>
      <c r="JC107" s="42"/>
      <c r="JD107" s="42"/>
      <c r="JE107" s="42"/>
      <c r="JF107" s="42"/>
      <c r="JG107" s="42"/>
      <c r="JH107" s="42"/>
      <c r="JI107" s="42"/>
      <c r="JJ107" s="42"/>
      <c r="JK107" s="42"/>
      <c r="JL107" s="42"/>
      <c r="JM107" s="42"/>
      <c r="JN107" s="42"/>
      <c r="JO107" s="42"/>
      <c r="JP107" s="42"/>
      <c r="JQ107" s="42"/>
      <c r="JR107" s="42"/>
      <c r="JS107" s="42"/>
      <c r="JT107" s="42"/>
      <c r="JU107" s="42"/>
      <c r="JV107" s="42"/>
      <c r="JW107" s="42"/>
      <c r="JX107" s="42"/>
      <c r="JY107" s="42"/>
      <c r="JZ107" s="42"/>
      <c r="KA107" s="42"/>
    </row>
    <row r="108" spans="1:287">
      <c r="A108" s="13" t="s">
        <v>323</v>
      </c>
      <c r="B108" s="13" t="s">
        <v>282</v>
      </c>
      <c r="C108" s="15">
        <v>29.695260000000001</v>
      </c>
      <c r="D108" s="15">
        <v>-84.789580000000001</v>
      </c>
      <c r="E108" s="15">
        <v>2</v>
      </c>
      <c r="F108" s="15" t="s">
        <v>1302</v>
      </c>
      <c r="G108" s="15">
        <v>0</v>
      </c>
      <c r="H108" s="15">
        <v>0</v>
      </c>
      <c r="I108" s="15">
        <v>0</v>
      </c>
      <c r="J108" s="18">
        <v>0</v>
      </c>
      <c r="K108" s="15">
        <v>0</v>
      </c>
      <c r="L108" s="15">
        <v>0</v>
      </c>
      <c r="M108" s="15">
        <v>0</v>
      </c>
      <c r="N108" s="15">
        <v>0</v>
      </c>
      <c r="O108" s="15">
        <v>0</v>
      </c>
      <c r="P108" s="15">
        <v>0</v>
      </c>
      <c r="Q108" s="18">
        <v>0</v>
      </c>
      <c r="R108" s="15">
        <v>29.693349999999999</v>
      </c>
      <c r="S108" s="15">
        <v>-84.785510000000002</v>
      </c>
      <c r="T108" s="15">
        <v>3</v>
      </c>
      <c r="U108" s="15">
        <v>0</v>
      </c>
      <c r="V108" s="15">
        <v>0</v>
      </c>
      <c r="W108" s="15">
        <v>0</v>
      </c>
      <c r="X108" s="15">
        <v>0</v>
      </c>
      <c r="Y108" s="18">
        <v>0</v>
      </c>
      <c r="Z108" s="15">
        <v>0</v>
      </c>
      <c r="AA108" s="15">
        <v>0</v>
      </c>
      <c r="AB108" s="15">
        <v>0</v>
      </c>
      <c r="AC108" s="15">
        <v>0</v>
      </c>
      <c r="AD108" s="15">
        <v>0</v>
      </c>
      <c r="AE108" s="15">
        <v>0</v>
      </c>
      <c r="AF108" s="18">
        <v>0</v>
      </c>
      <c r="AG108" s="15">
        <v>29.69781</v>
      </c>
      <c r="AH108" s="15">
        <v>-84.789029999999997</v>
      </c>
      <c r="AI108" s="15">
        <v>2</v>
      </c>
      <c r="AJ108" s="15" t="s">
        <v>1303</v>
      </c>
      <c r="AK108" s="15">
        <v>0</v>
      </c>
      <c r="AL108" s="15">
        <v>0</v>
      </c>
      <c r="AM108" s="15">
        <v>0</v>
      </c>
      <c r="AN108" s="15">
        <v>0</v>
      </c>
      <c r="AO108" s="15">
        <v>0</v>
      </c>
      <c r="AP108" s="15">
        <v>0</v>
      </c>
      <c r="AQ108" s="15">
        <v>0</v>
      </c>
      <c r="AR108" s="15">
        <v>0</v>
      </c>
      <c r="AS108" s="15">
        <v>0</v>
      </c>
      <c r="AT108" s="15">
        <v>0</v>
      </c>
      <c r="AU108" s="15">
        <v>0</v>
      </c>
      <c r="AV108" s="15">
        <v>29.698180000000001</v>
      </c>
      <c r="AW108" s="15">
        <v>-84.79034</v>
      </c>
      <c r="AX108" s="15">
        <v>2</v>
      </c>
      <c r="AY108" s="15" t="s">
        <v>1304</v>
      </c>
      <c r="AZ108" s="15">
        <v>0</v>
      </c>
      <c r="BA108" s="15">
        <v>0</v>
      </c>
      <c r="BB108" s="15">
        <v>0</v>
      </c>
      <c r="BC108" s="15">
        <v>0</v>
      </c>
      <c r="BD108" s="15">
        <v>0</v>
      </c>
      <c r="BE108" s="15">
        <v>0</v>
      </c>
      <c r="BF108" s="15">
        <v>0</v>
      </c>
      <c r="BG108" s="15">
        <v>0</v>
      </c>
      <c r="BH108" s="15">
        <v>0</v>
      </c>
      <c r="BI108" s="15">
        <v>0</v>
      </c>
      <c r="BJ108" s="15">
        <v>0</v>
      </c>
      <c r="BK108" s="15">
        <v>29.696300000000001</v>
      </c>
      <c r="BL108" s="15">
        <v>-84.789420000000007</v>
      </c>
      <c r="BM108" s="15">
        <v>3</v>
      </c>
      <c r="BN108" s="15" t="s">
        <v>1305</v>
      </c>
      <c r="BO108" s="15">
        <v>0</v>
      </c>
      <c r="BP108" s="15">
        <v>0</v>
      </c>
      <c r="BQ108" s="15">
        <v>0</v>
      </c>
      <c r="BR108" s="15">
        <v>0</v>
      </c>
      <c r="BS108" s="15">
        <v>0</v>
      </c>
      <c r="BT108" s="15">
        <v>0</v>
      </c>
      <c r="BU108" s="15">
        <v>0</v>
      </c>
      <c r="BV108" s="15">
        <v>0</v>
      </c>
      <c r="BW108" s="15">
        <v>0</v>
      </c>
      <c r="BX108" s="15">
        <v>0</v>
      </c>
      <c r="BY108" s="15">
        <v>0</v>
      </c>
      <c r="BZ108" s="17"/>
      <c r="CO108" s="17"/>
      <c r="DD108" s="17"/>
      <c r="DE108" s="17"/>
      <c r="DS108" s="17"/>
      <c r="DT108" s="17"/>
      <c r="EH108" s="17"/>
      <c r="EI108" s="17"/>
      <c r="EW108" s="17"/>
      <c r="EX108" s="17"/>
      <c r="FL108" s="17"/>
      <c r="FM108" s="17"/>
      <c r="GA108" s="17"/>
      <c r="GB108" s="17"/>
      <c r="GP108" s="17"/>
      <c r="GQ108" s="17"/>
      <c r="HE108" s="17"/>
      <c r="HF108" s="17"/>
      <c r="HT108" s="17"/>
      <c r="HU108" s="17"/>
      <c r="II108" s="42"/>
      <c r="IJ108" s="42"/>
      <c r="IK108" s="42"/>
      <c r="IL108" s="42"/>
      <c r="IM108" s="42"/>
      <c r="IN108" s="42"/>
      <c r="IO108" s="42"/>
      <c r="IP108" s="42"/>
      <c r="IQ108" s="42"/>
      <c r="IR108" s="42"/>
      <c r="IS108" s="42"/>
      <c r="IT108" s="42"/>
      <c r="IU108" s="42"/>
      <c r="IV108" s="42"/>
      <c r="IW108" s="42"/>
      <c r="IX108" s="42"/>
      <c r="IY108" s="42"/>
      <c r="IZ108" s="42"/>
      <c r="JA108" s="42"/>
      <c r="JB108" s="42"/>
      <c r="JC108" s="42"/>
      <c r="JD108" s="42"/>
      <c r="JE108" s="42"/>
      <c r="JF108" s="42"/>
      <c r="JG108" s="42"/>
      <c r="JH108" s="42"/>
      <c r="JI108" s="42"/>
      <c r="JJ108" s="42"/>
      <c r="JK108" s="42"/>
      <c r="JL108" s="42"/>
      <c r="JM108" s="42"/>
      <c r="JN108" s="42"/>
      <c r="JO108" s="42"/>
      <c r="JP108" s="42"/>
      <c r="JQ108" s="42"/>
      <c r="JR108" s="42"/>
      <c r="JS108" s="42"/>
      <c r="JT108" s="42"/>
      <c r="JU108" s="42"/>
      <c r="JV108" s="42"/>
      <c r="JW108" s="42"/>
      <c r="JX108" s="42"/>
      <c r="JY108" s="42"/>
      <c r="JZ108" s="42"/>
      <c r="KA108" s="42"/>
    </row>
    <row r="109" spans="1:287">
      <c r="A109" s="13" t="s">
        <v>324</v>
      </c>
      <c r="B109" s="13" t="s">
        <v>282</v>
      </c>
      <c r="C109" s="15">
        <v>29.835837000000001</v>
      </c>
      <c r="D109" s="15">
        <v>-84.658265</v>
      </c>
      <c r="E109" s="15">
        <v>3</v>
      </c>
      <c r="F109" s="15" t="s">
        <v>1306</v>
      </c>
      <c r="J109" s="18"/>
      <c r="O109" s="15">
        <v>1</v>
      </c>
      <c r="P109" s="15" t="s">
        <v>1306</v>
      </c>
      <c r="Q109" s="18"/>
      <c r="R109" s="17"/>
      <c r="Y109" s="19"/>
      <c r="AF109" s="19"/>
      <c r="AG109" s="17"/>
      <c r="AV109" s="17"/>
      <c r="BK109" s="17"/>
      <c r="BZ109" s="17"/>
      <c r="CO109" s="17"/>
      <c r="DD109" s="17"/>
      <c r="DE109" s="17"/>
      <c r="DS109" s="17"/>
      <c r="DT109" s="17"/>
      <c r="EH109" s="17"/>
      <c r="EI109" s="17"/>
      <c r="EW109" s="17"/>
      <c r="EX109" s="17"/>
      <c r="FL109" s="17"/>
      <c r="FM109" s="17"/>
      <c r="GA109" s="17"/>
      <c r="GB109" s="17"/>
      <c r="GP109" s="17"/>
      <c r="GQ109" s="17"/>
      <c r="HE109" s="17"/>
      <c r="HF109" s="17"/>
      <c r="HT109" s="17"/>
      <c r="HU109" s="17"/>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2"/>
      <c r="JT109" s="42"/>
      <c r="JU109" s="42"/>
      <c r="JV109" s="42"/>
      <c r="JW109" s="42"/>
      <c r="JX109" s="42"/>
      <c r="JY109" s="42"/>
      <c r="JZ109" s="42"/>
      <c r="KA109" s="42"/>
    </row>
    <row r="110" spans="1:287" ht="64.5">
      <c r="A110" s="13" t="s">
        <v>327</v>
      </c>
      <c r="B110" s="13" t="s">
        <v>282</v>
      </c>
      <c r="C110" s="15">
        <v>29.68702</v>
      </c>
      <c r="D110" s="15">
        <v>-85.173969999999997</v>
      </c>
      <c r="E110" s="15">
        <v>0</v>
      </c>
      <c r="F110" s="15">
        <v>0</v>
      </c>
      <c r="G110" s="15">
        <v>0</v>
      </c>
      <c r="H110" s="15">
        <v>0</v>
      </c>
      <c r="I110" s="15">
        <v>0</v>
      </c>
      <c r="J110" s="18">
        <v>0</v>
      </c>
      <c r="K110" s="15">
        <v>0</v>
      </c>
      <c r="L110" s="15">
        <v>0</v>
      </c>
      <c r="M110" s="15">
        <v>0</v>
      </c>
      <c r="N110" s="15">
        <v>0</v>
      </c>
      <c r="O110" s="15">
        <v>0</v>
      </c>
      <c r="P110" s="15">
        <v>0</v>
      </c>
      <c r="Q110" s="18" t="s">
        <v>1307</v>
      </c>
      <c r="R110" s="17"/>
      <c r="Y110" s="19"/>
      <c r="AF110" s="19"/>
      <c r="AG110" s="17"/>
      <c r="AV110" s="17"/>
      <c r="BK110" s="17"/>
      <c r="BZ110" s="17"/>
      <c r="CO110" s="17"/>
      <c r="DD110" s="17"/>
      <c r="DE110" s="17"/>
      <c r="DS110" s="17"/>
      <c r="DT110" s="17"/>
      <c r="EH110" s="17"/>
      <c r="EI110" s="17"/>
      <c r="EW110" s="17"/>
      <c r="EX110" s="17"/>
      <c r="FL110" s="17"/>
      <c r="FM110" s="17"/>
      <c r="GA110" s="17"/>
      <c r="GB110" s="17"/>
      <c r="GP110" s="17"/>
      <c r="GQ110" s="17"/>
      <c r="HE110" s="17"/>
      <c r="HF110" s="17"/>
      <c r="HT110" s="17"/>
      <c r="HU110" s="17"/>
      <c r="II110" s="42"/>
      <c r="IJ110" s="42"/>
      <c r="IK110" s="42"/>
      <c r="IL110" s="42"/>
      <c r="IM110" s="42"/>
      <c r="IN110" s="42"/>
      <c r="IO110" s="42"/>
      <c r="IP110" s="42"/>
      <c r="IQ110" s="42"/>
      <c r="IR110" s="42"/>
      <c r="IS110" s="42"/>
      <c r="IT110" s="42"/>
      <c r="IU110" s="42"/>
      <c r="IV110" s="42"/>
      <c r="IW110" s="42"/>
      <c r="IX110" s="42"/>
      <c r="IY110" s="42"/>
      <c r="IZ110" s="42"/>
      <c r="JA110" s="42"/>
      <c r="JB110" s="42"/>
      <c r="JC110" s="42"/>
      <c r="JD110" s="42"/>
      <c r="JE110" s="42"/>
      <c r="JF110" s="42"/>
      <c r="JG110" s="42"/>
      <c r="JH110" s="42"/>
      <c r="JI110" s="42"/>
      <c r="JJ110" s="42"/>
      <c r="JK110" s="42"/>
      <c r="JL110" s="42"/>
      <c r="JM110" s="42"/>
      <c r="JN110" s="42"/>
      <c r="JO110" s="42"/>
      <c r="JP110" s="42"/>
      <c r="JQ110" s="42"/>
      <c r="JR110" s="42"/>
      <c r="JS110" s="42"/>
      <c r="JT110" s="42"/>
      <c r="JU110" s="42"/>
      <c r="JV110" s="42"/>
      <c r="JW110" s="42"/>
      <c r="JX110" s="42"/>
      <c r="JY110" s="42"/>
      <c r="JZ110" s="42"/>
      <c r="KA110" s="42"/>
    </row>
    <row r="111" spans="1:287">
      <c r="A111" s="13" t="s">
        <v>328</v>
      </c>
      <c r="B111" s="13" t="s">
        <v>282</v>
      </c>
      <c r="C111" s="15">
        <v>29.672499999999999</v>
      </c>
      <c r="D111" s="15">
        <v>-84.861930000000001</v>
      </c>
      <c r="E111" s="15">
        <v>4</v>
      </c>
      <c r="F111" s="15" t="s">
        <v>1308</v>
      </c>
      <c r="J111" s="19"/>
      <c r="Q111" s="19"/>
      <c r="R111" s="17"/>
      <c r="Y111" s="19"/>
      <c r="AF111" s="19"/>
      <c r="AG111" s="17"/>
      <c r="AV111" s="17"/>
      <c r="BK111" s="17"/>
      <c r="BZ111" s="17"/>
      <c r="CO111" s="17"/>
      <c r="DD111" s="17"/>
      <c r="DE111" s="17"/>
      <c r="DS111" s="17"/>
      <c r="DT111" s="17"/>
      <c r="EH111" s="17"/>
      <c r="EI111" s="17"/>
      <c r="EW111" s="17"/>
      <c r="EX111" s="17"/>
      <c r="FL111" s="17"/>
      <c r="FM111" s="17"/>
      <c r="GA111" s="17"/>
      <c r="GB111" s="17"/>
      <c r="GP111" s="17"/>
      <c r="GQ111" s="17"/>
      <c r="HE111" s="17"/>
      <c r="HF111" s="17"/>
      <c r="HT111" s="17"/>
      <c r="HU111" s="17"/>
      <c r="II111" s="42"/>
      <c r="IJ111" s="42"/>
      <c r="IK111" s="42"/>
      <c r="IL111" s="42"/>
      <c r="IM111" s="42"/>
      <c r="IN111" s="42"/>
      <c r="IO111" s="42"/>
      <c r="IP111" s="42"/>
      <c r="IQ111" s="42"/>
      <c r="IR111" s="42"/>
      <c r="IS111" s="42"/>
      <c r="IT111" s="42"/>
      <c r="IU111" s="42"/>
      <c r="IV111" s="42"/>
      <c r="IW111" s="42"/>
      <c r="IX111" s="42"/>
      <c r="IY111" s="42"/>
      <c r="IZ111" s="42"/>
      <c r="JA111" s="42"/>
      <c r="JB111" s="42"/>
      <c r="JC111" s="42"/>
      <c r="JD111" s="42"/>
      <c r="JE111" s="42"/>
      <c r="JF111" s="42"/>
      <c r="JG111" s="42"/>
      <c r="JH111" s="42"/>
      <c r="JI111" s="42"/>
      <c r="JJ111" s="42"/>
      <c r="JK111" s="42"/>
      <c r="JL111" s="42"/>
      <c r="JM111" s="42"/>
      <c r="JN111" s="42"/>
      <c r="JO111" s="42"/>
      <c r="JP111" s="42"/>
      <c r="JQ111" s="42"/>
      <c r="JR111" s="42"/>
      <c r="JS111" s="42"/>
      <c r="JT111" s="42"/>
      <c r="JU111" s="42"/>
      <c r="JV111" s="42"/>
      <c r="JW111" s="42"/>
      <c r="JX111" s="42"/>
      <c r="JY111" s="42"/>
      <c r="JZ111" s="42"/>
      <c r="KA111" s="42"/>
    </row>
    <row r="112" spans="1:287" ht="39">
      <c r="A112" s="13" t="s">
        <v>329</v>
      </c>
      <c r="B112" s="13" t="s">
        <v>282</v>
      </c>
      <c r="C112" s="15">
        <v>29.870594000000001</v>
      </c>
      <c r="D112" s="15">
        <v>-84.591994</v>
      </c>
      <c r="E112" s="15">
        <v>0</v>
      </c>
      <c r="G112" s="15">
        <v>0</v>
      </c>
      <c r="I112" s="15">
        <v>1</v>
      </c>
      <c r="J112" s="18" t="s">
        <v>1180</v>
      </c>
      <c r="K112" s="15">
        <v>0</v>
      </c>
      <c r="M112" s="15">
        <v>0</v>
      </c>
      <c r="O112" s="15">
        <v>0</v>
      </c>
      <c r="Q112" s="18" t="s">
        <v>1309</v>
      </c>
      <c r="R112" s="15">
        <v>29.872105999999999</v>
      </c>
      <c r="S112" s="15">
        <v>-84.587573000000006</v>
      </c>
      <c r="T112" s="15">
        <v>0</v>
      </c>
      <c r="V112" s="15">
        <v>0</v>
      </c>
      <c r="X112" s="15">
        <v>4</v>
      </c>
      <c r="Y112" s="18" t="s">
        <v>1310</v>
      </c>
      <c r="Z112" s="15">
        <v>0</v>
      </c>
      <c r="AB112" s="15">
        <v>0</v>
      </c>
      <c r="AD112" s="15">
        <v>0</v>
      </c>
      <c r="AF112" s="18" t="s">
        <v>1311</v>
      </c>
      <c r="AG112" s="15">
        <v>29.872152</v>
      </c>
      <c r="AH112" s="15">
        <v>-84.587216999999995</v>
      </c>
      <c r="AI112" s="15">
        <v>1</v>
      </c>
      <c r="AJ112" s="15" t="s">
        <v>1180</v>
      </c>
      <c r="AK112" s="15">
        <v>0</v>
      </c>
      <c r="AM112" s="15">
        <v>0</v>
      </c>
      <c r="AO112" s="15">
        <v>26</v>
      </c>
      <c r="AP112" s="15" t="s">
        <v>1312</v>
      </c>
      <c r="AQ112" s="15">
        <v>0</v>
      </c>
      <c r="AS112" s="15">
        <v>0</v>
      </c>
      <c r="AU112" s="15" t="s">
        <v>1313</v>
      </c>
      <c r="AV112" s="17"/>
      <c r="BK112" s="17"/>
      <c r="BZ112" s="17"/>
      <c r="CO112" s="17"/>
      <c r="DD112" s="17"/>
      <c r="DE112" s="17"/>
      <c r="DS112" s="17"/>
      <c r="DT112" s="17"/>
      <c r="EH112" s="17"/>
      <c r="EI112" s="17"/>
      <c r="EW112" s="17"/>
      <c r="EX112" s="17"/>
      <c r="FL112" s="17"/>
      <c r="FM112" s="17"/>
      <c r="GA112" s="17"/>
      <c r="GB112" s="17"/>
      <c r="GP112" s="17"/>
      <c r="GQ112" s="17"/>
      <c r="HE112" s="17"/>
      <c r="HF112" s="17"/>
      <c r="HT112" s="17"/>
      <c r="HU112" s="17"/>
      <c r="II112" s="42"/>
      <c r="IJ112" s="42"/>
      <c r="IK112" s="42"/>
      <c r="IL112" s="42"/>
      <c r="IM112" s="42"/>
      <c r="IN112" s="42"/>
      <c r="IO112" s="42"/>
      <c r="IP112" s="42"/>
      <c r="IQ112" s="42"/>
      <c r="IR112" s="42"/>
      <c r="IS112" s="42"/>
      <c r="IT112" s="42"/>
      <c r="IU112" s="42"/>
      <c r="IV112" s="42"/>
      <c r="IW112" s="42"/>
      <c r="IX112" s="42"/>
      <c r="IY112" s="42"/>
      <c r="IZ112" s="42"/>
      <c r="JA112" s="42"/>
      <c r="JB112" s="42"/>
      <c r="JC112" s="42"/>
      <c r="JD112" s="42"/>
      <c r="JE112" s="42"/>
      <c r="JF112" s="42"/>
      <c r="JG112" s="42"/>
      <c r="JH112" s="42"/>
      <c r="JI112" s="42"/>
      <c r="JJ112" s="42"/>
      <c r="JK112" s="42"/>
      <c r="JL112" s="42"/>
      <c r="JM112" s="42"/>
      <c r="JN112" s="42"/>
      <c r="JO112" s="42"/>
      <c r="JP112" s="42"/>
      <c r="JQ112" s="42"/>
      <c r="JR112" s="42"/>
      <c r="JS112" s="42"/>
      <c r="JT112" s="42"/>
      <c r="JU112" s="42"/>
      <c r="JV112" s="42"/>
      <c r="JW112" s="42"/>
      <c r="JX112" s="42"/>
      <c r="JY112" s="42"/>
      <c r="JZ112" s="42"/>
      <c r="KA112" s="42"/>
    </row>
    <row r="113" spans="1:287" ht="166.5">
      <c r="A113" s="13" t="s">
        <v>333</v>
      </c>
      <c r="B113" s="13" t="s">
        <v>282</v>
      </c>
      <c r="C113" s="15">
        <v>29.599889999999998</v>
      </c>
      <c r="D113" s="15">
        <v>-85.062579999999997</v>
      </c>
      <c r="E113" s="15">
        <v>0</v>
      </c>
      <c r="G113" s="15">
        <v>0</v>
      </c>
      <c r="I113" s="15">
        <v>0</v>
      </c>
      <c r="J113" s="18"/>
      <c r="K113" s="15">
        <v>0</v>
      </c>
      <c r="M113" s="15">
        <v>1</v>
      </c>
      <c r="N113" s="15" t="s">
        <v>1294</v>
      </c>
      <c r="O113" s="15">
        <v>0</v>
      </c>
      <c r="P113" s="36"/>
      <c r="Q113" s="18" t="s">
        <v>1314</v>
      </c>
      <c r="R113" s="15">
        <v>29.611640000000001</v>
      </c>
      <c r="S113" s="15">
        <v>-85.079040000000006</v>
      </c>
      <c r="T113" s="15">
        <v>0</v>
      </c>
      <c r="V113" s="15">
        <v>0</v>
      </c>
      <c r="X113" s="15">
        <v>0</v>
      </c>
      <c r="Y113" s="19"/>
      <c r="Z113" s="15">
        <v>0</v>
      </c>
      <c r="AB113" s="15">
        <v>0</v>
      </c>
      <c r="AD113" s="15">
        <v>0</v>
      </c>
      <c r="AF113" s="18" t="s">
        <v>1315</v>
      </c>
      <c r="AG113" s="15">
        <v>29.61562</v>
      </c>
      <c r="AH113" s="15">
        <v>-85.085999999999999</v>
      </c>
      <c r="AI113" s="15">
        <v>0</v>
      </c>
      <c r="AK113" s="15">
        <v>0</v>
      </c>
      <c r="AM113" s="15">
        <v>0</v>
      </c>
      <c r="AO113" s="15">
        <v>0</v>
      </c>
      <c r="AQ113" s="15">
        <v>2</v>
      </c>
      <c r="AR113" s="15" t="s">
        <v>1316</v>
      </c>
      <c r="AS113" s="15">
        <v>0</v>
      </c>
      <c r="AV113" s="15">
        <v>29.616859999999999</v>
      </c>
      <c r="AW113" s="15">
        <v>-85.088489999999993</v>
      </c>
      <c r="AX113" s="15">
        <v>0</v>
      </c>
      <c r="AZ113" s="15">
        <v>0</v>
      </c>
      <c r="BB113" s="15">
        <v>0</v>
      </c>
      <c r="BD113" s="15">
        <v>0</v>
      </c>
      <c r="BF113" s="15">
        <v>2</v>
      </c>
      <c r="BG113" s="15" t="s">
        <v>1317</v>
      </c>
      <c r="BH113" s="15">
        <v>0</v>
      </c>
      <c r="BJ113" s="15" t="s">
        <v>1318</v>
      </c>
      <c r="BK113" s="15">
        <v>29.60285</v>
      </c>
      <c r="BL113" s="15">
        <v>-85.066500000000005</v>
      </c>
      <c r="BM113" s="15">
        <v>0</v>
      </c>
      <c r="BO113" s="15">
        <v>0</v>
      </c>
      <c r="BQ113" s="15">
        <v>0</v>
      </c>
      <c r="BS113" s="15">
        <v>0</v>
      </c>
      <c r="BU113" s="15">
        <v>3</v>
      </c>
      <c r="BV113" s="15" t="s">
        <v>1319</v>
      </c>
      <c r="BW113" s="15">
        <v>0</v>
      </c>
      <c r="BY113" s="15" t="s">
        <v>1320</v>
      </c>
      <c r="BZ113" s="15">
        <v>29.611716000000001</v>
      </c>
      <c r="CA113" s="15">
        <v>-84.958703999999997</v>
      </c>
      <c r="CB113" s="15">
        <v>0</v>
      </c>
      <c r="CD113" s="15">
        <v>0</v>
      </c>
      <c r="CF113" s="15">
        <v>0</v>
      </c>
      <c r="CH113" s="15">
        <v>0</v>
      </c>
      <c r="CJ113" s="15">
        <v>0</v>
      </c>
      <c r="CL113" s="15">
        <v>0</v>
      </c>
      <c r="CN113" s="15" t="s">
        <v>1321</v>
      </c>
      <c r="CO113" s="15">
        <v>29.612935</v>
      </c>
      <c r="CP113" s="15">
        <v>-84.959909999999994</v>
      </c>
      <c r="CQ113" s="15">
        <v>0</v>
      </c>
      <c r="CS113" s="15">
        <v>0</v>
      </c>
      <c r="CU113" s="15">
        <v>0</v>
      </c>
      <c r="CW113" s="15">
        <v>0</v>
      </c>
      <c r="CY113" s="15">
        <v>2</v>
      </c>
      <c r="CZ113" s="15" t="s">
        <v>1322</v>
      </c>
      <c r="DA113" s="15">
        <v>0</v>
      </c>
      <c r="DC113" s="15" t="s">
        <v>1323</v>
      </c>
      <c r="DD113" s="17"/>
      <c r="DE113" s="17"/>
      <c r="DS113" s="17"/>
      <c r="DT113" s="17"/>
      <c r="EH113" s="17"/>
      <c r="EI113" s="17"/>
      <c r="EW113" s="17"/>
      <c r="EX113" s="17"/>
      <c r="FL113" s="17"/>
      <c r="FM113" s="17"/>
      <c r="GA113" s="17"/>
      <c r="GB113" s="17"/>
      <c r="GP113" s="17"/>
      <c r="GQ113" s="17"/>
      <c r="HE113" s="17"/>
      <c r="HF113" s="17"/>
      <c r="HT113" s="17"/>
      <c r="HU113" s="17"/>
      <c r="II113" s="42"/>
      <c r="IJ113" s="42"/>
      <c r="IK113" s="42"/>
      <c r="IL113" s="42"/>
      <c r="IM113" s="42"/>
      <c r="IN113" s="42"/>
      <c r="IO113" s="42"/>
      <c r="IP113" s="42"/>
      <c r="IQ113" s="42"/>
      <c r="IR113" s="42"/>
      <c r="IS113" s="42"/>
      <c r="IT113" s="42"/>
      <c r="IU113" s="42"/>
      <c r="IV113" s="42"/>
      <c r="IW113" s="42"/>
      <c r="IX113" s="42"/>
      <c r="IY113" s="42"/>
      <c r="IZ113" s="42"/>
      <c r="JA113" s="42"/>
      <c r="JB113" s="42"/>
      <c r="JC113" s="42"/>
      <c r="JD113" s="42"/>
      <c r="JE113" s="42"/>
      <c r="JF113" s="42"/>
      <c r="JG113" s="42"/>
      <c r="JH113" s="42"/>
      <c r="JI113" s="42"/>
      <c r="JJ113" s="42"/>
      <c r="JK113" s="42"/>
      <c r="JL113" s="42"/>
      <c r="JM113" s="42"/>
      <c r="JN113" s="42"/>
      <c r="JO113" s="42"/>
      <c r="JP113" s="42"/>
      <c r="JQ113" s="42"/>
      <c r="JR113" s="42"/>
      <c r="JS113" s="42"/>
      <c r="JT113" s="42"/>
      <c r="JU113" s="42"/>
      <c r="JV113" s="42"/>
      <c r="JW113" s="42"/>
      <c r="JX113" s="42"/>
      <c r="JY113" s="42"/>
      <c r="JZ113" s="42"/>
      <c r="KA113" s="42"/>
    </row>
    <row r="114" spans="1:287">
      <c r="A114" s="13" t="s">
        <v>334</v>
      </c>
      <c r="B114" s="13" t="s">
        <v>282</v>
      </c>
      <c r="C114" s="15">
        <v>29.645510000000002</v>
      </c>
      <c r="D114" s="15">
        <v>-84.924480000000003</v>
      </c>
      <c r="J114" s="19"/>
      <c r="Q114" s="59" t="s">
        <v>1324</v>
      </c>
      <c r="R114" s="17"/>
      <c r="Y114" s="19"/>
      <c r="AF114" s="19"/>
      <c r="AG114" s="17"/>
      <c r="AV114" s="17"/>
      <c r="BK114" s="17"/>
      <c r="BZ114" s="17"/>
      <c r="CO114" s="17"/>
      <c r="DD114" s="17"/>
      <c r="DE114" s="17"/>
      <c r="DS114" s="17"/>
      <c r="DT114" s="17"/>
      <c r="EH114" s="17"/>
      <c r="EI114" s="17"/>
      <c r="EW114" s="17"/>
      <c r="EX114" s="17"/>
      <c r="FL114" s="17"/>
      <c r="FM114" s="17"/>
      <c r="GA114" s="17"/>
      <c r="GB114" s="17"/>
      <c r="GP114" s="17"/>
      <c r="GQ114" s="17"/>
      <c r="HE114" s="17"/>
      <c r="HF114" s="17"/>
      <c r="HT114" s="17"/>
      <c r="HU114" s="17"/>
      <c r="II114" s="42"/>
      <c r="IJ114" s="42"/>
      <c r="IK114" s="42"/>
      <c r="IL114" s="42"/>
      <c r="IM114" s="42"/>
      <c r="IN114" s="42"/>
      <c r="IO114" s="42"/>
      <c r="IP114" s="42"/>
      <c r="IQ114" s="42"/>
      <c r="IR114" s="42"/>
      <c r="IS114" s="42"/>
      <c r="IT114" s="42"/>
      <c r="IU114" s="42"/>
      <c r="IV114" s="42"/>
      <c r="IW114" s="42"/>
      <c r="IX114" s="42"/>
      <c r="IY114" s="42"/>
      <c r="IZ114" s="42"/>
      <c r="JA114" s="42"/>
      <c r="JB114" s="42"/>
      <c r="JC114" s="42"/>
      <c r="JD114" s="42"/>
      <c r="JE114" s="42"/>
      <c r="JF114" s="42"/>
      <c r="JG114" s="42"/>
      <c r="JH114" s="42"/>
      <c r="JI114" s="42"/>
      <c r="JJ114" s="42"/>
      <c r="JK114" s="42"/>
      <c r="JL114" s="42"/>
      <c r="JM114" s="42"/>
      <c r="JN114" s="42"/>
      <c r="JO114" s="42"/>
      <c r="JP114" s="42"/>
      <c r="JQ114" s="42"/>
      <c r="JR114" s="42"/>
      <c r="JS114" s="42"/>
      <c r="JT114" s="42"/>
      <c r="JU114" s="42"/>
      <c r="JV114" s="42"/>
      <c r="JW114" s="42"/>
      <c r="JX114" s="42"/>
      <c r="JY114" s="42"/>
      <c r="JZ114" s="42"/>
      <c r="KA114" s="39"/>
    </row>
    <row r="115" spans="1:287">
      <c r="A115" s="24" t="s">
        <v>337</v>
      </c>
      <c r="B115" s="24" t="s">
        <v>282</v>
      </c>
      <c r="C115" s="17"/>
      <c r="J115" s="18"/>
      <c r="Q115" s="18"/>
      <c r="R115" s="17"/>
      <c r="Y115" s="19"/>
      <c r="AF115" s="19"/>
      <c r="AG115" s="17"/>
      <c r="AV115" s="17"/>
      <c r="BK115" s="17"/>
      <c r="BZ115" s="17"/>
      <c r="CO115" s="17"/>
      <c r="DD115" s="17"/>
      <c r="DE115" s="17"/>
      <c r="DS115" s="17"/>
      <c r="DT115" s="17"/>
      <c r="EH115" s="17"/>
      <c r="EI115" s="17"/>
      <c r="EW115" s="17"/>
      <c r="EX115" s="17"/>
      <c r="FL115" s="17"/>
      <c r="FM115" s="17"/>
      <c r="GA115" s="17"/>
      <c r="GB115" s="17"/>
      <c r="GP115" s="17"/>
      <c r="GQ115" s="17"/>
      <c r="HE115" s="17"/>
      <c r="HF115" s="17"/>
      <c r="HT115" s="17"/>
      <c r="HU115" s="17"/>
      <c r="II115" s="42"/>
      <c r="IJ115" s="42"/>
      <c r="IK115" s="42"/>
      <c r="IL115" s="42"/>
      <c r="IM115" s="42"/>
      <c r="IN115" s="42"/>
      <c r="IO115" s="42"/>
      <c r="IP115" s="42"/>
      <c r="IQ115" s="42"/>
      <c r="IR115" s="42"/>
      <c r="IS115" s="42"/>
      <c r="IT115" s="42"/>
      <c r="IU115" s="42"/>
      <c r="IV115" s="42"/>
      <c r="IW115" s="42"/>
      <c r="IX115" s="42"/>
      <c r="IY115" s="42"/>
      <c r="IZ115" s="42"/>
      <c r="JA115" s="42"/>
      <c r="JB115" s="42"/>
      <c r="JC115" s="42"/>
      <c r="JD115" s="42"/>
      <c r="JE115" s="42"/>
      <c r="JF115" s="42"/>
      <c r="JG115" s="42"/>
      <c r="JH115" s="42"/>
      <c r="JI115" s="42"/>
      <c r="JJ115" s="42"/>
      <c r="JK115" s="42"/>
      <c r="JL115" s="42"/>
      <c r="JM115" s="42"/>
      <c r="JN115" s="42"/>
      <c r="JO115" s="42"/>
      <c r="JP115" s="42"/>
      <c r="JQ115" s="42"/>
      <c r="JR115" s="42"/>
      <c r="JS115" s="42"/>
      <c r="JT115" s="42"/>
      <c r="JU115" s="42"/>
      <c r="JV115" s="42"/>
      <c r="JW115" s="42"/>
      <c r="JX115" s="42"/>
      <c r="JY115" s="42"/>
      <c r="JZ115" s="42"/>
      <c r="KA115" s="42"/>
    </row>
    <row r="116" spans="1:287" ht="31.5">
      <c r="A116" s="13" t="s">
        <v>338</v>
      </c>
      <c r="B116" s="13" t="s">
        <v>282</v>
      </c>
      <c r="C116" s="15">
        <v>29.613688</v>
      </c>
      <c r="D116" s="59">
        <v>-84.957972999999996</v>
      </c>
      <c r="E116" s="15">
        <v>0</v>
      </c>
      <c r="G116" s="15">
        <v>5</v>
      </c>
      <c r="I116" s="15">
        <v>0</v>
      </c>
      <c r="J116" s="18"/>
      <c r="K116" s="15">
        <v>0</v>
      </c>
      <c r="M116" s="15">
        <v>0</v>
      </c>
      <c r="O116" s="15">
        <v>0</v>
      </c>
      <c r="Q116" s="18"/>
      <c r="R116" s="17"/>
      <c r="Y116" s="19"/>
      <c r="AF116" s="19"/>
      <c r="AG116" s="17"/>
      <c r="AV116" s="17"/>
      <c r="BK116" s="17"/>
      <c r="BZ116" s="17"/>
      <c r="CO116" s="17"/>
      <c r="DD116" s="17"/>
      <c r="DE116" s="17"/>
      <c r="DS116" s="17"/>
      <c r="DT116" s="17"/>
      <c r="EH116" s="17"/>
      <c r="EI116" s="17"/>
      <c r="EW116" s="17"/>
      <c r="EX116" s="17"/>
      <c r="FL116" s="17"/>
      <c r="FM116" s="17"/>
      <c r="GA116" s="17"/>
      <c r="GB116" s="17"/>
      <c r="GP116" s="17"/>
      <c r="GQ116" s="17"/>
      <c r="HE116" s="17"/>
      <c r="HF116" s="17"/>
      <c r="HT116" s="17"/>
      <c r="HU116" s="17"/>
      <c r="II116" s="42"/>
      <c r="IJ116" s="42"/>
      <c r="IK116" s="42"/>
      <c r="IL116" s="42"/>
      <c r="IM116" s="42"/>
      <c r="IN116" s="42"/>
      <c r="IO116" s="42"/>
      <c r="IP116" s="42"/>
      <c r="IQ116" s="42"/>
      <c r="IR116" s="42"/>
      <c r="IS116" s="42"/>
      <c r="IT116" s="42"/>
      <c r="IU116" s="42"/>
      <c r="IV116" s="42"/>
      <c r="IW116" s="42"/>
      <c r="IX116" s="42"/>
      <c r="IY116" s="42"/>
      <c r="IZ116" s="42"/>
      <c r="JA116" s="42"/>
      <c r="JB116" s="42"/>
      <c r="JC116" s="42"/>
      <c r="JD116" s="42"/>
      <c r="JE116" s="42"/>
      <c r="JF116" s="42"/>
      <c r="JG116" s="42"/>
      <c r="JH116" s="42"/>
      <c r="JI116" s="42"/>
      <c r="JJ116" s="42"/>
      <c r="JK116" s="42"/>
      <c r="JL116" s="42"/>
      <c r="JM116" s="42"/>
      <c r="JN116" s="42"/>
      <c r="JO116" s="42"/>
      <c r="JP116" s="42"/>
      <c r="JQ116" s="42"/>
      <c r="JR116" s="42"/>
      <c r="JS116" s="42"/>
      <c r="JT116" s="42"/>
      <c r="JU116" s="42"/>
      <c r="JV116" s="42"/>
      <c r="JW116" s="42"/>
      <c r="JX116" s="42"/>
      <c r="JY116" s="42"/>
      <c r="JZ116" s="42"/>
      <c r="KA116" s="42"/>
    </row>
    <row r="117" spans="1:287">
      <c r="A117" s="13" t="s">
        <v>342</v>
      </c>
      <c r="B117" s="13" t="s">
        <v>282</v>
      </c>
      <c r="C117" s="17"/>
      <c r="J117" s="19"/>
      <c r="Q117" s="19"/>
      <c r="R117" s="17"/>
      <c r="Y117" s="19"/>
      <c r="AF117" s="19"/>
      <c r="AG117" s="17"/>
      <c r="AV117" s="17"/>
      <c r="BK117" s="17"/>
      <c r="BZ117" s="17"/>
      <c r="CO117" s="17"/>
      <c r="DD117" s="17"/>
      <c r="DE117" s="17"/>
      <c r="DS117" s="17"/>
      <c r="DT117" s="17"/>
      <c r="EH117" s="17"/>
      <c r="EI117" s="17"/>
      <c r="EW117" s="17"/>
      <c r="EX117" s="17"/>
      <c r="FL117" s="17"/>
      <c r="FM117" s="17"/>
      <c r="GA117" s="17"/>
      <c r="GB117" s="17"/>
      <c r="GP117" s="17"/>
      <c r="GQ117" s="17"/>
      <c r="HE117" s="17"/>
      <c r="HF117" s="17"/>
      <c r="HT117" s="17"/>
      <c r="HU117" s="17"/>
      <c r="II117" s="42"/>
      <c r="IJ117" s="42"/>
      <c r="IK117" s="42"/>
      <c r="IL117" s="42"/>
      <c r="IM117" s="42"/>
      <c r="IN117" s="42"/>
      <c r="IO117" s="42"/>
      <c r="IP117" s="42"/>
      <c r="IQ117" s="42"/>
      <c r="IR117" s="42"/>
      <c r="IS117" s="42"/>
      <c r="IT117" s="42"/>
      <c r="IU117" s="42"/>
      <c r="IV117" s="42"/>
      <c r="IW117" s="42"/>
      <c r="IX117" s="42"/>
      <c r="IY117" s="42"/>
      <c r="IZ117" s="42"/>
      <c r="JA117" s="42"/>
      <c r="JB117" s="42"/>
      <c r="JC117" s="42"/>
      <c r="JD117" s="42"/>
      <c r="JE117" s="42"/>
      <c r="JF117" s="42"/>
      <c r="JG117" s="42"/>
      <c r="JH117" s="42"/>
      <c r="JI117" s="42"/>
      <c r="JJ117" s="42"/>
      <c r="JK117" s="42"/>
      <c r="JL117" s="42"/>
      <c r="JM117" s="42"/>
      <c r="JN117" s="42"/>
      <c r="JO117" s="42"/>
      <c r="JP117" s="42"/>
      <c r="JQ117" s="42"/>
      <c r="JR117" s="42"/>
      <c r="JS117" s="42"/>
      <c r="JT117" s="42"/>
      <c r="JU117" s="42"/>
      <c r="JV117" s="42"/>
      <c r="JW117" s="42"/>
      <c r="JX117" s="42"/>
      <c r="JY117" s="42"/>
      <c r="JZ117" s="42"/>
      <c r="KA117" s="42"/>
    </row>
    <row r="118" spans="1:287" ht="31.5">
      <c r="A118" s="24" t="s">
        <v>344</v>
      </c>
      <c r="B118" s="24" t="s">
        <v>282</v>
      </c>
      <c r="C118" s="17"/>
      <c r="J118" s="18"/>
      <c r="Q118" s="18"/>
      <c r="R118" s="17"/>
      <c r="Y118" s="18"/>
      <c r="AF118" s="18"/>
      <c r="AG118" s="17"/>
      <c r="AV118" s="17"/>
      <c r="BK118" s="17"/>
      <c r="BZ118" s="17"/>
      <c r="CO118" s="17"/>
      <c r="DD118" s="17"/>
      <c r="DE118" s="17"/>
      <c r="DS118" s="17"/>
      <c r="DT118" s="17"/>
      <c r="EH118" s="17"/>
      <c r="EI118" s="17"/>
      <c r="EW118" s="17"/>
      <c r="EX118" s="17"/>
      <c r="FL118" s="17"/>
      <c r="FM118" s="17"/>
      <c r="GA118" s="17"/>
      <c r="GB118" s="17"/>
      <c r="GP118" s="17"/>
      <c r="GQ118" s="17"/>
      <c r="HE118" s="17"/>
      <c r="HF118" s="17"/>
      <c r="HT118" s="17"/>
      <c r="HU118" s="17"/>
      <c r="II118" s="42"/>
      <c r="IJ118" s="42"/>
      <c r="IK118" s="42"/>
      <c r="IL118" s="42"/>
      <c r="IM118" s="42"/>
      <c r="IN118" s="42"/>
      <c r="IO118" s="42"/>
      <c r="IP118" s="42"/>
      <c r="IQ118" s="42"/>
      <c r="IR118" s="42"/>
      <c r="IS118" s="42"/>
      <c r="IT118" s="42"/>
      <c r="IU118" s="42"/>
      <c r="IV118" s="42"/>
      <c r="IW118" s="42"/>
      <c r="IX118" s="42"/>
      <c r="IY118" s="42"/>
      <c r="IZ118" s="42"/>
      <c r="JA118" s="42"/>
      <c r="JB118" s="42"/>
      <c r="JC118" s="42"/>
      <c r="JD118" s="42"/>
      <c r="JE118" s="42"/>
      <c r="JF118" s="42"/>
      <c r="JG118" s="42"/>
      <c r="JH118" s="42"/>
      <c r="JI118" s="42"/>
      <c r="JJ118" s="42"/>
      <c r="JK118" s="42"/>
      <c r="JL118" s="42"/>
      <c r="JM118" s="42"/>
      <c r="JN118" s="42"/>
      <c r="JO118" s="42"/>
      <c r="JP118" s="42"/>
      <c r="JQ118" s="42"/>
      <c r="JR118" s="42"/>
      <c r="JS118" s="42"/>
      <c r="JT118" s="42"/>
      <c r="JU118" s="42"/>
      <c r="JV118" s="42"/>
      <c r="JW118" s="42"/>
      <c r="JX118" s="42"/>
      <c r="JY118" s="42"/>
      <c r="JZ118" s="42"/>
      <c r="KA118" s="42"/>
    </row>
    <row r="119" spans="1:287">
      <c r="A119" s="13" t="s">
        <v>347</v>
      </c>
      <c r="B119" s="13" t="s">
        <v>282</v>
      </c>
      <c r="C119" s="15">
        <v>29.689830000000001</v>
      </c>
      <c r="D119" s="15">
        <v>-84.878569999999996</v>
      </c>
      <c r="E119" s="15">
        <v>2</v>
      </c>
      <c r="F119" s="15" t="s">
        <v>1246</v>
      </c>
      <c r="J119" s="18"/>
      <c r="Q119" s="18"/>
      <c r="R119" s="17"/>
      <c r="Y119" s="18"/>
      <c r="AF119" s="18"/>
      <c r="AG119" s="17"/>
      <c r="AV119" s="17"/>
      <c r="BK119" s="17"/>
      <c r="BZ119" s="17"/>
      <c r="CO119" s="17"/>
      <c r="DD119" s="17"/>
      <c r="DE119" s="17"/>
      <c r="DS119" s="17"/>
      <c r="DT119" s="17"/>
      <c r="EH119" s="17"/>
      <c r="EI119" s="17"/>
      <c r="EW119" s="17"/>
      <c r="EX119" s="17"/>
      <c r="FL119" s="17"/>
      <c r="FM119" s="17"/>
      <c r="GA119" s="17"/>
      <c r="GB119" s="17"/>
      <c r="GP119" s="17"/>
      <c r="GQ119" s="17"/>
      <c r="HE119" s="17"/>
      <c r="HF119" s="17"/>
      <c r="HT119" s="17"/>
      <c r="HU119" s="17"/>
      <c r="II119" s="42"/>
      <c r="IJ119" s="42"/>
      <c r="IK119" s="42"/>
      <c r="IL119" s="42"/>
      <c r="IM119" s="42"/>
      <c r="IN119" s="42"/>
      <c r="IO119" s="42"/>
      <c r="IP119" s="42"/>
      <c r="IQ119" s="42"/>
      <c r="IR119" s="42"/>
      <c r="IS119" s="42"/>
      <c r="IT119" s="42"/>
      <c r="IU119" s="42"/>
      <c r="IV119" s="42"/>
      <c r="IW119" s="42"/>
      <c r="IX119" s="42"/>
      <c r="IY119" s="42"/>
      <c r="IZ119" s="42"/>
      <c r="JA119" s="42"/>
      <c r="JB119" s="42"/>
      <c r="JC119" s="42"/>
      <c r="JD119" s="42"/>
      <c r="JE119" s="42"/>
      <c r="JF119" s="42"/>
      <c r="JG119" s="42"/>
      <c r="JH119" s="42"/>
      <c r="JI119" s="42"/>
      <c r="JJ119" s="42"/>
      <c r="JK119" s="42"/>
      <c r="JL119" s="42"/>
      <c r="JM119" s="42"/>
      <c r="JN119" s="42"/>
      <c r="JO119" s="42"/>
      <c r="JP119" s="42"/>
      <c r="JQ119" s="42"/>
      <c r="JR119" s="42"/>
      <c r="JS119" s="42"/>
      <c r="JT119" s="42"/>
      <c r="JU119" s="42"/>
      <c r="JV119" s="42"/>
      <c r="JW119" s="42"/>
      <c r="JX119" s="42"/>
      <c r="JY119" s="42"/>
      <c r="JZ119" s="42"/>
      <c r="KA119" s="42"/>
    </row>
    <row r="120" spans="1:287">
      <c r="A120" s="13" t="s">
        <v>349</v>
      </c>
      <c r="B120" s="13" t="s">
        <v>282</v>
      </c>
      <c r="C120" s="15">
        <v>29.749089999999999</v>
      </c>
      <c r="D120" s="15">
        <v>-84.711569999999995</v>
      </c>
      <c r="E120" s="15">
        <v>0</v>
      </c>
      <c r="F120" s="15">
        <v>0</v>
      </c>
      <c r="G120" s="15">
        <v>0</v>
      </c>
      <c r="H120" s="15">
        <v>0</v>
      </c>
      <c r="I120" s="15">
        <v>0</v>
      </c>
      <c r="J120" s="18">
        <v>0</v>
      </c>
      <c r="K120" s="15">
        <v>0</v>
      </c>
      <c r="L120" s="15">
        <v>0</v>
      </c>
      <c r="M120" s="15">
        <v>1</v>
      </c>
      <c r="N120" s="15" t="s">
        <v>1325</v>
      </c>
      <c r="O120" s="15">
        <v>0</v>
      </c>
      <c r="P120" s="15">
        <v>0</v>
      </c>
      <c r="Q120" s="18">
        <v>0</v>
      </c>
      <c r="R120" s="15">
        <v>29.756039999999999</v>
      </c>
      <c r="S120" s="15">
        <v>-84.706500000000005</v>
      </c>
      <c r="T120" s="15">
        <v>0</v>
      </c>
      <c r="U120" s="15">
        <v>0</v>
      </c>
      <c r="V120" s="15">
        <v>0</v>
      </c>
      <c r="W120" s="15">
        <v>0</v>
      </c>
      <c r="X120" s="15">
        <v>1</v>
      </c>
      <c r="Y120" s="18">
        <v>0</v>
      </c>
      <c r="Z120" s="15">
        <v>0</v>
      </c>
      <c r="AA120" s="15">
        <v>0</v>
      </c>
      <c r="AB120" s="15">
        <v>0</v>
      </c>
      <c r="AC120" s="15">
        <v>0</v>
      </c>
      <c r="AD120" s="15">
        <v>0</v>
      </c>
      <c r="AE120" s="15">
        <v>0</v>
      </c>
      <c r="AF120" s="18">
        <v>0</v>
      </c>
      <c r="AG120" s="15">
        <v>29.76445</v>
      </c>
      <c r="AH120" s="15">
        <v>-84.694410000000005</v>
      </c>
      <c r="AI120" s="15">
        <v>0</v>
      </c>
      <c r="AJ120" s="15">
        <v>0</v>
      </c>
      <c r="AK120" s="15">
        <v>0</v>
      </c>
      <c r="AL120" s="15">
        <v>0</v>
      </c>
      <c r="AM120" s="15">
        <v>1</v>
      </c>
      <c r="AN120" s="15">
        <v>0</v>
      </c>
      <c r="AO120" s="15">
        <v>0</v>
      </c>
      <c r="AP120" s="15">
        <v>0</v>
      </c>
      <c r="AQ120" s="15">
        <v>0</v>
      </c>
      <c r="AR120" s="15">
        <v>0</v>
      </c>
      <c r="AS120" s="15">
        <v>0</v>
      </c>
      <c r="AT120" s="15">
        <v>0</v>
      </c>
      <c r="AU120" s="15">
        <v>0</v>
      </c>
      <c r="AV120" s="15">
        <v>29.768660000000001</v>
      </c>
      <c r="AW120" s="15">
        <v>-84.691320000000005</v>
      </c>
      <c r="AX120" s="15">
        <v>0</v>
      </c>
      <c r="AY120" s="15">
        <v>0</v>
      </c>
      <c r="AZ120" s="15">
        <v>0</v>
      </c>
      <c r="BA120" s="15">
        <v>0</v>
      </c>
      <c r="BB120" s="15">
        <v>0</v>
      </c>
      <c r="BC120" s="15">
        <v>0</v>
      </c>
      <c r="BD120" s="15">
        <v>0</v>
      </c>
      <c r="BE120" s="15">
        <v>0</v>
      </c>
      <c r="BF120" s="15">
        <v>4</v>
      </c>
      <c r="BG120" s="15" t="s">
        <v>1326</v>
      </c>
      <c r="BH120" s="15">
        <v>0</v>
      </c>
      <c r="BI120" s="15">
        <v>0</v>
      </c>
      <c r="BJ120" s="15">
        <v>0</v>
      </c>
      <c r="BK120" s="15">
        <v>29.761980000000001</v>
      </c>
      <c r="BL120" s="15">
        <v>-84.694019999999995</v>
      </c>
      <c r="BM120" s="15">
        <v>0</v>
      </c>
      <c r="BN120" s="15">
        <v>0</v>
      </c>
      <c r="BO120" s="15">
        <v>0</v>
      </c>
      <c r="BP120" s="15">
        <v>0</v>
      </c>
      <c r="BQ120" s="15">
        <v>0</v>
      </c>
      <c r="BR120" s="15">
        <v>0</v>
      </c>
      <c r="BS120" s="15">
        <v>0</v>
      </c>
      <c r="BT120" s="15">
        <v>0</v>
      </c>
      <c r="BU120" s="15">
        <v>2</v>
      </c>
      <c r="BV120" s="15" t="s">
        <v>1327</v>
      </c>
      <c r="BW120" s="15">
        <v>0</v>
      </c>
      <c r="BX120" s="15">
        <v>0</v>
      </c>
      <c r="BY120" s="15">
        <v>0</v>
      </c>
      <c r="BZ120" s="15">
        <v>29.760549999999999</v>
      </c>
      <c r="CA120" s="15">
        <v>-84.696029999999993</v>
      </c>
      <c r="CB120" s="15">
        <v>0</v>
      </c>
      <c r="CC120" s="15">
        <v>0</v>
      </c>
      <c r="CD120" s="15">
        <v>0</v>
      </c>
      <c r="CE120" s="15">
        <v>0</v>
      </c>
      <c r="CF120" s="15">
        <v>0</v>
      </c>
      <c r="CG120" s="15">
        <v>0</v>
      </c>
      <c r="CH120" s="15">
        <v>0</v>
      </c>
      <c r="CI120" s="15">
        <v>0</v>
      </c>
      <c r="CJ120" s="15">
        <v>3</v>
      </c>
      <c r="CK120" s="15" t="s">
        <v>1328</v>
      </c>
      <c r="CL120" s="15">
        <v>0</v>
      </c>
      <c r="CM120" s="15">
        <v>0</v>
      </c>
      <c r="CN120" s="15">
        <v>0</v>
      </c>
      <c r="CO120" s="15">
        <v>29.737939999999998</v>
      </c>
      <c r="CP120" s="15">
        <v>-84.72099</v>
      </c>
      <c r="CQ120" s="15">
        <v>0</v>
      </c>
      <c r="CR120" s="15">
        <v>0</v>
      </c>
      <c r="CS120" s="15">
        <v>0</v>
      </c>
      <c r="CT120" s="15">
        <v>0</v>
      </c>
      <c r="CU120" s="15">
        <v>0</v>
      </c>
      <c r="CV120" s="15">
        <v>0</v>
      </c>
      <c r="CW120" s="15">
        <v>0</v>
      </c>
      <c r="CX120" s="15">
        <v>0</v>
      </c>
      <c r="CY120" s="15">
        <v>3</v>
      </c>
      <c r="CZ120" s="15" t="s">
        <v>1329</v>
      </c>
      <c r="DA120" s="15">
        <v>0</v>
      </c>
      <c r="DB120" s="15">
        <v>0</v>
      </c>
      <c r="DC120" s="15">
        <v>0</v>
      </c>
      <c r="DD120" s="15">
        <v>29.730799999999999</v>
      </c>
      <c r="DE120" s="15">
        <v>-84.729460000000003</v>
      </c>
      <c r="DF120" s="15">
        <v>0</v>
      </c>
      <c r="DG120" s="15">
        <v>0</v>
      </c>
      <c r="DH120" s="15">
        <v>0</v>
      </c>
      <c r="DI120" s="15">
        <v>0</v>
      </c>
      <c r="DJ120" s="15">
        <v>0</v>
      </c>
      <c r="DK120" s="15">
        <v>0</v>
      </c>
      <c r="DL120" s="15">
        <v>0</v>
      </c>
      <c r="DM120" s="15">
        <v>0</v>
      </c>
      <c r="DN120" s="15">
        <v>2</v>
      </c>
      <c r="DO120" s="15" t="s">
        <v>1330</v>
      </c>
      <c r="DP120" s="15">
        <v>0</v>
      </c>
      <c r="DQ120" s="15">
        <v>0</v>
      </c>
      <c r="DR120" s="15">
        <v>0</v>
      </c>
      <c r="DS120" s="15">
        <v>29.71659</v>
      </c>
      <c r="DT120" s="15">
        <v>-84.746250000000003</v>
      </c>
      <c r="DU120" s="15">
        <v>0</v>
      </c>
      <c r="DV120" s="15">
        <v>0</v>
      </c>
      <c r="DW120" s="15">
        <v>0</v>
      </c>
      <c r="DX120" s="15">
        <v>0</v>
      </c>
      <c r="DY120" s="15">
        <v>0</v>
      </c>
      <c r="DZ120" s="15">
        <v>0</v>
      </c>
      <c r="EA120" s="15">
        <v>0</v>
      </c>
      <c r="EB120" s="15">
        <v>0</v>
      </c>
      <c r="EC120" s="15">
        <v>2</v>
      </c>
      <c r="ED120" s="15" t="s">
        <v>1331</v>
      </c>
      <c r="EE120" s="15">
        <v>0</v>
      </c>
      <c r="EF120" s="15">
        <v>0</v>
      </c>
      <c r="EG120" s="15">
        <v>0</v>
      </c>
      <c r="EH120" s="17"/>
      <c r="EI120" s="17"/>
      <c r="EW120" s="17"/>
      <c r="EX120" s="17"/>
      <c r="FL120" s="17"/>
      <c r="FM120" s="17"/>
      <c r="GA120" s="17"/>
      <c r="GB120" s="17"/>
      <c r="GP120" s="17"/>
      <c r="GQ120" s="17"/>
      <c r="HE120" s="17"/>
      <c r="HF120" s="17"/>
      <c r="HT120" s="17"/>
      <c r="HU120" s="17"/>
      <c r="II120" s="42"/>
      <c r="IJ120" s="42"/>
      <c r="IK120" s="42"/>
      <c r="IL120" s="42"/>
      <c r="IM120" s="42"/>
      <c r="IN120" s="42"/>
      <c r="IO120" s="42"/>
      <c r="IP120" s="42"/>
      <c r="IQ120" s="42"/>
      <c r="IR120" s="42"/>
      <c r="IS120" s="42"/>
      <c r="IT120" s="42"/>
      <c r="IU120" s="42"/>
      <c r="IV120" s="42"/>
      <c r="IW120" s="42"/>
      <c r="IX120" s="42"/>
      <c r="IY120" s="42"/>
      <c r="IZ120" s="42"/>
      <c r="JA120" s="42"/>
      <c r="JB120" s="42"/>
      <c r="JC120" s="42"/>
      <c r="JD120" s="42"/>
      <c r="JE120" s="42"/>
      <c r="JF120" s="42"/>
      <c r="JG120" s="42"/>
      <c r="JH120" s="42"/>
      <c r="JI120" s="42"/>
      <c r="JJ120" s="42"/>
      <c r="JK120" s="42"/>
      <c r="JL120" s="42"/>
      <c r="JM120" s="42"/>
      <c r="JN120" s="42"/>
      <c r="JO120" s="42"/>
      <c r="JP120" s="42"/>
      <c r="JQ120" s="42"/>
      <c r="JR120" s="42"/>
      <c r="JS120" s="42"/>
      <c r="JT120" s="42"/>
      <c r="JU120" s="42"/>
      <c r="JV120" s="42"/>
      <c r="JW120" s="42"/>
      <c r="JX120" s="42"/>
      <c r="JY120" s="42"/>
      <c r="JZ120" s="42"/>
      <c r="KA120" s="42"/>
    </row>
    <row r="121" spans="1:287" ht="141">
      <c r="A121" s="13" t="s">
        <v>350</v>
      </c>
      <c r="B121" s="13" t="s">
        <v>282</v>
      </c>
      <c r="C121" s="15">
        <v>29.6781559</v>
      </c>
      <c r="D121" s="15">
        <v>-85.223263599999996</v>
      </c>
      <c r="E121" s="15">
        <v>5</v>
      </c>
      <c r="G121" s="15">
        <v>115</v>
      </c>
      <c r="J121" s="19"/>
      <c r="Q121" s="18" t="s">
        <v>1332</v>
      </c>
      <c r="R121" s="15">
        <v>29.642173100000001</v>
      </c>
      <c r="S121" s="15">
        <v>-85.150975099999997</v>
      </c>
      <c r="X121" s="15">
        <v>1</v>
      </c>
      <c r="Y121" s="18" t="s">
        <v>1333</v>
      </c>
      <c r="AF121" s="19"/>
      <c r="AG121" s="15">
        <v>29.647911700000002</v>
      </c>
      <c r="AH121" s="15">
        <v>-85.156620799999999</v>
      </c>
      <c r="AP121" s="15">
        <v>105</v>
      </c>
      <c r="AV121" s="17"/>
      <c r="BK121" s="17"/>
      <c r="BZ121" s="17"/>
      <c r="CO121" s="17"/>
      <c r="DD121" s="17"/>
      <c r="DE121" s="17"/>
      <c r="DS121" s="17"/>
      <c r="DT121" s="17"/>
      <c r="EH121" s="17"/>
      <c r="EI121" s="17"/>
      <c r="EW121" s="17"/>
      <c r="EX121" s="17"/>
      <c r="FL121" s="17"/>
      <c r="FM121" s="17"/>
      <c r="GA121" s="17"/>
      <c r="GB121" s="17"/>
      <c r="GP121" s="17"/>
      <c r="GQ121" s="17"/>
      <c r="HE121" s="17"/>
      <c r="HF121" s="17"/>
      <c r="HT121" s="17"/>
      <c r="HU121" s="17"/>
      <c r="II121" s="42"/>
      <c r="IJ121" s="42"/>
      <c r="IK121" s="42"/>
      <c r="IL121" s="42"/>
      <c r="IM121" s="42"/>
      <c r="IN121" s="42"/>
      <c r="IO121" s="42"/>
      <c r="IP121" s="42"/>
      <c r="IQ121" s="42"/>
      <c r="IR121" s="42"/>
      <c r="IS121" s="42"/>
      <c r="IT121" s="42"/>
      <c r="IU121" s="42"/>
      <c r="IV121" s="42"/>
      <c r="IW121" s="42"/>
      <c r="IX121" s="42"/>
      <c r="IY121" s="42"/>
      <c r="IZ121" s="42"/>
      <c r="JA121" s="42"/>
      <c r="JB121" s="42"/>
      <c r="JC121" s="42"/>
      <c r="JD121" s="42"/>
      <c r="JE121" s="42"/>
      <c r="JF121" s="42"/>
      <c r="JG121" s="42"/>
      <c r="JH121" s="42"/>
      <c r="JI121" s="42"/>
      <c r="JJ121" s="42"/>
      <c r="JK121" s="42"/>
      <c r="JL121" s="42"/>
      <c r="JM121" s="42"/>
      <c r="JN121" s="42"/>
      <c r="JO121" s="42"/>
      <c r="JP121" s="42"/>
      <c r="JQ121" s="42"/>
      <c r="JR121" s="42"/>
      <c r="JS121" s="42"/>
      <c r="JT121" s="42"/>
      <c r="JU121" s="42"/>
      <c r="JV121" s="42"/>
      <c r="JW121" s="42"/>
      <c r="JX121" s="42"/>
      <c r="JY121" s="42"/>
      <c r="JZ121" s="42"/>
      <c r="KA121" s="42"/>
    </row>
    <row r="122" spans="1:287">
      <c r="A122" s="13" t="s">
        <v>353</v>
      </c>
      <c r="B122" s="13" t="s">
        <v>282</v>
      </c>
      <c r="C122" s="17"/>
      <c r="J122" s="19"/>
      <c r="Q122" s="19"/>
      <c r="R122" s="17"/>
      <c r="Y122" s="19"/>
      <c r="AF122" s="19"/>
      <c r="AG122" s="17"/>
      <c r="AV122" s="17"/>
      <c r="BK122" s="17"/>
      <c r="BZ122" s="17"/>
      <c r="CO122" s="17"/>
      <c r="DD122" s="17"/>
      <c r="DE122" s="17"/>
      <c r="DS122" s="17"/>
      <c r="DT122" s="17"/>
      <c r="EH122" s="17"/>
      <c r="EI122" s="17"/>
      <c r="EW122" s="17"/>
      <c r="EX122" s="17"/>
      <c r="FL122" s="17"/>
      <c r="FM122" s="17"/>
      <c r="GA122" s="17"/>
      <c r="GB122" s="17"/>
      <c r="GP122" s="17"/>
      <c r="GQ122" s="17"/>
      <c r="HE122" s="17"/>
      <c r="HF122" s="17"/>
      <c r="HT122" s="17"/>
      <c r="HU122" s="17"/>
      <c r="II122" s="42"/>
      <c r="IJ122" s="42"/>
      <c r="IK122" s="42"/>
      <c r="IL122" s="42"/>
      <c r="IM122" s="42"/>
      <c r="IN122" s="42"/>
      <c r="IO122" s="42"/>
      <c r="IP122" s="42"/>
      <c r="IQ122" s="42"/>
      <c r="IR122" s="42"/>
      <c r="IS122" s="42"/>
      <c r="IT122" s="42"/>
      <c r="IU122" s="42"/>
      <c r="IV122" s="42"/>
      <c r="IW122" s="42"/>
      <c r="IX122" s="42"/>
      <c r="IY122" s="42"/>
      <c r="IZ122" s="42"/>
      <c r="JA122" s="42"/>
      <c r="JB122" s="42"/>
      <c r="JC122" s="42"/>
      <c r="JD122" s="42"/>
      <c r="JE122" s="42"/>
      <c r="JF122" s="42"/>
      <c r="JG122" s="42"/>
      <c r="JH122" s="42"/>
      <c r="JI122" s="42"/>
      <c r="JJ122" s="42"/>
      <c r="JK122" s="42"/>
      <c r="JL122" s="42"/>
      <c r="JM122" s="42"/>
      <c r="JN122" s="42"/>
      <c r="JO122" s="42"/>
      <c r="JP122" s="42"/>
      <c r="JQ122" s="42"/>
      <c r="JR122" s="42"/>
      <c r="JS122" s="42"/>
      <c r="JT122" s="42"/>
      <c r="JU122" s="42"/>
      <c r="JV122" s="42"/>
      <c r="JW122" s="42"/>
      <c r="JX122" s="42"/>
      <c r="JY122" s="42"/>
      <c r="JZ122" s="42"/>
      <c r="KA122" s="42"/>
    </row>
    <row r="123" spans="1:287">
      <c r="A123" s="13" t="s">
        <v>354</v>
      </c>
      <c r="B123" s="13" t="s">
        <v>282</v>
      </c>
      <c r="C123" s="15">
        <v>29.915133000000001</v>
      </c>
      <c r="D123" s="15">
        <v>-84.485743999999997</v>
      </c>
      <c r="I123" s="15">
        <v>4</v>
      </c>
      <c r="J123" s="18" t="s">
        <v>1195</v>
      </c>
      <c r="Q123" s="19"/>
      <c r="R123" s="17"/>
      <c r="Y123" s="19"/>
      <c r="AF123" s="19"/>
      <c r="AG123" s="17"/>
      <c r="AV123" s="17"/>
      <c r="BK123" s="17"/>
      <c r="BZ123" s="17"/>
      <c r="CO123" s="17"/>
      <c r="DD123" s="17"/>
      <c r="DE123" s="17"/>
      <c r="DS123" s="17"/>
      <c r="DT123" s="17"/>
      <c r="EH123" s="17"/>
      <c r="EI123" s="17"/>
      <c r="EW123" s="17"/>
      <c r="EX123" s="17"/>
      <c r="FL123" s="17"/>
      <c r="FM123" s="17"/>
      <c r="GA123" s="17"/>
      <c r="GB123" s="17"/>
      <c r="GP123" s="17"/>
      <c r="GQ123" s="17"/>
      <c r="HE123" s="17"/>
      <c r="HF123" s="17"/>
      <c r="HT123" s="17"/>
      <c r="HU123" s="17"/>
      <c r="II123" s="42"/>
      <c r="IJ123" s="42"/>
      <c r="IK123" s="42"/>
      <c r="IL123" s="42"/>
      <c r="IM123" s="42"/>
      <c r="IN123" s="42"/>
      <c r="IO123" s="42"/>
      <c r="IP123" s="42"/>
      <c r="IQ123" s="42"/>
      <c r="IR123" s="42"/>
      <c r="IS123" s="42"/>
      <c r="IT123" s="42"/>
      <c r="IU123" s="42"/>
      <c r="IV123" s="42"/>
      <c r="IW123" s="42"/>
      <c r="IX123" s="42"/>
      <c r="IY123" s="42"/>
      <c r="IZ123" s="42"/>
      <c r="JA123" s="42"/>
      <c r="JB123" s="42"/>
      <c r="JC123" s="42"/>
      <c r="JD123" s="42"/>
      <c r="JE123" s="42"/>
      <c r="JF123" s="42"/>
      <c r="JG123" s="42"/>
      <c r="JH123" s="42"/>
      <c r="JI123" s="42"/>
      <c r="JJ123" s="42"/>
      <c r="JK123" s="42"/>
      <c r="JL123" s="42"/>
      <c r="JM123" s="42"/>
      <c r="JN123" s="42"/>
      <c r="JO123" s="42"/>
      <c r="JP123" s="42"/>
      <c r="JQ123" s="42"/>
      <c r="JR123" s="42"/>
      <c r="JS123" s="42"/>
      <c r="JT123" s="42"/>
      <c r="JU123" s="42"/>
      <c r="JV123" s="42"/>
      <c r="JW123" s="42"/>
      <c r="JX123" s="42"/>
      <c r="JY123" s="42"/>
      <c r="JZ123" s="42"/>
      <c r="KA123" s="42"/>
    </row>
    <row r="124" spans="1:287">
      <c r="A124" s="13" t="s">
        <v>357</v>
      </c>
      <c r="B124" s="13" t="s">
        <v>282</v>
      </c>
      <c r="C124" s="15">
        <v>29.787610999999998</v>
      </c>
      <c r="D124" s="15">
        <v>-84.759444000000002</v>
      </c>
      <c r="J124" s="18"/>
      <c r="M124" s="15">
        <v>1</v>
      </c>
      <c r="N124" s="15" t="s">
        <v>1326</v>
      </c>
      <c r="Q124" s="18"/>
      <c r="R124" s="17"/>
      <c r="Y124" s="18"/>
      <c r="AF124" s="18"/>
      <c r="AG124" s="17"/>
      <c r="AV124" s="17"/>
      <c r="BK124" s="17"/>
      <c r="BZ124" s="17"/>
      <c r="CO124" s="17"/>
      <c r="DD124" s="17"/>
      <c r="DE124" s="17"/>
      <c r="DS124" s="17"/>
      <c r="DT124" s="17"/>
      <c r="EH124" s="17"/>
      <c r="EI124" s="17"/>
      <c r="EW124" s="17"/>
      <c r="EX124" s="17"/>
      <c r="FL124" s="17"/>
      <c r="FM124" s="17"/>
      <c r="GA124" s="17"/>
      <c r="GB124" s="17"/>
      <c r="GP124" s="17"/>
      <c r="GQ124" s="17"/>
      <c r="HE124" s="17"/>
      <c r="HF124" s="17"/>
      <c r="HT124" s="17"/>
      <c r="HU124" s="17"/>
      <c r="II124" s="42"/>
      <c r="IJ124" s="42"/>
      <c r="IK124" s="42"/>
      <c r="IL124" s="42"/>
      <c r="IM124" s="42"/>
      <c r="IN124" s="42"/>
      <c r="IO124" s="42"/>
      <c r="IP124" s="42"/>
      <c r="IQ124" s="42"/>
      <c r="IR124" s="42"/>
      <c r="IS124" s="42"/>
      <c r="IT124" s="42"/>
      <c r="IU124" s="42"/>
      <c r="IV124" s="42"/>
      <c r="IW124" s="42"/>
      <c r="IX124" s="42"/>
      <c r="IY124" s="42"/>
      <c r="IZ124" s="42"/>
      <c r="JA124" s="42"/>
      <c r="JB124" s="42"/>
      <c r="JC124" s="42"/>
      <c r="JD124" s="42"/>
      <c r="JE124" s="42"/>
      <c r="JF124" s="42"/>
      <c r="JG124" s="42"/>
      <c r="JH124" s="42"/>
      <c r="JI124" s="42"/>
      <c r="JJ124" s="42"/>
      <c r="JK124" s="42"/>
      <c r="JL124" s="42"/>
      <c r="JM124" s="42"/>
      <c r="JN124" s="42"/>
      <c r="JO124" s="42"/>
      <c r="JP124" s="42"/>
      <c r="JQ124" s="42"/>
      <c r="JR124" s="42"/>
      <c r="JS124" s="42"/>
      <c r="JT124" s="42"/>
      <c r="JU124" s="42"/>
      <c r="JV124" s="42"/>
      <c r="JW124" s="42"/>
      <c r="JX124" s="42"/>
      <c r="JY124" s="42"/>
      <c r="JZ124" s="42"/>
      <c r="KA124" s="42"/>
    </row>
    <row r="125" spans="1:287" ht="31.5">
      <c r="A125" s="13" t="s">
        <v>359</v>
      </c>
      <c r="B125" s="13" t="s">
        <v>360</v>
      </c>
      <c r="C125" s="17"/>
      <c r="J125" s="19"/>
      <c r="Q125" s="18"/>
      <c r="R125" s="17"/>
      <c r="Y125" s="19"/>
      <c r="AF125" s="18"/>
      <c r="AG125" s="17"/>
      <c r="AV125" s="17"/>
      <c r="BK125" s="17"/>
      <c r="BZ125" s="17"/>
      <c r="CO125" s="17"/>
      <c r="DD125" s="17"/>
      <c r="DE125" s="17"/>
      <c r="DS125" s="17"/>
      <c r="DT125" s="17"/>
      <c r="EH125" s="17"/>
      <c r="EI125" s="17"/>
      <c r="EW125" s="17"/>
      <c r="EX125" s="17"/>
      <c r="FL125" s="17"/>
      <c r="FM125" s="17"/>
      <c r="GA125" s="17"/>
      <c r="GB125" s="17"/>
      <c r="GP125" s="17"/>
      <c r="GQ125" s="17"/>
      <c r="HE125" s="17"/>
      <c r="HF125" s="17"/>
      <c r="HT125" s="17"/>
      <c r="HU125" s="17"/>
      <c r="II125" s="42"/>
      <c r="IJ125" s="42"/>
      <c r="IK125" s="42"/>
      <c r="IL125" s="42"/>
      <c r="IM125" s="42"/>
      <c r="IN125" s="42"/>
      <c r="IO125" s="42"/>
      <c r="IP125" s="42"/>
      <c r="IQ125" s="42"/>
      <c r="IR125" s="42"/>
      <c r="IS125" s="42"/>
      <c r="IT125" s="42"/>
      <c r="IU125" s="42"/>
      <c r="IV125" s="42"/>
      <c r="IW125" s="42"/>
      <c r="IX125" s="42"/>
      <c r="IY125" s="42"/>
      <c r="IZ125" s="42"/>
      <c r="JA125" s="42"/>
      <c r="JB125" s="42"/>
      <c r="JC125" s="42"/>
      <c r="JD125" s="42"/>
      <c r="JE125" s="42"/>
      <c r="JF125" s="42"/>
      <c r="JG125" s="42"/>
      <c r="JH125" s="42"/>
      <c r="JI125" s="42"/>
      <c r="JJ125" s="42"/>
      <c r="JK125" s="42"/>
      <c r="JL125" s="42"/>
      <c r="JM125" s="42"/>
      <c r="JN125" s="42"/>
      <c r="JO125" s="42"/>
      <c r="JP125" s="42"/>
      <c r="JQ125" s="42"/>
      <c r="JR125" s="42"/>
      <c r="JS125" s="42"/>
      <c r="JT125" s="42"/>
      <c r="JU125" s="42"/>
      <c r="JV125" s="42"/>
      <c r="JW125" s="42"/>
      <c r="JX125" s="42"/>
      <c r="JY125" s="42"/>
      <c r="JZ125" s="42"/>
      <c r="KA125" s="42"/>
    </row>
    <row r="126" spans="1:287" ht="51.75">
      <c r="A126" s="13" t="s">
        <v>363</v>
      </c>
      <c r="B126" s="13" t="s">
        <v>364</v>
      </c>
      <c r="C126" s="15">
        <v>29.669975999999998</v>
      </c>
      <c r="D126" s="15">
        <v>-85.343806999999998</v>
      </c>
      <c r="E126" s="15">
        <v>0</v>
      </c>
      <c r="F126" s="15">
        <v>0</v>
      </c>
      <c r="G126" s="15">
        <v>0</v>
      </c>
      <c r="H126" s="15">
        <v>0</v>
      </c>
      <c r="I126" s="15">
        <v>0</v>
      </c>
      <c r="J126" s="18">
        <v>0</v>
      </c>
      <c r="K126" s="15">
        <v>5</v>
      </c>
      <c r="L126" s="15" t="s">
        <v>1334</v>
      </c>
      <c r="M126" s="15">
        <v>0</v>
      </c>
      <c r="N126" s="15">
        <v>0</v>
      </c>
      <c r="O126" s="15">
        <v>0</v>
      </c>
      <c r="P126" s="15">
        <v>0</v>
      </c>
      <c r="Q126" s="18" t="s">
        <v>1335</v>
      </c>
      <c r="R126" s="15">
        <v>29.664742</v>
      </c>
      <c r="S126" s="15">
        <v>-85.347475000000003</v>
      </c>
      <c r="T126" s="15">
        <v>0</v>
      </c>
      <c r="U126" s="15">
        <v>0</v>
      </c>
      <c r="V126" s="15">
        <v>0</v>
      </c>
      <c r="W126" s="15">
        <v>0</v>
      </c>
      <c r="X126" s="15">
        <v>0</v>
      </c>
      <c r="Y126" s="18">
        <v>0</v>
      </c>
      <c r="Z126" s="15">
        <v>0</v>
      </c>
      <c r="AA126" s="15">
        <v>0</v>
      </c>
      <c r="AB126" s="15">
        <v>0</v>
      </c>
      <c r="AC126" s="15">
        <v>0</v>
      </c>
      <c r="AD126" s="15">
        <v>2</v>
      </c>
      <c r="AE126" s="15" t="s">
        <v>1336</v>
      </c>
      <c r="AF126" s="18" t="s">
        <v>1337</v>
      </c>
      <c r="AG126" s="15">
        <v>29.665755999999998</v>
      </c>
      <c r="AH126" s="15">
        <v>-85.348118999999997</v>
      </c>
      <c r="AI126" s="15">
        <v>0</v>
      </c>
      <c r="AJ126" s="15">
        <v>0</v>
      </c>
      <c r="AK126" s="15">
        <v>7</v>
      </c>
      <c r="AL126" s="15" t="s">
        <v>1153</v>
      </c>
      <c r="AM126" s="15">
        <v>0</v>
      </c>
      <c r="AN126" s="15">
        <v>0</v>
      </c>
      <c r="AO126" s="15">
        <v>0</v>
      </c>
      <c r="AP126" s="15">
        <v>0</v>
      </c>
      <c r="AQ126" s="15">
        <v>0</v>
      </c>
      <c r="AR126" s="15">
        <v>0</v>
      </c>
      <c r="AS126" s="15">
        <v>0</v>
      </c>
      <c r="AT126" s="15">
        <v>0</v>
      </c>
      <c r="AU126" s="15" t="s">
        <v>1338</v>
      </c>
      <c r="AV126" s="17"/>
      <c r="BK126" s="17"/>
      <c r="BZ126" s="17"/>
      <c r="CO126" s="17"/>
      <c r="DD126" s="17"/>
      <c r="DE126" s="17"/>
      <c r="DS126" s="17"/>
      <c r="DT126" s="17"/>
      <c r="EH126" s="17"/>
      <c r="EI126" s="17"/>
      <c r="EW126" s="17"/>
      <c r="FL126" s="17"/>
      <c r="FM126" s="36"/>
      <c r="GA126" s="17"/>
      <c r="GB126" s="17"/>
      <c r="GP126" s="17"/>
      <c r="GQ126" s="17"/>
      <c r="HE126" s="17"/>
      <c r="HF126" s="17"/>
      <c r="HT126" s="17"/>
      <c r="HU126" s="17"/>
      <c r="II126" s="39"/>
      <c r="IJ126" s="39"/>
      <c r="IK126" s="42"/>
      <c r="IL126" s="42"/>
      <c r="IM126" s="42"/>
      <c r="IN126" s="42"/>
      <c r="IO126" s="42"/>
      <c r="IP126" s="42"/>
      <c r="IQ126" s="42"/>
      <c r="IR126" s="42"/>
      <c r="IS126" s="39"/>
      <c r="IT126" s="39"/>
      <c r="IU126" s="42"/>
      <c r="IV126" s="42"/>
      <c r="IW126" s="42"/>
      <c r="IX126" s="39"/>
      <c r="IY126" s="39"/>
      <c r="IZ126" s="42"/>
      <c r="JA126" s="42"/>
      <c r="JB126" s="42"/>
      <c r="JC126" s="42"/>
      <c r="JD126" s="42"/>
      <c r="JE126" s="42"/>
      <c r="JF126" s="42"/>
      <c r="JG126" s="42"/>
      <c r="JH126" s="39"/>
      <c r="JI126" s="39"/>
      <c r="JJ126" s="42"/>
      <c r="JK126" s="42"/>
      <c r="JL126" s="42"/>
      <c r="JM126" s="39"/>
      <c r="JN126" s="39"/>
      <c r="JO126" s="42"/>
      <c r="JP126" s="42"/>
      <c r="JQ126" s="42"/>
      <c r="JR126" s="42"/>
      <c r="JS126" s="42"/>
      <c r="JT126" s="42"/>
      <c r="JU126" s="42"/>
      <c r="JV126" s="42"/>
      <c r="JW126" s="39"/>
      <c r="JX126" s="39"/>
      <c r="JY126" s="42"/>
      <c r="JZ126" s="42"/>
      <c r="KA126" s="42"/>
    </row>
    <row r="127" spans="1:287">
      <c r="A127" s="13" t="s">
        <v>366</v>
      </c>
      <c r="B127" s="13" t="s">
        <v>364</v>
      </c>
      <c r="C127" s="17"/>
      <c r="J127" s="19"/>
      <c r="Q127" s="19"/>
      <c r="R127" s="17"/>
      <c r="Y127" s="19"/>
      <c r="AF127" s="19"/>
      <c r="AG127" s="17"/>
      <c r="AV127" s="17"/>
      <c r="BK127" s="17"/>
      <c r="BZ127" s="17"/>
      <c r="CO127" s="17"/>
      <c r="DD127" s="17"/>
      <c r="DE127" s="17"/>
      <c r="DS127" s="17"/>
      <c r="DT127" s="17"/>
      <c r="EH127" s="17"/>
      <c r="EI127" s="17"/>
      <c r="EW127" s="17"/>
      <c r="EX127" s="17"/>
      <c r="FL127" s="17"/>
      <c r="FM127" s="17"/>
      <c r="GA127" s="17"/>
      <c r="GB127" s="17"/>
      <c r="GP127" s="17"/>
      <c r="GQ127" s="17"/>
      <c r="HE127" s="17"/>
      <c r="HF127" s="17"/>
      <c r="HT127" s="17"/>
      <c r="HU127" s="17"/>
      <c r="II127" s="42"/>
      <c r="IJ127" s="42"/>
      <c r="IK127" s="42"/>
      <c r="IL127" s="42"/>
      <c r="IM127" s="42"/>
      <c r="IN127" s="42"/>
      <c r="IO127" s="42"/>
      <c r="IP127" s="42"/>
      <c r="IQ127" s="42"/>
      <c r="IR127" s="42"/>
      <c r="IS127" s="42"/>
      <c r="IT127" s="42"/>
      <c r="IU127" s="42"/>
      <c r="IV127" s="42"/>
      <c r="IW127" s="42"/>
      <c r="IX127" s="42"/>
      <c r="IY127" s="42"/>
      <c r="IZ127" s="42"/>
      <c r="JA127" s="42"/>
      <c r="JB127" s="42"/>
      <c r="JC127" s="42"/>
      <c r="JD127" s="42"/>
      <c r="JE127" s="42"/>
      <c r="JF127" s="42"/>
      <c r="JG127" s="42"/>
      <c r="JH127" s="42"/>
      <c r="JI127" s="42"/>
      <c r="JJ127" s="42"/>
      <c r="JK127" s="42"/>
      <c r="JL127" s="42"/>
      <c r="JM127" s="42"/>
      <c r="JN127" s="42"/>
      <c r="JO127" s="42"/>
      <c r="JP127" s="42"/>
      <c r="JQ127" s="42"/>
      <c r="JR127" s="42"/>
      <c r="JS127" s="42"/>
      <c r="JT127" s="42"/>
      <c r="JU127" s="42"/>
      <c r="JV127" s="42"/>
      <c r="JW127" s="42"/>
      <c r="JX127" s="42"/>
      <c r="JY127" s="42"/>
      <c r="JZ127" s="42"/>
      <c r="KA127" s="42"/>
    </row>
    <row r="128" spans="1:287" ht="26.25">
      <c r="A128" s="13" t="s">
        <v>368</v>
      </c>
      <c r="B128" s="13" t="s">
        <v>364</v>
      </c>
      <c r="C128" s="15">
        <v>29.693439999999999</v>
      </c>
      <c r="D128" s="15">
        <v>-85.203729999999993</v>
      </c>
      <c r="E128" s="15">
        <v>2</v>
      </c>
      <c r="F128" s="15">
        <v>0</v>
      </c>
      <c r="G128" s="15">
        <v>0</v>
      </c>
      <c r="H128" s="15">
        <v>0</v>
      </c>
      <c r="I128" s="15">
        <v>0</v>
      </c>
      <c r="J128" s="18">
        <v>0</v>
      </c>
      <c r="K128" s="15">
        <v>0</v>
      </c>
      <c r="L128" s="15">
        <v>0</v>
      </c>
      <c r="M128" s="15">
        <v>0</v>
      </c>
      <c r="N128" s="15">
        <v>0</v>
      </c>
      <c r="O128" s="15">
        <v>0</v>
      </c>
      <c r="P128" s="15">
        <v>0</v>
      </c>
      <c r="Q128" s="18">
        <v>0</v>
      </c>
      <c r="R128" s="15">
        <v>29.693860000000001</v>
      </c>
      <c r="S128" s="15">
        <v>-85.207650000000001</v>
      </c>
      <c r="T128" s="15">
        <v>0</v>
      </c>
      <c r="U128" s="15">
        <v>0</v>
      </c>
      <c r="V128" s="15">
        <v>0</v>
      </c>
      <c r="W128" s="15">
        <v>0</v>
      </c>
      <c r="X128" s="15">
        <v>0</v>
      </c>
      <c r="Y128" s="18">
        <v>0</v>
      </c>
      <c r="Z128" s="15">
        <v>0</v>
      </c>
      <c r="AA128" s="15">
        <v>0</v>
      </c>
      <c r="AB128" s="15">
        <v>0</v>
      </c>
      <c r="AC128" s="15">
        <v>0</v>
      </c>
      <c r="AD128" s="15">
        <v>0</v>
      </c>
      <c r="AE128" s="15">
        <v>0</v>
      </c>
      <c r="AF128" s="18" t="s">
        <v>1339</v>
      </c>
      <c r="AG128" s="15">
        <v>29.69106</v>
      </c>
      <c r="AH128" s="15">
        <v>-85.218329999999995</v>
      </c>
      <c r="AI128" s="15">
        <v>3</v>
      </c>
      <c r="AJ128" s="15">
        <v>0</v>
      </c>
      <c r="AK128" s="15">
        <v>0</v>
      </c>
      <c r="AL128" s="15">
        <v>0</v>
      </c>
      <c r="AM128" s="15">
        <v>0</v>
      </c>
      <c r="AN128" s="15">
        <v>0</v>
      </c>
      <c r="AO128" s="15">
        <v>0</v>
      </c>
      <c r="AP128" s="15">
        <v>0</v>
      </c>
      <c r="AQ128" s="15">
        <v>0</v>
      </c>
      <c r="AR128" s="15">
        <v>0</v>
      </c>
      <c r="AS128" s="15">
        <v>0</v>
      </c>
      <c r="AT128" s="15">
        <v>0</v>
      </c>
      <c r="AU128" s="15">
        <v>0</v>
      </c>
      <c r="AV128" s="15">
        <v>29.690619999999999</v>
      </c>
      <c r="AW128" s="15">
        <v>-85.22175</v>
      </c>
      <c r="AX128" s="15">
        <v>6</v>
      </c>
      <c r="AY128" s="15" t="s">
        <v>1340</v>
      </c>
      <c r="AZ128" s="15">
        <v>0</v>
      </c>
      <c r="BA128" s="15">
        <v>0</v>
      </c>
      <c r="BB128" s="15">
        <v>0</v>
      </c>
      <c r="BC128" s="15">
        <v>0</v>
      </c>
      <c r="BD128" s="15">
        <v>0</v>
      </c>
      <c r="BE128" s="15">
        <v>0</v>
      </c>
      <c r="BF128" s="15">
        <v>0</v>
      </c>
      <c r="BG128" s="15">
        <v>0</v>
      </c>
      <c r="BH128" s="15">
        <v>0</v>
      </c>
      <c r="BI128" s="15">
        <v>0</v>
      </c>
      <c r="BJ128" s="15">
        <v>0</v>
      </c>
      <c r="BK128" s="15">
        <v>29.687290000000001</v>
      </c>
      <c r="BL128" s="15">
        <v>-85.224879999999999</v>
      </c>
      <c r="BM128" s="15">
        <v>2</v>
      </c>
      <c r="BN128" s="15">
        <v>0</v>
      </c>
      <c r="BO128" s="15">
        <v>0</v>
      </c>
      <c r="BP128" s="15">
        <v>0</v>
      </c>
      <c r="BQ128" s="15">
        <v>0</v>
      </c>
      <c r="BR128" s="15">
        <v>0</v>
      </c>
      <c r="BS128" s="15">
        <v>0</v>
      </c>
      <c r="BT128" s="15">
        <v>0</v>
      </c>
      <c r="BU128" s="15">
        <v>0</v>
      </c>
      <c r="BV128" s="15">
        <v>0</v>
      </c>
      <c r="BW128" s="15">
        <v>0</v>
      </c>
      <c r="BX128" s="15">
        <v>0</v>
      </c>
      <c r="BY128" s="15">
        <v>0</v>
      </c>
      <c r="BZ128" s="15">
        <v>29.689170000000001</v>
      </c>
      <c r="CA128" s="15">
        <v>-85.228840000000005</v>
      </c>
      <c r="CB128" s="15">
        <v>1</v>
      </c>
      <c r="CC128" s="15">
        <v>0</v>
      </c>
      <c r="CD128" s="15">
        <v>0</v>
      </c>
      <c r="CE128" s="15">
        <v>0</v>
      </c>
      <c r="CF128" s="15">
        <v>0</v>
      </c>
      <c r="CG128" s="15">
        <v>0</v>
      </c>
      <c r="CH128" s="15">
        <v>0</v>
      </c>
      <c r="CI128" s="15">
        <v>0</v>
      </c>
      <c r="CJ128" s="15">
        <v>0</v>
      </c>
      <c r="CK128" s="15">
        <v>0</v>
      </c>
      <c r="CL128" s="15">
        <v>0</v>
      </c>
      <c r="CM128" s="15">
        <v>0</v>
      </c>
      <c r="CN128" s="15">
        <v>0</v>
      </c>
      <c r="CO128" s="17"/>
      <c r="DD128" s="17"/>
      <c r="DE128" s="17"/>
      <c r="DS128" s="17"/>
      <c r="DT128" s="17"/>
      <c r="EH128" s="17"/>
      <c r="EI128" s="17"/>
      <c r="EW128" s="17"/>
      <c r="EX128" s="17"/>
      <c r="FL128" s="17"/>
      <c r="FM128" s="17"/>
      <c r="GA128" s="17"/>
      <c r="GB128" s="17"/>
      <c r="GP128" s="17"/>
      <c r="GQ128" s="17"/>
      <c r="HE128" s="17"/>
      <c r="HF128" s="17"/>
      <c r="HT128" s="17"/>
      <c r="HU128" s="17"/>
      <c r="II128" s="42"/>
      <c r="IJ128" s="42"/>
      <c r="IK128" s="42"/>
      <c r="IL128" s="42"/>
      <c r="IM128" s="42"/>
      <c r="IN128" s="42"/>
      <c r="IO128" s="42"/>
      <c r="IP128" s="42"/>
      <c r="IQ128" s="42"/>
      <c r="IR128" s="42"/>
      <c r="IS128" s="42"/>
      <c r="IT128" s="42"/>
      <c r="IU128" s="42"/>
      <c r="IV128" s="42"/>
      <c r="IW128" s="42"/>
      <c r="IX128" s="42"/>
      <c r="IY128" s="42"/>
      <c r="IZ128" s="42"/>
      <c r="JA128" s="42"/>
      <c r="JB128" s="42"/>
      <c r="JC128" s="42"/>
      <c r="JD128" s="42"/>
      <c r="JE128" s="42"/>
      <c r="JF128" s="42"/>
      <c r="JG128" s="42"/>
      <c r="JH128" s="42"/>
      <c r="JI128" s="42"/>
      <c r="JJ128" s="42"/>
      <c r="JK128" s="42"/>
      <c r="JL128" s="42"/>
      <c r="JM128" s="42"/>
      <c r="JN128" s="42"/>
      <c r="JO128" s="42"/>
      <c r="JP128" s="42"/>
      <c r="JQ128" s="42"/>
      <c r="JR128" s="42"/>
      <c r="JS128" s="42"/>
      <c r="JT128" s="42"/>
      <c r="JU128" s="42"/>
      <c r="JV128" s="42"/>
      <c r="JW128" s="42"/>
      <c r="JX128" s="42"/>
      <c r="JY128" s="42"/>
      <c r="JZ128" s="42"/>
      <c r="KA128" s="42"/>
    </row>
    <row r="129" spans="1:287">
      <c r="A129" s="13" t="s">
        <v>369</v>
      </c>
      <c r="B129" s="13" t="s">
        <v>364</v>
      </c>
      <c r="C129" s="17"/>
      <c r="J129" s="19"/>
      <c r="Q129" s="19"/>
      <c r="R129" s="17"/>
      <c r="Y129" s="19"/>
      <c r="AF129" s="19"/>
      <c r="AG129" s="17"/>
      <c r="AV129" s="17"/>
      <c r="BK129" s="17"/>
      <c r="BZ129" s="17"/>
      <c r="CO129" s="17"/>
      <c r="DD129" s="17"/>
      <c r="DE129" s="17"/>
      <c r="DS129" s="17"/>
      <c r="DT129" s="17"/>
      <c r="EH129" s="17"/>
      <c r="EI129" s="17"/>
      <c r="EW129" s="17"/>
      <c r="EX129" s="17"/>
      <c r="FL129" s="17"/>
      <c r="FM129" s="17"/>
      <c r="GA129" s="17"/>
      <c r="GB129" s="17"/>
      <c r="GP129" s="17"/>
      <c r="GQ129" s="17"/>
      <c r="HE129" s="17"/>
      <c r="HF129" s="17"/>
      <c r="HT129" s="17"/>
      <c r="HU129" s="17"/>
      <c r="II129" s="42"/>
      <c r="IJ129" s="42"/>
      <c r="IK129" s="42"/>
      <c r="IL129" s="42"/>
      <c r="IM129" s="42"/>
      <c r="IN129" s="42"/>
      <c r="IO129" s="42"/>
      <c r="IP129" s="42"/>
      <c r="IQ129" s="42"/>
      <c r="IR129" s="42"/>
      <c r="IS129" s="42"/>
      <c r="IT129" s="42"/>
      <c r="IU129" s="42"/>
      <c r="IV129" s="42"/>
      <c r="IW129" s="42"/>
      <c r="IX129" s="42"/>
      <c r="IY129" s="42"/>
      <c r="IZ129" s="42"/>
      <c r="JA129" s="42"/>
      <c r="JB129" s="42"/>
      <c r="JC129" s="42"/>
      <c r="JD129" s="42"/>
      <c r="JE129" s="42"/>
      <c r="JF129" s="42"/>
      <c r="JG129" s="42"/>
      <c r="JH129" s="42"/>
      <c r="JI129" s="42"/>
      <c r="JJ129" s="42"/>
      <c r="JK129" s="42"/>
      <c r="JL129" s="42"/>
      <c r="JM129" s="42"/>
      <c r="JN129" s="42"/>
      <c r="JO129" s="42"/>
      <c r="JP129" s="42"/>
      <c r="JQ129" s="42"/>
      <c r="JR129" s="42"/>
      <c r="JS129" s="42"/>
      <c r="JT129" s="42"/>
      <c r="JU129" s="42"/>
      <c r="JV129" s="42"/>
      <c r="JW129" s="42"/>
      <c r="JX129" s="42"/>
      <c r="JY129" s="42"/>
      <c r="JZ129" s="42"/>
      <c r="KA129" s="42"/>
    </row>
    <row r="130" spans="1:287" ht="77.25">
      <c r="A130" s="13" t="s">
        <v>371</v>
      </c>
      <c r="B130" s="13" t="s">
        <v>364</v>
      </c>
      <c r="C130" s="15">
        <v>29.700150000000001</v>
      </c>
      <c r="D130" s="15">
        <v>-85.310990000000004</v>
      </c>
      <c r="E130" s="15">
        <v>0</v>
      </c>
      <c r="F130" s="15">
        <v>0</v>
      </c>
      <c r="G130" s="15">
        <v>0</v>
      </c>
      <c r="H130" s="15">
        <v>0</v>
      </c>
      <c r="I130" s="15">
        <v>0</v>
      </c>
      <c r="J130" s="18">
        <v>0</v>
      </c>
      <c r="K130" s="15">
        <v>0</v>
      </c>
      <c r="L130" s="15">
        <v>0</v>
      </c>
      <c r="M130" s="15">
        <v>0</v>
      </c>
      <c r="N130" s="15">
        <v>0</v>
      </c>
      <c r="O130" s="15">
        <v>0</v>
      </c>
      <c r="P130" s="15">
        <v>0</v>
      </c>
      <c r="Q130" s="18" t="s">
        <v>1341</v>
      </c>
      <c r="R130" s="15">
        <v>29.71069</v>
      </c>
      <c r="S130" s="15">
        <v>-85.310599999999994</v>
      </c>
      <c r="T130" s="15">
        <v>0</v>
      </c>
      <c r="U130" s="15">
        <v>0</v>
      </c>
      <c r="V130" s="15">
        <v>0</v>
      </c>
      <c r="W130" s="15">
        <v>0</v>
      </c>
      <c r="X130" s="15">
        <v>0</v>
      </c>
      <c r="Y130" s="18">
        <v>0</v>
      </c>
      <c r="Z130" s="15">
        <v>0</v>
      </c>
      <c r="AA130" s="15">
        <v>0</v>
      </c>
      <c r="AB130" s="15">
        <v>0</v>
      </c>
      <c r="AC130" s="15">
        <v>0</v>
      </c>
      <c r="AD130" s="15">
        <v>0</v>
      </c>
      <c r="AE130" s="15">
        <v>0</v>
      </c>
      <c r="AF130" s="18" t="s">
        <v>1342</v>
      </c>
      <c r="AG130" s="15">
        <v>29.715620000000001</v>
      </c>
      <c r="AH130" s="15">
        <v>-85.308250000000001</v>
      </c>
      <c r="AI130" s="15">
        <v>0</v>
      </c>
      <c r="AJ130" s="15">
        <v>0</v>
      </c>
      <c r="AK130" s="15">
        <v>0</v>
      </c>
      <c r="AL130" s="15">
        <v>0</v>
      </c>
      <c r="AM130" s="15">
        <v>0</v>
      </c>
      <c r="AN130" s="15">
        <v>0</v>
      </c>
      <c r="AO130" s="15">
        <v>0</v>
      </c>
      <c r="AP130" s="15">
        <v>0</v>
      </c>
      <c r="AQ130" s="15">
        <v>0</v>
      </c>
      <c r="AR130" s="15">
        <v>0</v>
      </c>
      <c r="AS130" s="15">
        <v>0</v>
      </c>
      <c r="AT130" s="15">
        <v>0</v>
      </c>
      <c r="AU130" s="15" t="s">
        <v>1343</v>
      </c>
      <c r="AV130" s="17"/>
      <c r="BK130" s="17"/>
      <c r="BZ130" s="17"/>
      <c r="CO130" s="17"/>
      <c r="DD130" s="17"/>
      <c r="DE130" s="17"/>
      <c r="DS130" s="17"/>
      <c r="DT130" s="17"/>
      <c r="EH130" s="17"/>
      <c r="EI130" s="17"/>
      <c r="EW130" s="17"/>
      <c r="EX130" s="17"/>
      <c r="FL130" s="17"/>
      <c r="FM130" s="17"/>
      <c r="GA130" s="17"/>
      <c r="GB130" s="17"/>
      <c r="GP130" s="17"/>
      <c r="GQ130" s="17"/>
      <c r="HE130" s="17"/>
      <c r="HF130" s="17"/>
      <c r="HT130" s="17"/>
      <c r="HU130" s="17"/>
      <c r="II130" s="42"/>
      <c r="IJ130" s="42"/>
      <c r="IK130" s="42"/>
      <c r="IL130" s="42"/>
      <c r="IM130" s="42"/>
      <c r="IN130" s="42"/>
      <c r="IO130" s="42"/>
      <c r="IP130" s="42"/>
      <c r="IQ130" s="42"/>
      <c r="IR130" s="42"/>
      <c r="IS130" s="42"/>
      <c r="IT130" s="42"/>
      <c r="IU130" s="42"/>
      <c r="IV130" s="42"/>
      <c r="IW130" s="42"/>
      <c r="IX130" s="42"/>
      <c r="IY130" s="42"/>
      <c r="IZ130" s="42"/>
      <c r="JA130" s="42"/>
      <c r="JB130" s="42"/>
      <c r="JC130" s="42"/>
      <c r="JD130" s="42"/>
      <c r="JE130" s="42"/>
      <c r="JF130" s="42"/>
      <c r="JG130" s="42"/>
      <c r="JH130" s="42"/>
      <c r="JI130" s="42"/>
      <c r="JJ130" s="42"/>
      <c r="JK130" s="42"/>
      <c r="JL130" s="42"/>
      <c r="JM130" s="42"/>
      <c r="JN130" s="42"/>
      <c r="JO130" s="42"/>
      <c r="JP130" s="42"/>
      <c r="JQ130" s="42"/>
      <c r="JR130" s="42"/>
      <c r="JS130" s="42"/>
      <c r="JT130" s="42"/>
      <c r="JU130" s="42"/>
      <c r="JV130" s="42"/>
      <c r="JW130" s="42"/>
      <c r="JX130" s="42"/>
      <c r="JY130" s="42"/>
      <c r="JZ130" s="42"/>
      <c r="KA130" s="42"/>
    </row>
    <row r="131" spans="1:287" ht="141">
      <c r="A131" s="13" t="s">
        <v>372</v>
      </c>
      <c r="B131" s="13" t="s">
        <v>364</v>
      </c>
      <c r="C131" s="15">
        <v>29.768470000000001</v>
      </c>
      <c r="D131" s="15">
        <v>-85.403819999999996</v>
      </c>
      <c r="E131" s="15">
        <v>0</v>
      </c>
      <c r="F131" s="15">
        <v>0</v>
      </c>
      <c r="G131" s="15">
        <v>0</v>
      </c>
      <c r="H131" s="15">
        <v>0</v>
      </c>
      <c r="I131" s="15">
        <v>1</v>
      </c>
      <c r="J131" s="18">
        <v>0</v>
      </c>
      <c r="K131" s="15">
        <v>0</v>
      </c>
      <c r="L131" s="15">
        <v>0</v>
      </c>
      <c r="M131" s="15">
        <v>2</v>
      </c>
      <c r="N131" s="15" t="s">
        <v>1344</v>
      </c>
      <c r="O131" s="15">
        <v>0</v>
      </c>
      <c r="P131" s="15">
        <v>0</v>
      </c>
      <c r="Q131" s="18" t="s">
        <v>1345</v>
      </c>
      <c r="R131" s="15">
        <v>29.770019999999999</v>
      </c>
      <c r="S131" s="15">
        <v>-85.403959999999998</v>
      </c>
      <c r="T131" s="15">
        <v>0</v>
      </c>
      <c r="U131" s="15">
        <v>0</v>
      </c>
      <c r="V131" s="15">
        <v>0</v>
      </c>
      <c r="W131" s="15">
        <v>0</v>
      </c>
      <c r="X131" s="15">
        <v>0</v>
      </c>
      <c r="Y131" s="18">
        <v>0</v>
      </c>
      <c r="Z131" s="15">
        <v>0</v>
      </c>
      <c r="AA131" s="15">
        <v>0</v>
      </c>
      <c r="AB131" s="15">
        <v>2</v>
      </c>
      <c r="AC131" s="15" t="s">
        <v>1346</v>
      </c>
      <c r="AD131" s="15">
        <v>0</v>
      </c>
      <c r="AE131" s="15">
        <v>0</v>
      </c>
      <c r="AF131" s="18" t="s">
        <v>1347</v>
      </c>
      <c r="AG131" s="15">
        <v>29.773430000000001</v>
      </c>
      <c r="AH131" s="15">
        <v>-85.402780000000007</v>
      </c>
      <c r="AI131" s="15">
        <v>0</v>
      </c>
      <c r="AJ131" s="15">
        <v>0</v>
      </c>
      <c r="AK131" s="15">
        <v>0</v>
      </c>
      <c r="AL131" s="15">
        <v>0</v>
      </c>
      <c r="AM131" s="15">
        <v>0</v>
      </c>
      <c r="AN131" s="15">
        <v>0</v>
      </c>
      <c r="AO131" s="15">
        <v>0</v>
      </c>
      <c r="AP131" s="15">
        <v>0</v>
      </c>
      <c r="AQ131" s="15">
        <v>2</v>
      </c>
      <c r="AR131" s="18" t="s">
        <v>1348</v>
      </c>
      <c r="AS131" s="15">
        <v>0</v>
      </c>
      <c r="AT131" s="15">
        <v>0</v>
      </c>
      <c r="AU131" s="15" t="s">
        <v>1349</v>
      </c>
      <c r="AV131" s="15">
        <v>29.79006</v>
      </c>
      <c r="AW131" s="15">
        <v>-85.411270000000002</v>
      </c>
      <c r="AX131" s="15">
        <v>0</v>
      </c>
      <c r="AY131" s="15">
        <v>0</v>
      </c>
      <c r="AZ131" s="15">
        <v>0</v>
      </c>
      <c r="BA131" s="15">
        <v>0</v>
      </c>
      <c r="BB131" s="15">
        <v>0</v>
      </c>
      <c r="BC131" s="15">
        <v>0</v>
      </c>
      <c r="BD131" s="15">
        <v>0</v>
      </c>
      <c r="BE131" s="15">
        <v>0</v>
      </c>
      <c r="BF131" s="15">
        <v>3</v>
      </c>
      <c r="BG131" s="15" t="s">
        <v>1350</v>
      </c>
      <c r="BH131" s="15">
        <v>0</v>
      </c>
      <c r="BI131" s="15">
        <v>0</v>
      </c>
      <c r="BJ131" s="15" t="s">
        <v>1351</v>
      </c>
      <c r="BK131" s="15">
        <v>29.81099</v>
      </c>
      <c r="BL131" s="15">
        <v>-85.415239999999997</v>
      </c>
      <c r="BM131" s="15">
        <v>0</v>
      </c>
      <c r="BN131" s="15">
        <v>0</v>
      </c>
      <c r="BO131" s="15">
        <v>0</v>
      </c>
      <c r="BP131" s="15">
        <v>0</v>
      </c>
      <c r="BQ131" s="15">
        <v>0</v>
      </c>
      <c r="BR131" s="15">
        <v>0</v>
      </c>
      <c r="BS131" s="15">
        <v>0</v>
      </c>
      <c r="BT131" s="15">
        <v>0</v>
      </c>
      <c r="BU131" s="15">
        <v>1</v>
      </c>
      <c r="BV131" s="15" t="s">
        <v>1352</v>
      </c>
      <c r="BW131" s="15">
        <v>0</v>
      </c>
      <c r="BX131" s="15">
        <v>0</v>
      </c>
      <c r="BY131" s="15" t="s">
        <v>1351</v>
      </c>
      <c r="BZ131" s="15">
        <v>29.82985</v>
      </c>
      <c r="CA131" s="15">
        <v>-85.417249999999996</v>
      </c>
      <c r="CB131" s="15">
        <v>0</v>
      </c>
      <c r="CC131" s="15">
        <v>0</v>
      </c>
      <c r="CD131" s="15">
        <v>0</v>
      </c>
      <c r="CE131" s="15">
        <v>0</v>
      </c>
      <c r="CF131" s="15">
        <v>0</v>
      </c>
      <c r="CG131" s="15">
        <v>0</v>
      </c>
      <c r="CH131" s="15">
        <v>0</v>
      </c>
      <c r="CI131" s="15">
        <v>0</v>
      </c>
      <c r="CJ131" s="15">
        <v>1</v>
      </c>
      <c r="CK131" s="15" t="s">
        <v>1353</v>
      </c>
      <c r="CL131" s="15">
        <v>0</v>
      </c>
      <c r="CM131" s="15">
        <v>0</v>
      </c>
      <c r="CN131" s="15" t="s">
        <v>1351</v>
      </c>
      <c r="CO131" s="15">
        <v>29.83259</v>
      </c>
      <c r="CP131" s="15">
        <v>-85.416979999999995</v>
      </c>
      <c r="CQ131" s="15">
        <v>0</v>
      </c>
      <c r="CR131" s="15">
        <v>0</v>
      </c>
      <c r="CS131" s="15">
        <v>0</v>
      </c>
      <c r="CT131" s="15">
        <v>0</v>
      </c>
      <c r="CU131" s="15">
        <v>0</v>
      </c>
      <c r="CV131" s="15">
        <v>0</v>
      </c>
      <c r="CW131" s="15">
        <v>0</v>
      </c>
      <c r="CX131" s="15">
        <v>0</v>
      </c>
      <c r="CY131" s="15">
        <v>1</v>
      </c>
      <c r="CZ131" s="15" t="s">
        <v>1354</v>
      </c>
      <c r="DA131" s="15">
        <v>0</v>
      </c>
      <c r="DB131" s="15">
        <v>0</v>
      </c>
      <c r="DC131" s="15" t="s">
        <v>1351</v>
      </c>
      <c r="DD131" s="15">
        <v>29.834330000000001</v>
      </c>
      <c r="DE131" s="15">
        <v>-85.417029999999997</v>
      </c>
      <c r="DF131" s="15">
        <v>0</v>
      </c>
      <c r="DG131" s="15">
        <v>0</v>
      </c>
      <c r="DH131" s="15">
        <v>0</v>
      </c>
      <c r="DI131" s="15">
        <v>0</v>
      </c>
      <c r="DJ131" s="15">
        <v>0</v>
      </c>
      <c r="DK131" s="15">
        <v>0</v>
      </c>
      <c r="DL131" s="15">
        <v>0</v>
      </c>
      <c r="DM131" s="15">
        <v>0</v>
      </c>
      <c r="DN131" s="15">
        <v>4</v>
      </c>
      <c r="DO131" s="15" t="s">
        <v>1355</v>
      </c>
      <c r="DP131" s="15">
        <v>0</v>
      </c>
      <c r="DQ131" s="15">
        <v>0</v>
      </c>
      <c r="DR131" s="15" t="s">
        <v>1351</v>
      </c>
      <c r="DS131" s="15">
        <v>29.844200000000001</v>
      </c>
      <c r="DT131" s="15">
        <v>-85.415599999999998</v>
      </c>
      <c r="DU131" s="15">
        <v>0</v>
      </c>
      <c r="DV131" s="15">
        <v>0</v>
      </c>
      <c r="DW131" s="15">
        <v>0</v>
      </c>
      <c r="DX131" s="15">
        <v>0</v>
      </c>
      <c r="DY131" s="15">
        <v>0</v>
      </c>
      <c r="DZ131" s="15">
        <v>0</v>
      </c>
      <c r="EA131" s="15">
        <v>0</v>
      </c>
      <c r="EB131" s="15">
        <v>0</v>
      </c>
      <c r="EC131" s="15">
        <v>4</v>
      </c>
      <c r="ED131" s="15" t="s">
        <v>1356</v>
      </c>
      <c r="EE131" s="15">
        <v>0</v>
      </c>
      <c r="EF131" s="15">
        <v>0</v>
      </c>
      <c r="EG131" s="15" t="s">
        <v>1357</v>
      </c>
      <c r="EH131" s="15">
        <v>29.864229999999999</v>
      </c>
      <c r="EI131" s="15">
        <v>-85.409210000000002</v>
      </c>
      <c r="EJ131" s="15">
        <v>0</v>
      </c>
      <c r="EK131" s="15">
        <v>0</v>
      </c>
      <c r="EL131" s="15">
        <v>0</v>
      </c>
      <c r="EM131" s="15">
        <v>0</v>
      </c>
      <c r="EN131" s="15">
        <v>0</v>
      </c>
      <c r="EO131" s="15">
        <v>0</v>
      </c>
      <c r="EP131" s="15">
        <v>0</v>
      </c>
      <c r="EQ131" s="15">
        <v>0</v>
      </c>
      <c r="ER131" s="15">
        <v>4</v>
      </c>
      <c r="ES131" s="15" t="s">
        <v>1358</v>
      </c>
      <c r="ET131" s="15">
        <v>0</v>
      </c>
      <c r="EU131" s="15">
        <v>0</v>
      </c>
      <c r="EV131" s="15" t="s">
        <v>1351</v>
      </c>
      <c r="EW131" s="15">
        <v>29.877490000000002</v>
      </c>
      <c r="EX131" s="15">
        <v>-85.39931</v>
      </c>
      <c r="EY131" s="15">
        <v>0</v>
      </c>
      <c r="EZ131" s="15">
        <v>0</v>
      </c>
      <c r="FA131" s="15">
        <v>0</v>
      </c>
      <c r="FB131" s="15">
        <v>0</v>
      </c>
      <c r="FC131" s="15">
        <v>0</v>
      </c>
      <c r="FD131" s="15">
        <v>0</v>
      </c>
      <c r="FE131" s="15">
        <v>0</v>
      </c>
      <c r="FF131" s="15">
        <v>0</v>
      </c>
      <c r="FG131" s="15">
        <v>9</v>
      </c>
      <c r="FH131" s="15" t="s">
        <v>1359</v>
      </c>
      <c r="FI131" s="15">
        <v>0</v>
      </c>
      <c r="FJ131" s="15">
        <v>0</v>
      </c>
      <c r="FK131" s="15" t="s">
        <v>1360</v>
      </c>
      <c r="FL131" s="15">
        <v>29.875419999999998</v>
      </c>
      <c r="FM131" s="15">
        <v>-85.397189999999995</v>
      </c>
      <c r="FN131" s="15">
        <v>0</v>
      </c>
      <c r="FO131" s="15">
        <v>0</v>
      </c>
      <c r="FP131" s="15">
        <v>0</v>
      </c>
      <c r="FQ131" s="15">
        <v>0</v>
      </c>
      <c r="FR131" s="15">
        <v>0</v>
      </c>
      <c r="FS131" s="15">
        <v>0</v>
      </c>
      <c r="FT131" s="15">
        <v>0</v>
      </c>
      <c r="FU131" s="15">
        <v>0</v>
      </c>
      <c r="FV131" s="15">
        <v>4</v>
      </c>
      <c r="FW131" s="15" t="s">
        <v>1361</v>
      </c>
      <c r="FX131" s="15">
        <v>0</v>
      </c>
      <c r="FY131" s="15">
        <v>0</v>
      </c>
      <c r="FZ131" s="15" t="s">
        <v>1362</v>
      </c>
      <c r="GA131" s="15">
        <v>29.879480000000001</v>
      </c>
      <c r="GB131" s="15">
        <v>-85.388249999999999</v>
      </c>
      <c r="GC131" s="15">
        <v>0</v>
      </c>
      <c r="GD131" s="15">
        <v>0</v>
      </c>
      <c r="GE131" s="15">
        <v>0</v>
      </c>
      <c r="GF131" s="15">
        <v>0</v>
      </c>
      <c r="GG131" s="15">
        <v>0</v>
      </c>
      <c r="GH131" s="15">
        <v>0</v>
      </c>
      <c r="GI131" s="15">
        <v>0</v>
      </c>
      <c r="GJ131" s="15">
        <v>0</v>
      </c>
      <c r="GK131" s="15">
        <v>10</v>
      </c>
      <c r="GL131" s="15" t="s">
        <v>1363</v>
      </c>
      <c r="GM131" s="15">
        <v>0</v>
      </c>
      <c r="GN131" s="15">
        <v>0</v>
      </c>
      <c r="GO131" s="15" t="s">
        <v>1351</v>
      </c>
      <c r="GP131" s="15">
        <v>0</v>
      </c>
      <c r="GQ131" s="15">
        <v>0</v>
      </c>
      <c r="GR131" s="15">
        <v>0</v>
      </c>
      <c r="GS131" s="15">
        <v>0</v>
      </c>
      <c r="GT131" s="15">
        <v>0</v>
      </c>
      <c r="GU131" s="15">
        <v>0</v>
      </c>
      <c r="GV131" s="15">
        <v>0</v>
      </c>
      <c r="GW131" s="15">
        <v>0</v>
      </c>
      <c r="GX131" s="15">
        <v>0</v>
      </c>
      <c r="GY131" s="15">
        <v>0</v>
      </c>
      <c r="GZ131" s="15">
        <v>0</v>
      </c>
      <c r="HA131" s="15">
        <v>0</v>
      </c>
      <c r="HB131" s="15">
        <v>0</v>
      </c>
      <c r="HC131" s="15">
        <v>0</v>
      </c>
      <c r="HD131" s="15" t="s">
        <v>1364</v>
      </c>
      <c r="HE131" s="15">
        <v>29.87659</v>
      </c>
      <c r="HF131" s="15">
        <v>-85.384360000000001</v>
      </c>
      <c r="HG131" s="15">
        <v>0</v>
      </c>
      <c r="HH131" s="15">
        <v>0</v>
      </c>
      <c r="HI131" s="15">
        <v>0</v>
      </c>
      <c r="HK131" s="15">
        <v>0</v>
      </c>
      <c r="HL131" s="15">
        <v>0</v>
      </c>
      <c r="HM131" s="15">
        <v>0</v>
      </c>
      <c r="HN131" s="15">
        <v>0</v>
      </c>
      <c r="HO131" s="15">
        <v>0</v>
      </c>
      <c r="HP131" s="15">
        <v>0</v>
      </c>
      <c r="HQ131" s="15">
        <v>0</v>
      </c>
      <c r="HR131" s="15">
        <v>0</v>
      </c>
      <c r="HS131" s="15" t="s">
        <v>1365</v>
      </c>
      <c r="HT131" s="15">
        <v>29.838789999999999</v>
      </c>
      <c r="HU131" s="15">
        <v>-85.416340000000005</v>
      </c>
      <c r="HV131" s="15">
        <v>0</v>
      </c>
      <c r="HW131" s="15">
        <v>0</v>
      </c>
      <c r="HX131" s="15">
        <v>0</v>
      </c>
      <c r="HY131" s="15">
        <v>0</v>
      </c>
      <c r="HZ131" s="15">
        <v>0</v>
      </c>
      <c r="IA131" s="15">
        <v>0</v>
      </c>
      <c r="IB131" s="15">
        <v>0</v>
      </c>
      <c r="IC131" s="15">
        <v>0</v>
      </c>
      <c r="ID131" s="15">
        <v>1</v>
      </c>
      <c r="IE131" s="15" t="s">
        <v>1366</v>
      </c>
      <c r="IF131" s="15">
        <v>0</v>
      </c>
      <c r="IG131" s="15">
        <v>0</v>
      </c>
      <c r="IH131" s="15" t="s">
        <v>1351</v>
      </c>
      <c r="II131" s="39">
        <v>29.849150000000002</v>
      </c>
      <c r="IJ131" s="39">
        <v>-85.414749999999998</v>
      </c>
      <c r="IK131" s="39">
        <v>0</v>
      </c>
      <c r="IL131" s="39">
        <v>0</v>
      </c>
      <c r="IM131" s="39">
        <v>0</v>
      </c>
      <c r="IN131" s="39">
        <v>0</v>
      </c>
      <c r="IO131" s="39">
        <v>0</v>
      </c>
      <c r="IP131" s="39">
        <v>0</v>
      </c>
      <c r="IQ131" s="39">
        <v>0</v>
      </c>
      <c r="IR131" s="39">
        <v>0</v>
      </c>
      <c r="IS131" s="39">
        <v>5</v>
      </c>
      <c r="IT131" s="39" t="s">
        <v>1367</v>
      </c>
      <c r="IU131" s="42"/>
      <c r="IV131" s="39">
        <v>0</v>
      </c>
      <c r="IW131" s="39">
        <v>0</v>
      </c>
      <c r="IX131" s="42"/>
      <c r="IY131" s="42"/>
      <c r="IZ131" s="42"/>
      <c r="JA131" s="42"/>
      <c r="JB131" s="42"/>
      <c r="JC131" s="42"/>
      <c r="JD131" s="42"/>
      <c r="JE131" s="42"/>
      <c r="JF131" s="42"/>
      <c r="JG131" s="42"/>
      <c r="JH131" s="42"/>
      <c r="JI131" s="42"/>
      <c r="JJ131" s="42"/>
      <c r="JK131" s="42"/>
      <c r="JL131" s="42"/>
      <c r="JM131" s="42"/>
      <c r="JN131" s="42"/>
      <c r="JO131" s="42"/>
      <c r="JP131" s="42"/>
      <c r="JQ131" s="42"/>
      <c r="JR131" s="42"/>
      <c r="JS131" s="42"/>
      <c r="JT131" s="42"/>
      <c r="JU131" s="42"/>
      <c r="JV131" s="42"/>
      <c r="JW131" s="42"/>
      <c r="JX131" s="42"/>
      <c r="JY131" s="42"/>
      <c r="JZ131" s="42"/>
      <c r="KA131" s="42"/>
    </row>
    <row r="132" spans="1:287">
      <c r="A132" s="13" t="s">
        <v>374</v>
      </c>
      <c r="B132" s="13" t="s">
        <v>364</v>
      </c>
      <c r="C132" s="17"/>
      <c r="J132" s="19"/>
      <c r="Q132" s="19"/>
      <c r="R132" s="17"/>
      <c r="Y132" s="19"/>
      <c r="AF132" s="19"/>
      <c r="AG132" s="17"/>
      <c r="AV132" s="17"/>
      <c r="BK132" s="17"/>
      <c r="BZ132" s="17"/>
      <c r="CO132" s="17"/>
      <c r="DD132" s="17"/>
      <c r="DE132" s="17"/>
      <c r="DS132" s="17"/>
      <c r="DT132" s="17"/>
      <c r="EH132" s="17"/>
      <c r="EI132" s="17"/>
      <c r="EW132" s="17"/>
      <c r="EX132" s="17"/>
      <c r="FL132" s="17"/>
      <c r="FM132" s="17"/>
      <c r="GA132" s="17"/>
      <c r="GB132" s="17"/>
      <c r="GP132" s="17"/>
      <c r="GQ132" s="17"/>
      <c r="HE132" s="17"/>
      <c r="HF132" s="17"/>
      <c r="HT132" s="17"/>
      <c r="HU132" s="17"/>
      <c r="II132" s="42"/>
      <c r="IJ132" s="42"/>
      <c r="IK132" s="42"/>
      <c r="IL132" s="42"/>
      <c r="IM132" s="42"/>
      <c r="IN132" s="42"/>
      <c r="IO132" s="42"/>
      <c r="IP132" s="42"/>
      <c r="IQ132" s="42"/>
      <c r="IR132" s="42"/>
      <c r="IS132" s="42"/>
      <c r="IT132" s="42"/>
      <c r="IU132" s="42"/>
      <c r="IV132" s="42"/>
      <c r="IW132" s="42"/>
      <c r="IX132" s="42"/>
      <c r="IY132" s="42"/>
      <c r="IZ132" s="42"/>
      <c r="JA132" s="42"/>
      <c r="JB132" s="42"/>
      <c r="JC132" s="42"/>
      <c r="JD132" s="42"/>
      <c r="JE132" s="42"/>
      <c r="JF132" s="42"/>
      <c r="JG132" s="42"/>
      <c r="JH132" s="42"/>
      <c r="JI132" s="42"/>
      <c r="JJ132" s="42"/>
      <c r="JK132" s="42"/>
      <c r="JL132" s="42"/>
      <c r="JM132" s="42"/>
      <c r="JN132" s="42"/>
      <c r="JO132" s="42"/>
      <c r="JP132" s="42"/>
      <c r="JQ132" s="42"/>
      <c r="JR132" s="42"/>
      <c r="JS132" s="42"/>
      <c r="JT132" s="42"/>
      <c r="JU132" s="42"/>
      <c r="JV132" s="42"/>
      <c r="JW132" s="42"/>
      <c r="JX132" s="42"/>
      <c r="JY132" s="42"/>
      <c r="JZ132" s="42"/>
      <c r="KA132" s="42"/>
    </row>
    <row r="133" spans="1:287">
      <c r="A133" s="13" t="s">
        <v>377</v>
      </c>
      <c r="B133" s="13" t="s">
        <v>364</v>
      </c>
      <c r="C133" s="17"/>
      <c r="J133" s="19"/>
      <c r="Q133" s="19"/>
      <c r="R133" s="17"/>
      <c r="Y133" s="19"/>
      <c r="AF133" s="19"/>
      <c r="AG133" s="17"/>
      <c r="AV133" s="17"/>
      <c r="BK133" s="17"/>
      <c r="BZ133" s="17"/>
      <c r="CO133" s="17"/>
      <c r="DD133" s="17"/>
      <c r="DE133" s="17"/>
      <c r="DS133" s="17"/>
      <c r="DT133" s="17"/>
      <c r="EH133" s="17"/>
      <c r="EI133" s="17"/>
      <c r="EW133" s="17"/>
      <c r="EX133" s="17"/>
      <c r="FL133" s="17"/>
      <c r="FM133" s="17"/>
      <c r="GA133" s="17"/>
      <c r="GB133" s="17"/>
      <c r="GP133" s="17"/>
      <c r="GQ133" s="17"/>
      <c r="HE133" s="17"/>
      <c r="HF133" s="17"/>
      <c r="HT133" s="17"/>
      <c r="HU133" s="17"/>
      <c r="II133" s="42"/>
      <c r="IJ133" s="42"/>
      <c r="IK133" s="42"/>
      <c r="IL133" s="42"/>
      <c r="IM133" s="42"/>
      <c r="IN133" s="42"/>
      <c r="IO133" s="42"/>
      <c r="IP133" s="42"/>
      <c r="IQ133" s="42"/>
      <c r="IR133" s="42"/>
      <c r="IS133" s="42"/>
      <c r="IT133" s="42"/>
      <c r="IU133" s="42"/>
      <c r="IV133" s="42"/>
      <c r="IW133" s="42"/>
      <c r="IX133" s="42"/>
      <c r="IY133" s="42"/>
      <c r="IZ133" s="42"/>
      <c r="JA133" s="42"/>
      <c r="JB133" s="42"/>
      <c r="JC133" s="42"/>
      <c r="JD133" s="42"/>
      <c r="JE133" s="42"/>
      <c r="JF133" s="42"/>
      <c r="JG133" s="42"/>
      <c r="JH133" s="42"/>
      <c r="JI133" s="42"/>
      <c r="JJ133" s="42"/>
      <c r="JK133" s="42"/>
      <c r="JL133" s="42"/>
      <c r="JM133" s="42"/>
      <c r="JN133" s="42"/>
      <c r="JO133" s="42"/>
      <c r="JP133" s="42"/>
      <c r="JQ133" s="42"/>
      <c r="JR133" s="42"/>
      <c r="JS133" s="42"/>
      <c r="JT133" s="42"/>
      <c r="JU133" s="42"/>
      <c r="JV133" s="42"/>
      <c r="JW133" s="42"/>
      <c r="JX133" s="42"/>
      <c r="JY133" s="42"/>
      <c r="JZ133" s="42"/>
      <c r="KA133" s="42"/>
    </row>
    <row r="134" spans="1:287">
      <c r="A134" s="13" t="s">
        <v>379</v>
      </c>
      <c r="B134" s="13" t="s">
        <v>380</v>
      </c>
      <c r="C134" s="17"/>
      <c r="J134" s="19"/>
      <c r="Q134" s="19"/>
      <c r="R134" s="17"/>
      <c r="Y134" s="19"/>
      <c r="AF134" s="19"/>
      <c r="AG134" s="17"/>
      <c r="AV134" s="17"/>
      <c r="BK134" s="17"/>
      <c r="BZ134" s="17"/>
      <c r="CO134" s="17"/>
      <c r="DD134" s="17"/>
      <c r="DE134" s="17"/>
      <c r="DS134" s="17"/>
      <c r="DT134" s="17"/>
      <c r="EH134" s="17"/>
      <c r="EI134" s="17"/>
      <c r="EW134" s="17"/>
      <c r="EX134" s="17"/>
      <c r="FL134" s="17"/>
      <c r="FM134" s="17"/>
      <c r="GA134" s="17"/>
      <c r="GB134" s="17"/>
      <c r="GP134" s="17"/>
      <c r="GQ134" s="17"/>
      <c r="HE134" s="17"/>
      <c r="HF134" s="17"/>
      <c r="HT134" s="17"/>
      <c r="HU134" s="17"/>
      <c r="II134" s="42"/>
      <c r="IJ134" s="42"/>
      <c r="IK134" s="42"/>
      <c r="IL134" s="42"/>
      <c r="IM134" s="42"/>
      <c r="IN134" s="42"/>
      <c r="IO134" s="42"/>
      <c r="IP134" s="42"/>
      <c r="IQ134" s="42"/>
      <c r="IR134" s="42"/>
      <c r="IS134" s="42"/>
      <c r="IT134" s="42"/>
      <c r="IU134" s="42"/>
      <c r="IV134" s="42"/>
      <c r="IW134" s="42"/>
      <c r="IX134" s="42"/>
      <c r="IY134" s="42"/>
      <c r="IZ134" s="42"/>
      <c r="JA134" s="42"/>
      <c r="JB134" s="42"/>
      <c r="JC134" s="42"/>
      <c r="JD134" s="42"/>
      <c r="JE134" s="42"/>
      <c r="JF134" s="42"/>
      <c r="JG134" s="42"/>
      <c r="JH134" s="42"/>
      <c r="JI134" s="42"/>
      <c r="JJ134" s="42"/>
      <c r="JK134" s="42"/>
      <c r="JL134" s="42"/>
      <c r="JM134" s="42"/>
      <c r="JN134" s="42"/>
      <c r="JO134" s="42"/>
      <c r="JP134" s="42"/>
      <c r="JQ134" s="42"/>
      <c r="JR134" s="42"/>
      <c r="JS134" s="42"/>
      <c r="JT134" s="42"/>
      <c r="JU134" s="42"/>
      <c r="JV134" s="42"/>
      <c r="JW134" s="42"/>
      <c r="JX134" s="42"/>
      <c r="JY134" s="42"/>
      <c r="JZ134" s="42"/>
      <c r="KA134" s="42"/>
    </row>
    <row r="135" spans="1:287">
      <c r="A135" s="24" t="s">
        <v>383</v>
      </c>
      <c r="B135" s="24" t="s">
        <v>384</v>
      </c>
      <c r="C135" s="17"/>
      <c r="J135" s="19"/>
      <c r="Q135" s="19"/>
      <c r="R135" s="17"/>
      <c r="Y135" s="19"/>
      <c r="AF135" s="19"/>
      <c r="AG135" s="17"/>
      <c r="AV135" s="17"/>
      <c r="BK135" s="17"/>
      <c r="BZ135" s="17"/>
      <c r="CO135" s="17"/>
      <c r="DD135" s="17"/>
      <c r="DE135" s="17"/>
      <c r="DS135" s="17"/>
      <c r="DT135" s="17"/>
      <c r="EH135" s="17"/>
      <c r="EI135" s="17"/>
      <c r="EW135" s="17"/>
      <c r="EX135" s="17"/>
      <c r="FL135" s="17"/>
      <c r="FM135" s="17"/>
      <c r="GA135" s="17"/>
      <c r="GB135" s="17"/>
      <c r="GP135" s="17"/>
      <c r="GQ135" s="17"/>
      <c r="HE135" s="17"/>
      <c r="HF135" s="17"/>
      <c r="HT135" s="17"/>
      <c r="HU135" s="17"/>
      <c r="II135" s="42"/>
      <c r="IJ135" s="42"/>
      <c r="IK135" s="42"/>
      <c r="IL135" s="42"/>
      <c r="IM135" s="42"/>
      <c r="IN135" s="42"/>
      <c r="IO135" s="42"/>
      <c r="IP135" s="42"/>
      <c r="IQ135" s="42"/>
      <c r="IR135" s="42"/>
      <c r="IS135" s="42"/>
      <c r="IT135" s="42"/>
      <c r="IU135" s="42"/>
      <c r="IV135" s="42"/>
      <c r="IW135" s="42"/>
      <c r="IX135" s="42"/>
      <c r="IY135" s="42"/>
      <c r="IZ135" s="42"/>
      <c r="JA135" s="42"/>
      <c r="JB135" s="42"/>
      <c r="JC135" s="42"/>
      <c r="JD135" s="42"/>
      <c r="JE135" s="42"/>
      <c r="JF135" s="42"/>
      <c r="JG135" s="42"/>
      <c r="JH135" s="42"/>
      <c r="JI135" s="42"/>
      <c r="JJ135" s="42"/>
      <c r="JK135" s="42"/>
      <c r="JL135" s="42"/>
      <c r="JM135" s="42"/>
      <c r="JN135" s="42"/>
      <c r="JO135" s="42"/>
      <c r="JP135" s="42"/>
      <c r="JQ135" s="42"/>
      <c r="JR135" s="42"/>
      <c r="JS135" s="42"/>
      <c r="JT135" s="42"/>
      <c r="JU135" s="42"/>
      <c r="JV135" s="42"/>
      <c r="JW135" s="42"/>
      <c r="JX135" s="42"/>
      <c r="JY135" s="42"/>
      <c r="JZ135" s="42"/>
      <c r="KA135" s="42"/>
    </row>
    <row r="136" spans="1:287" ht="17.25" customHeight="1">
      <c r="A136" s="13" t="s">
        <v>385</v>
      </c>
      <c r="B136" s="13" t="s">
        <v>384</v>
      </c>
      <c r="C136" s="17"/>
      <c r="J136" s="19"/>
      <c r="Q136" s="19"/>
      <c r="R136" s="17"/>
      <c r="Y136" s="19"/>
      <c r="AF136" s="19"/>
      <c r="AG136" s="17"/>
      <c r="AV136" s="17"/>
      <c r="BK136" s="17"/>
      <c r="BZ136" s="17"/>
      <c r="CO136" s="17"/>
      <c r="DD136" s="17"/>
      <c r="DE136" s="17"/>
      <c r="DS136" s="17"/>
      <c r="DT136" s="17"/>
      <c r="EH136" s="17"/>
      <c r="EI136" s="17"/>
      <c r="EW136" s="17"/>
      <c r="EX136" s="17"/>
      <c r="FL136" s="17"/>
      <c r="FM136" s="17"/>
      <c r="GA136" s="17"/>
      <c r="GB136" s="17"/>
      <c r="GP136" s="17"/>
      <c r="GQ136" s="17"/>
      <c r="HE136" s="17"/>
      <c r="HF136" s="17"/>
      <c r="HT136" s="17"/>
      <c r="HU136" s="17"/>
      <c r="II136" s="42"/>
      <c r="IJ136" s="42"/>
      <c r="IK136" s="42"/>
      <c r="IL136" s="42"/>
      <c r="IM136" s="42"/>
      <c r="IN136" s="42"/>
      <c r="IO136" s="42"/>
      <c r="IP136" s="42"/>
      <c r="IQ136" s="42"/>
      <c r="IR136" s="42"/>
      <c r="IS136" s="42"/>
      <c r="IT136" s="42"/>
      <c r="IU136" s="42"/>
      <c r="IV136" s="42"/>
      <c r="IW136" s="42"/>
      <c r="IX136" s="42"/>
      <c r="IY136" s="42"/>
      <c r="IZ136" s="42"/>
      <c r="JA136" s="42"/>
      <c r="JB136" s="42"/>
      <c r="JC136" s="42"/>
      <c r="JD136" s="42"/>
      <c r="JE136" s="42"/>
      <c r="JF136" s="42"/>
      <c r="JG136" s="42"/>
      <c r="JH136" s="42"/>
      <c r="JI136" s="42"/>
      <c r="JJ136" s="42"/>
      <c r="JK136" s="42"/>
      <c r="JL136" s="42"/>
      <c r="JM136" s="42"/>
      <c r="JN136" s="42"/>
      <c r="JO136" s="42"/>
      <c r="JP136" s="42"/>
      <c r="JQ136" s="42"/>
      <c r="JR136" s="42"/>
      <c r="JS136" s="42"/>
      <c r="JT136" s="42"/>
      <c r="JU136" s="42"/>
      <c r="JV136" s="42"/>
      <c r="JW136" s="42"/>
      <c r="JX136" s="42"/>
      <c r="JY136" s="42"/>
      <c r="JZ136" s="42"/>
      <c r="KA136" s="42"/>
    </row>
    <row r="137" spans="1:287" ht="31.5">
      <c r="A137" s="13" t="s">
        <v>389</v>
      </c>
      <c r="B137" s="13" t="s">
        <v>384</v>
      </c>
      <c r="C137" s="17"/>
      <c r="J137" s="19"/>
      <c r="Q137" s="19"/>
      <c r="R137" s="17"/>
      <c r="Y137" s="19"/>
      <c r="AF137" s="19"/>
      <c r="AG137" s="17"/>
      <c r="AV137" s="17"/>
      <c r="BK137" s="17"/>
      <c r="BZ137" s="17"/>
      <c r="CO137" s="17"/>
      <c r="DD137" s="17"/>
      <c r="DE137" s="17"/>
      <c r="DS137" s="17"/>
      <c r="DT137" s="17"/>
      <c r="EH137" s="17"/>
      <c r="EI137" s="17"/>
      <c r="EW137" s="17"/>
      <c r="EX137" s="17"/>
      <c r="FL137" s="17"/>
      <c r="FM137" s="17"/>
      <c r="GA137" s="17"/>
      <c r="GB137" s="17"/>
      <c r="GP137" s="17"/>
      <c r="GQ137" s="17"/>
      <c r="HE137" s="17"/>
      <c r="HF137" s="17"/>
      <c r="HT137" s="17"/>
      <c r="HU137" s="17"/>
      <c r="II137" s="42"/>
      <c r="IJ137" s="42"/>
      <c r="IK137" s="42"/>
      <c r="IL137" s="42"/>
      <c r="IM137" s="42"/>
      <c r="IN137" s="42"/>
      <c r="IO137" s="42"/>
      <c r="IP137" s="42"/>
      <c r="IQ137" s="42"/>
      <c r="IR137" s="42"/>
      <c r="IS137" s="42"/>
      <c r="IT137" s="42"/>
      <c r="IU137" s="42"/>
      <c r="IV137" s="42"/>
      <c r="IW137" s="42"/>
      <c r="IX137" s="42"/>
      <c r="IY137" s="42"/>
      <c r="IZ137" s="42"/>
      <c r="JA137" s="42"/>
      <c r="JB137" s="42"/>
      <c r="JC137" s="42"/>
      <c r="JD137" s="42"/>
      <c r="JE137" s="42"/>
      <c r="JF137" s="42"/>
      <c r="JG137" s="42"/>
      <c r="JH137" s="42"/>
      <c r="JI137" s="42"/>
      <c r="JJ137" s="42"/>
      <c r="JK137" s="42"/>
      <c r="JL137" s="42"/>
      <c r="JM137" s="42"/>
      <c r="JN137" s="42"/>
      <c r="JO137" s="42"/>
      <c r="JP137" s="42"/>
      <c r="JQ137" s="42"/>
      <c r="JR137" s="42"/>
      <c r="JS137" s="42"/>
      <c r="JT137" s="42"/>
      <c r="JU137" s="42"/>
      <c r="JV137" s="42"/>
      <c r="JW137" s="42"/>
      <c r="JX137" s="42"/>
      <c r="JY137" s="42"/>
      <c r="JZ137" s="42"/>
      <c r="KA137" s="42"/>
    </row>
    <row r="138" spans="1:287">
      <c r="A138" s="29" t="s">
        <v>390</v>
      </c>
      <c r="B138" s="24" t="s">
        <v>384</v>
      </c>
      <c r="C138" s="17"/>
      <c r="J138" s="19"/>
      <c r="Q138" s="18"/>
      <c r="R138" s="17"/>
      <c r="Y138" s="19"/>
      <c r="AF138" s="36"/>
      <c r="AG138" s="17"/>
      <c r="AV138" s="17"/>
      <c r="BK138" s="17"/>
      <c r="BZ138" s="17"/>
      <c r="CO138" s="17"/>
      <c r="DD138" s="17"/>
      <c r="DE138" s="17"/>
      <c r="DS138" s="17"/>
      <c r="DT138" s="17"/>
      <c r="EH138" s="17"/>
      <c r="EI138" s="17"/>
      <c r="EW138" s="17"/>
      <c r="EX138" s="17"/>
      <c r="FL138" s="17"/>
      <c r="FM138" s="17"/>
      <c r="GA138" s="17"/>
      <c r="GB138" s="17"/>
      <c r="GP138" s="17"/>
      <c r="GQ138" s="17"/>
      <c r="HE138" s="17"/>
      <c r="HF138" s="17"/>
      <c r="HT138" s="17"/>
      <c r="HU138" s="17"/>
      <c r="II138" s="42"/>
      <c r="IJ138" s="42"/>
      <c r="IK138" s="42"/>
      <c r="IL138" s="42"/>
      <c r="IM138" s="42"/>
      <c r="IN138" s="42"/>
      <c r="IO138" s="42"/>
      <c r="IP138" s="42"/>
      <c r="IQ138" s="42"/>
      <c r="IR138" s="42"/>
      <c r="IS138" s="42"/>
      <c r="IT138" s="42"/>
      <c r="IU138" s="42"/>
      <c r="IV138" s="42"/>
      <c r="IW138" s="42"/>
      <c r="IX138" s="42"/>
      <c r="IY138" s="42"/>
      <c r="IZ138" s="42"/>
      <c r="JA138" s="42"/>
      <c r="JB138" s="42"/>
      <c r="JC138" s="42"/>
      <c r="JD138" s="42"/>
      <c r="JE138" s="42"/>
      <c r="JF138" s="42"/>
      <c r="JG138" s="42"/>
      <c r="JH138" s="42"/>
      <c r="JI138" s="42"/>
      <c r="JJ138" s="42"/>
      <c r="JK138" s="42"/>
      <c r="JL138" s="42"/>
      <c r="JM138" s="42"/>
      <c r="JN138" s="42"/>
      <c r="JO138" s="42"/>
      <c r="JP138" s="42"/>
      <c r="JQ138" s="42"/>
      <c r="JR138" s="42"/>
      <c r="JS138" s="42"/>
      <c r="JT138" s="42"/>
      <c r="JU138" s="42"/>
      <c r="JV138" s="42"/>
      <c r="JW138" s="42"/>
      <c r="JX138" s="42"/>
      <c r="JY138" s="42"/>
      <c r="JZ138" s="42"/>
      <c r="KA138" s="42"/>
    </row>
    <row r="139" spans="1:287">
      <c r="A139" s="13" t="s">
        <v>394</v>
      </c>
      <c r="B139" s="13" t="s">
        <v>384</v>
      </c>
      <c r="C139" s="17"/>
      <c r="J139" s="19"/>
      <c r="Q139" s="19"/>
      <c r="R139" s="17"/>
      <c r="Y139" s="19"/>
      <c r="AF139" s="18"/>
      <c r="AG139" s="17"/>
      <c r="AV139" s="17"/>
      <c r="BK139" s="17"/>
      <c r="BZ139" s="17"/>
      <c r="CO139" s="17"/>
      <c r="DD139" s="17"/>
      <c r="DE139" s="17"/>
      <c r="DS139" s="17"/>
      <c r="DT139" s="17"/>
      <c r="EH139" s="17"/>
      <c r="EI139" s="17"/>
      <c r="EW139" s="17"/>
      <c r="EX139" s="17"/>
      <c r="FL139" s="17"/>
      <c r="FM139" s="17"/>
      <c r="GA139" s="17"/>
      <c r="GB139" s="17"/>
      <c r="GP139" s="17"/>
      <c r="GQ139" s="17"/>
      <c r="HE139" s="17"/>
      <c r="HF139" s="17"/>
      <c r="HT139" s="17"/>
      <c r="HU139" s="17"/>
      <c r="II139" s="42"/>
      <c r="IJ139" s="42"/>
      <c r="IK139" s="42"/>
      <c r="IL139" s="42"/>
      <c r="IM139" s="42"/>
      <c r="IN139" s="42"/>
      <c r="IO139" s="42"/>
      <c r="IP139" s="42"/>
      <c r="IQ139" s="42"/>
      <c r="IR139" s="42"/>
      <c r="IS139" s="42"/>
      <c r="IT139" s="42"/>
      <c r="IU139" s="42"/>
      <c r="IV139" s="42"/>
      <c r="IW139" s="42"/>
      <c r="IX139" s="42"/>
      <c r="IY139" s="42"/>
      <c r="IZ139" s="42"/>
      <c r="JA139" s="42"/>
      <c r="JB139" s="42"/>
      <c r="JC139" s="42"/>
      <c r="JD139" s="42"/>
      <c r="JE139" s="42"/>
      <c r="JF139" s="42"/>
      <c r="JG139" s="42"/>
      <c r="JH139" s="42"/>
      <c r="JI139" s="42"/>
      <c r="JJ139" s="42"/>
      <c r="JK139" s="42"/>
      <c r="JL139" s="42"/>
      <c r="JM139" s="42"/>
      <c r="JN139" s="42"/>
      <c r="JO139" s="42"/>
      <c r="JP139" s="42"/>
      <c r="JQ139" s="42"/>
      <c r="JR139" s="42"/>
      <c r="JS139" s="42"/>
      <c r="JT139" s="42"/>
      <c r="JU139" s="42"/>
      <c r="JV139" s="42"/>
      <c r="JW139" s="42"/>
      <c r="JX139" s="42"/>
      <c r="JY139" s="42"/>
      <c r="JZ139" s="42"/>
      <c r="KA139" s="39"/>
    </row>
    <row r="140" spans="1:287">
      <c r="A140" s="13" t="s">
        <v>395</v>
      </c>
      <c r="B140" s="13" t="s">
        <v>384</v>
      </c>
      <c r="C140" s="17"/>
      <c r="J140" s="19"/>
      <c r="Q140" s="19"/>
      <c r="R140" s="17"/>
      <c r="Y140" s="19"/>
      <c r="AF140" s="19"/>
      <c r="AG140" s="17"/>
      <c r="AV140" s="17"/>
      <c r="BK140" s="17"/>
      <c r="BZ140" s="17"/>
      <c r="CO140" s="17"/>
      <c r="DD140" s="17"/>
      <c r="DE140" s="17"/>
      <c r="DS140" s="17"/>
      <c r="DT140" s="17"/>
      <c r="EH140" s="17"/>
      <c r="EI140" s="17"/>
      <c r="EW140" s="17"/>
      <c r="EX140" s="17"/>
      <c r="FL140" s="17"/>
      <c r="FM140" s="17"/>
      <c r="GA140" s="17"/>
      <c r="GB140" s="17"/>
      <c r="GP140" s="17"/>
      <c r="GQ140" s="17"/>
      <c r="HE140" s="17"/>
      <c r="HF140" s="17"/>
      <c r="HT140" s="17"/>
      <c r="HU140" s="17"/>
      <c r="II140" s="42"/>
      <c r="IJ140" s="42"/>
      <c r="IK140" s="42"/>
      <c r="IL140" s="42"/>
      <c r="IM140" s="42"/>
      <c r="IN140" s="42"/>
      <c r="IO140" s="42"/>
      <c r="IP140" s="42"/>
      <c r="IQ140" s="42"/>
      <c r="IR140" s="42"/>
      <c r="IS140" s="42"/>
      <c r="IT140" s="42"/>
      <c r="IU140" s="42"/>
      <c r="IV140" s="42"/>
      <c r="IW140" s="42"/>
      <c r="IX140" s="42"/>
      <c r="IY140" s="42"/>
      <c r="IZ140" s="42"/>
      <c r="JA140" s="42"/>
      <c r="JB140" s="42"/>
      <c r="JC140" s="42"/>
      <c r="JD140" s="42"/>
      <c r="JE140" s="42"/>
      <c r="JF140" s="42"/>
      <c r="JG140" s="42"/>
      <c r="JH140" s="42"/>
      <c r="JI140" s="42"/>
      <c r="JJ140" s="42"/>
      <c r="JK140" s="42"/>
      <c r="JL140" s="42"/>
      <c r="JM140" s="42"/>
      <c r="JN140" s="42"/>
      <c r="JO140" s="42"/>
      <c r="JP140" s="42"/>
      <c r="JQ140" s="42"/>
      <c r="JR140" s="42"/>
      <c r="JS140" s="42"/>
      <c r="JT140" s="42"/>
      <c r="JU140" s="42"/>
      <c r="JV140" s="42"/>
      <c r="JW140" s="42"/>
      <c r="JX140" s="42"/>
      <c r="JY140" s="42"/>
      <c r="JZ140" s="42"/>
      <c r="KA140" s="42"/>
    </row>
    <row r="141" spans="1:287" ht="31.5">
      <c r="A141" s="13" t="s">
        <v>398</v>
      </c>
      <c r="B141" s="13" t="s">
        <v>399</v>
      </c>
      <c r="C141" s="17"/>
      <c r="J141" s="19"/>
      <c r="Q141" s="19"/>
      <c r="R141" s="17"/>
      <c r="Y141" s="19"/>
      <c r="AF141" s="19"/>
      <c r="AG141" s="17"/>
      <c r="AV141" s="17"/>
      <c r="BK141" s="17"/>
      <c r="BZ141" s="17"/>
      <c r="CO141" s="17"/>
      <c r="DD141" s="17"/>
      <c r="DE141" s="17"/>
      <c r="DS141" s="17"/>
      <c r="DT141" s="17"/>
      <c r="EH141" s="17"/>
      <c r="EI141" s="17"/>
      <c r="EW141" s="17"/>
      <c r="EX141" s="17"/>
      <c r="FL141" s="17"/>
      <c r="FM141" s="17"/>
      <c r="GA141" s="17"/>
      <c r="GB141" s="17"/>
      <c r="GP141" s="17"/>
      <c r="GQ141" s="17"/>
      <c r="HE141" s="17"/>
      <c r="HF141" s="17"/>
      <c r="HT141" s="17"/>
      <c r="HU141" s="17"/>
      <c r="II141" s="42"/>
      <c r="IJ141" s="42"/>
      <c r="IK141" s="42"/>
      <c r="IL141" s="42"/>
      <c r="IM141" s="42"/>
      <c r="IN141" s="42"/>
      <c r="IO141" s="42"/>
      <c r="IP141" s="42"/>
      <c r="IQ141" s="42"/>
      <c r="IR141" s="42"/>
      <c r="IS141" s="42"/>
      <c r="IT141" s="42"/>
      <c r="IU141" s="42"/>
      <c r="IV141" s="42"/>
      <c r="IW141" s="42"/>
      <c r="IX141" s="42"/>
      <c r="IY141" s="42"/>
      <c r="IZ141" s="42"/>
      <c r="JA141" s="42"/>
      <c r="JB141" s="42"/>
      <c r="JC141" s="42"/>
      <c r="JD141" s="42"/>
      <c r="JE141" s="42"/>
      <c r="JF141" s="42"/>
      <c r="JG141" s="42"/>
      <c r="JH141" s="42"/>
      <c r="JI141" s="42"/>
      <c r="JJ141" s="42"/>
      <c r="JK141" s="42"/>
      <c r="JL141" s="42"/>
      <c r="JM141" s="42"/>
      <c r="JN141" s="42"/>
      <c r="JO141" s="42"/>
      <c r="JP141" s="42"/>
      <c r="JQ141" s="42"/>
      <c r="JR141" s="42"/>
      <c r="JS141" s="42"/>
      <c r="JT141" s="42"/>
      <c r="JU141" s="42"/>
      <c r="JV141" s="42"/>
      <c r="JW141" s="42"/>
      <c r="JX141" s="42"/>
      <c r="JY141" s="42"/>
      <c r="JZ141" s="42"/>
      <c r="KA141" s="42"/>
    </row>
    <row r="142" spans="1:287" ht="31.5">
      <c r="A142" s="13" t="s">
        <v>400</v>
      </c>
      <c r="B142" s="13" t="s">
        <v>401</v>
      </c>
      <c r="C142" s="15">
        <v>27.824369000000001</v>
      </c>
      <c r="D142" s="15">
        <v>-82.433543999999998</v>
      </c>
      <c r="E142" s="15">
        <v>6</v>
      </c>
      <c r="J142" s="19"/>
      <c r="Q142" s="19"/>
      <c r="Y142" s="19"/>
      <c r="AF142" s="19"/>
      <c r="II142" s="42"/>
      <c r="IJ142" s="42"/>
      <c r="IK142" s="42"/>
      <c r="IL142" s="42"/>
      <c r="IM142" s="42"/>
      <c r="IN142" s="42"/>
      <c r="IO142" s="42"/>
      <c r="IP142" s="42"/>
      <c r="IQ142" s="42"/>
      <c r="IR142" s="42"/>
      <c r="IS142" s="42"/>
      <c r="IT142" s="42"/>
      <c r="IU142" s="42"/>
      <c r="IV142" s="42"/>
      <c r="IW142" s="42"/>
      <c r="IX142" s="42"/>
      <c r="IY142" s="42"/>
      <c r="IZ142" s="42"/>
      <c r="JA142" s="42"/>
      <c r="JB142" s="42"/>
      <c r="JC142" s="42"/>
      <c r="JD142" s="42"/>
      <c r="JE142" s="42"/>
      <c r="JF142" s="42"/>
      <c r="JG142" s="42"/>
      <c r="JH142" s="42"/>
      <c r="JI142" s="42"/>
      <c r="JJ142" s="42"/>
      <c r="JK142" s="42"/>
      <c r="JL142" s="42"/>
      <c r="JM142" s="42"/>
      <c r="JN142" s="42"/>
      <c r="JO142" s="42"/>
      <c r="JP142" s="42"/>
      <c r="JQ142" s="42"/>
      <c r="JR142" s="42"/>
      <c r="JS142" s="42"/>
      <c r="JT142" s="42"/>
      <c r="JU142" s="42"/>
      <c r="JV142" s="42"/>
      <c r="JW142" s="42"/>
      <c r="JX142" s="42"/>
      <c r="JY142" s="42"/>
      <c r="JZ142" s="42"/>
      <c r="KA142" s="42"/>
    </row>
    <row r="143" spans="1:287" ht="31.5">
      <c r="A143" s="20" t="s">
        <v>404</v>
      </c>
      <c r="B143" s="13" t="s">
        <v>401</v>
      </c>
      <c r="C143" s="102"/>
      <c r="D143" s="105"/>
      <c r="J143" s="19"/>
      <c r="Q143" s="19"/>
      <c r="R143" s="102"/>
      <c r="S143" s="105"/>
      <c r="Y143" s="19"/>
      <c r="AF143" s="19"/>
      <c r="CO143" s="102"/>
      <c r="CP143" s="105"/>
      <c r="II143" s="42"/>
      <c r="IJ143" s="42"/>
      <c r="IK143" s="42"/>
      <c r="IL143" s="42"/>
      <c r="IM143" s="42"/>
      <c r="IN143" s="42"/>
      <c r="IO143" s="42"/>
      <c r="IP143" s="42"/>
      <c r="IQ143" s="42"/>
      <c r="IR143" s="42"/>
      <c r="IS143" s="42"/>
      <c r="IT143" s="42"/>
      <c r="IU143" s="42"/>
      <c r="IV143" s="42"/>
      <c r="IW143" s="42"/>
      <c r="IX143" s="42"/>
      <c r="IY143" s="42"/>
      <c r="IZ143" s="42"/>
      <c r="JA143" s="42"/>
      <c r="JB143" s="42"/>
      <c r="JC143" s="42"/>
      <c r="JD143" s="42"/>
      <c r="JE143" s="42"/>
      <c r="JF143" s="42"/>
      <c r="JG143" s="42"/>
      <c r="JH143" s="42"/>
      <c r="JI143" s="42"/>
      <c r="JJ143" s="42"/>
      <c r="JK143" s="42"/>
      <c r="JL143" s="42"/>
      <c r="JM143" s="42"/>
      <c r="JN143" s="42"/>
      <c r="JO143" s="42"/>
      <c r="JP143" s="42"/>
      <c r="JQ143" s="42"/>
      <c r="JR143" s="42"/>
      <c r="JS143" s="42"/>
      <c r="JT143" s="42"/>
      <c r="JU143" s="42"/>
      <c r="JV143" s="42"/>
      <c r="JW143" s="42"/>
      <c r="JX143" s="42"/>
      <c r="JY143" s="42"/>
      <c r="JZ143" s="42"/>
      <c r="KA143" s="42"/>
    </row>
    <row r="144" spans="1:287" ht="64.5">
      <c r="A144" s="20" t="s">
        <v>405</v>
      </c>
      <c r="B144" s="13" t="s">
        <v>401</v>
      </c>
      <c r="C144" s="15">
        <v>27.950636599999999</v>
      </c>
      <c r="D144" s="15">
        <v>-82.545401799999993</v>
      </c>
      <c r="E144" s="15">
        <v>0</v>
      </c>
      <c r="F144" s="15">
        <v>0</v>
      </c>
      <c r="G144" s="15">
        <v>0</v>
      </c>
      <c r="H144" s="15">
        <v>0</v>
      </c>
      <c r="I144" s="15">
        <v>0</v>
      </c>
      <c r="J144" s="18">
        <v>0</v>
      </c>
      <c r="K144" s="15">
        <v>0</v>
      </c>
      <c r="L144" s="15">
        <v>0</v>
      </c>
      <c r="M144" s="15">
        <v>0</v>
      </c>
      <c r="N144" s="15">
        <v>0</v>
      </c>
      <c r="O144" s="15">
        <v>0</v>
      </c>
      <c r="P144" s="15">
        <v>0</v>
      </c>
      <c r="Q144" s="18" t="s">
        <v>1368</v>
      </c>
      <c r="Y144" s="19"/>
      <c r="AF144" s="19"/>
      <c r="II144" s="42"/>
      <c r="IJ144" s="42"/>
      <c r="IK144" s="42"/>
      <c r="IL144" s="42"/>
      <c r="IM144" s="42"/>
      <c r="IN144" s="42"/>
      <c r="IO144" s="42"/>
      <c r="IP144" s="42"/>
      <c r="IQ144" s="42"/>
      <c r="IR144" s="42"/>
      <c r="IS144" s="42"/>
      <c r="IT144" s="42"/>
      <c r="IU144" s="42"/>
      <c r="IV144" s="42"/>
      <c r="IW144" s="42"/>
      <c r="IX144" s="42"/>
      <c r="IY144" s="42"/>
      <c r="IZ144" s="42"/>
      <c r="JA144" s="42"/>
      <c r="JB144" s="42"/>
      <c r="JC144" s="42"/>
      <c r="JD144" s="42"/>
      <c r="JE144" s="42"/>
      <c r="JF144" s="42"/>
      <c r="JG144" s="42"/>
      <c r="JH144" s="42"/>
      <c r="JI144" s="42"/>
      <c r="JJ144" s="42"/>
      <c r="JK144" s="42"/>
      <c r="JL144" s="42"/>
      <c r="JM144" s="42"/>
      <c r="JN144" s="42"/>
      <c r="JO144" s="42"/>
      <c r="JP144" s="42"/>
      <c r="JQ144" s="42"/>
      <c r="JR144" s="42"/>
      <c r="JS144" s="42"/>
      <c r="JT144" s="42"/>
      <c r="JU144" s="42"/>
      <c r="JV144" s="42"/>
      <c r="JW144" s="42"/>
      <c r="JX144" s="42"/>
      <c r="JY144" s="42"/>
      <c r="JZ144" s="42"/>
      <c r="KA144" s="42"/>
    </row>
    <row r="145" spans="1:299" ht="31.5">
      <c r="A145" s="24" t="s">
        <v>409</v>
      </c>
      <c r="B145" s="24" t="s">
        <v>401</v>
      </c>
      <c r="C145" s="102">
        <v>27.581457</v>
      </c>
      <c r="D145" s="105">
        <v>-82.762737000000001</v>
      </c>
      <c r="E145" s="15">
        <v>2</v>
      </c>
      <c r="F145" s="15" t="s">
        <v>1369</v>
      </c>
      <c r="G145" s="15">
        <v>0</v>
      </c>
      <c r="H145" s="15">
        <v>0</v>
      </c>
      <c r="I145" s="15">
        <v>0</v>
      </c>
      <c r="J145" s="18">
        <v>0</v>
      </c>
      <c r="K145" s="15">
        <v>0</v>
      </c>
      <c r="L145" s="15">
        <v>0</v>
      </c>
      <c r="M145" s="15">
        <v>0</v>
      </c>
      <c r="N145" s="15">
        <v>0</v>
      </c>
      <c r="O145" s="15">
        <v>0</v>
      </c>
      <c r="P145" s="15">
        <v>0</v>
      </c>
      <c r="Q145" s="19"/>
      <c r="R145" s="102">
        <v>27.591432000000001</v>
      </c>
      <c r="S145" s="105">
        <v>-82.764131000000006</v>
      </c>
      <c r="T145" s="15">
        <v>2</v>
      </c>
      <c r="U145" s="15" t="s">
        <v>1370</v>
      </c>
      <c r="V145" s="15">
        <v>0</v>
      </c>
      <c r="W145" s="15">
        <v>0</v>
      </c>
      <c r="X145" s="15">
        <v>0</v>
      </c>
      <c r="Y145" s="18">
        <v>0</v>
      </c>
      <c r="Z145" s="15">
        <v>0</v>
      </c>
      <c r="AA145" s="15">
        <v>0</v>
      </c>
      <c r="AB145" s="15">
        <v>0</v>
      </c>
      <c r="AC145" s="15">
        <v>0</v>
      </c>
      <c r="AD145" s="15">
        <v>0</v>
      </c>
      <c r="AE145" s="15">
        <v>0</v>
      </c>
      <c r="AF145" s="18">
        <v>0</v>
      </c>
      <c r="AG145" s="15">
        <v>27.583321000000002</v>
      </c>
      <c r="AH145" s="15">
        <v>-82.760311999999999</v>
      </c>
      <c r="AI145" s="15">
        <v>0</v>
      </c>
      <c r="AJ145" s="15">
        <v>0</v>
      </c>
      <c r="AK145" s="15">
        <v>0</v>
      </c>
      <c r="AL145" s="15">
        <v>0</v>
      </c>
      <c r="AM145" s="15">
        <v>0</v>
      </c>
      <c r="AN145" s="15">
        <v>0</v>
      </c>
      <c r="AO145" s="15">
        <v>1</v>
      </c>
      <c r="AP145" s="15">
        <v>0</v>
      </c>
      <c r="AQ145" s="15">
        <v>0</v>
      </c>
      <c r="AR145" s="15">
        <v>0</v>
      </c>
      <c r="AS145" s="15">
        <v>0</v>
      </c>
      <c r="AT145" s="15">
        <v>0</v>
      </c>
      <c r="AU145" s="15" t="s">
        <v>1371</v>
      </c>
      <c r="AV145" s="15">
        <v>27.577444</v>
      </c>
      <c r="AW145" s="15">
        <v>-82.756922000000003</v>
      </c>
      <c r="AX145" s="15">
        <v>0</v>
      </c>
      <c r="AY145" s="15">
        <v>0</v>
      </c>
      <c r="AZ145" s="15">
        <v>0</v>
      </c>
      <c r="BA145" s="15">
        <v>0</v>
      </c>
      <c r="BB145" s="15">
        <v>0</v>
      </c>
      <c r="BC145" s="15">
        <v>0</v>
      </c>
      <c r="BD145" s="15">
        <v>0</v>
      </c>
      <c r="BE145" s="15">
        <v>0</v>
      </c>
      <c r="BF145" s="15">
        <v>0</v>
      </c>
      <c r="BG145" s="15">
        <v>0</v>
      </c>
      <c r="BH145" s="15">
        <v>0</v>
      </c>
      <c r="BI145" s="15">
        <v>0</v>
      </c>
      <c r="BJ145" s="15" t="s">
        <v>1372</v>
      </c>
      <c r="II145" s="42"/>
      <c r="IJ145" s="42"/>
      <c r="IK145" s="42"/>
      <c r="IL145" s="42"/>
      <c r="IM145" s="42"/>
      <c r="IN145" s="42"/>
      <c r="IO145" s="42"/>
      <c r="IP145" s="42"/>
      <c r="IQ145" s="42"/>
      <c r="IR145" s="42"/>
      <c r="IS145" s="42"/>
      <c r="IT145" s="42"/>
      <c r="IU145" s="42"/>
      <c r="IV145" s="42"/>
      <c r="IW145" s="42"/>
      <c r="IX145" s="42"/>
      <c r="IY145" s="42"/>
      <c r="IZ145" s="42"/>
      <c r="JA145" s="42"/>
      <c r="JB145" s="42"/>
      <c r="JC145" s="42"/>
      <c r="JD145" s="42"/>
      <c r="JE145" s="42"/>
      <c r="JF145" s="42"/>
      <c r="JG145" s="42"/>
      <c r="JH145" s="42"/>
      <c r="JI145" s="42"/>
      <c r="JJ145" s="42"/>
      <c r="JK145" s="42"/>
      <c r="JL145" s="42"/>
      <c r="JM145" s="42"/>
      <c r="JN145" s="42"/>
      <c r="JO145" s="42"/>
      <c r="JP145" s="42"/>
      <c r="JQ145" s="42"/>
      <c r="JR145" s="42"/>
      <c r="JS145" s="42"/>
      <c r="JT145" s="42"/>
      <c r="JU145" s="42"/>
      <c r="JV145" s="42"/>
      <c r="JW145" s="42"/>
      <c r="JX145" s="42"/>
      <c r="JY145" s="42"/>
      <c r="JZ145" s="42"/>
      <c r="KA145" s="42"/>
    </row>
    <row r="146" spans="1:299" ht="31.5">
      <c r="A146" s="20" t="s">
        <v>413</v>
      </c>
      <c r="B146" s="13" t="s">
        <v>401</v>
      </c>
      <c r="C146" s="17"/>
      <c r="J146" s="19"/>
      <c r="Q146" s="19"/>
      <c r="R146" s="17"/>
      <c r="Y146" s="19"/>
      <c r="AF146" s="19"/>
      <c r="AG146" s="17"/>
      <c r="AV146" s="17"/>
      <c r="BK146" s="17"/>
      <c r="BZ146" s="17"/>
      <c r="CO146" s="17"/>
      <c r="DD146" s="17"/>
      <c r="DE146" s="17"/>
      <c r="DS146" s="17"/>
      <c r="DT146" s="17"/>
      <c r="EH146" s="17"/>
      <c r="EI146" s="17"/>
      <c r="EW146" s="17"/>
      <c r="EX146" s="17"/>
      <c r="FL146" s="17"/>
      <c r="FM146" s="17"/>
      <c r="GA146" s="17"/>
      <c r="GB146" s="17"/>
      <c r="GP146" s="17"/>
      <c r="GQ146" s="17"/>
      <c r="HE146" s="17"/>
      <c r="HF146" s="17"/>
      <c r="HT146" s="17"/>
      <c r="HU146" s="17"/>
      <c r="II146" s="42"/>
      <c r="IJ146" s="42"/>
      <c r="IK146" s="42"/>
      <c r="IL146" s="42"/>
      <c r="IM146" s="42"/>
      <c r="IN146" s="42"/>
      <c r="IO146" s="42"/>
      <c r="IP146" s="42"/>
      <c r="IQ146" s="42"/>
      <c r="IR146" s="42"/>
      <c r="IS146" s="42"/>
      <c r="IT146" s="42"/>
      <c r="IU146" s="42"/>
      <c r="IV146" s="42"/>
      <c r="IW146" s="42"/>
      <c r="IX146" s="42"/>
      <c r="IY146" s="42"/>
      <c r="IZ146" s="42"/>
      <c r="JA146" s="42"/>
      <c r="JB146" s="42"/>
      <c r="JC146" s="42"/>
      <c r="JD146" s="42"/>
      <c r="JE146" s="42"/>
      <c r="JF146" s="42"/>
      <c r="JG146" s="42"/>
      <c r="JH146" s="42"/>
      <c r="JI146" s="42"/>
      <c r="JJ146" s="42"/>
      <c r="JK146" s="42"/>
      <c r="JL146" s="42"/>
      <c r="JM146" s="42"/>
      <c r="JN146" s="42"/>
      <c r="JO146" s="42"/>
      <c r="JP146" s="42"/>
      <c r="JQ146" s="42"/>
      <c r="JR146" s="42"/>
      <c r="JS146" s="42"/>
      <c r="JT146" s="42"/>
      <c r="JU146" s="42"/>
      <c r="JV146" s="42"/>
      <c r="JW146" s="42"/>
      <c r="JX146" s="42"/>
      <c r="JY146" s="42"/>
      <c r="JZ146" s="42"/>
      <c r="KA146" s="42"/>
    </row>
    <row r="147" spans="1:299" ht="31.5">
      <c r="A147" s="20" t="s">
        <v>415</v>
      </c>
      <c r="B147" s="13" t="s">
        <v>401</v>
      </c>
      <c r="C147" s="17"/>
      <c r="J147" s="19"/>
      <c r="Q147" s="19"/>
      <c r="R147" s="17"/>
      <c r="T147" s="15">
        <v>0</v>
      </c>
      <c r="V147" s="15">
        <v>0</v>
      </c>
      <c r="X147" s="15">
        <v>0</v>
      </c>
      <c r="Y147" s="19"/>
      <c r="Z147" s="15">
        <v>0</v>
      </c>
      <c r="AB147" s="15">
        <v>0</v>
      </c>
      <c r="AD147" s="15">
        <v>0</v>
      </c>
      <c r="AF147" s="19"/>
      <c r="AG147" s="17"/>
      <c r="AV147" s="17"/>
      <c r="BK147" s="17"/>
      <c r="BZ147" s="17"/>
      <c r="CO147" s="17"/>
      <c r="DD147" s="17"/>
      <c r="DE147" s="17"/>
      <c r="DS147" s="17"/>
      <c r="DT147" s="17"/>
      <c r="EH147" s="17"/>
      <c r="EI147" s="17"/>
      <c r="EW147" s="17"/>
      <c r="EX147" s="17"/>
      <c r="FL147" s="17"/>
      <c r="FM147" s="17"/>
      <c r="GA147" s="17"/>
      <c r="GB147" s="17"/>
      <c r="GP147" s="17"/>
      <c r="GQ147" s="17"/>
      <c r="HE147" s="17"/>
      <c r="HF147" s="17"/>
      <c r="HT147" s="17"/>
      <c r="HU147" s="17"/>
      <c r="II147" s="42"/>
      <c r="IJ147" s="42"/>
      <c r="IK147" s="42"/>
      <c r="IL147" s="42"/>
      <c r="IM147" s="42"/>
      <c r="IN147" s="42"/>
      <c r="IO147" s="42"/>
      <c r="IP147" s="42"/>
      <c r="IQ147" s="42"/>
      <c r="IR147" s="42"/>
      <c r="IS147" s="42"/>
      <c r="IT147" s="42"/>
      <c r="IU147" s="42"/>
      <c r="IV147" s="42"/>
      <c r="IW147" s="42"/>
      <c r="IX147" s="42"/>
      <c r="IY147" s="42"/>
      <c r="IZ147" s="42"/>
      <c r="JA147" s="42"/>
      <c r="JB147" s="42"/>
      <c r="JC147" s="42"/>
      <c r="JD147" s="42"/>
      <c r="JE147" s="42"/>
      <c r="JF147" s="42"/>
      <c r="JG147" s="42"/>
      <c r="JH147" s="42"/>
      <c r="JI147" s="42"/>
      <c r="JJ147" s="42"/>
      <c r="JK147" s="42"/>
      <c r="JL147" s="42"/>
      <c r="JM147" s="42"/>
      <c r="JN147" s="42"/>
      <c r="JO147" s="42"/>
      <c r="JP147" s="42"/>
      <c r="JQ147" s="42"/>
      <c r="JR147" s="42"/>
      <c r="JS147" s="42"/>
      <c r="JT147" s="42"/>
      <c r="JU147" s="42"/>
      <c r="JV147" s="42"/>
      <c r="JW147" s="42"/>
      <c r="JX147" s="42"/>
      <c r="JY147" s="42"/>
      <c r="JZ147" s="42"/>
      <c r="KA147" s="42"/>
    </row>
    <row r="148" spans="1:299" ht="31.5">
      <c r="A148" s="24" t="s">
        <v>418</v>
      </c>
      <c r="B148" s="24" t="s">
        <v>401</v>
      </c>
      <c r="C148" s="17"/>
      <c r="J148" s="19"/>
      <c r="Q148" s="19"/>
      <c r="R148" s="17"/>
      <c r="Y148" s="19"/>
      <c r="AF148" s="19"/>
      <c r="AG148" s="17"/>
      <c r="AV148" s="17"/>
      <c r="BK148" s="17"/>
      <c r="BZ148" s="17"/>
      <c r="CO148" s="17"/>
      <c r="DD148" s="17"/>
      <c r="DE148" s="17"/>
      <c r="DS148" s="17"/>
      <c r="DT148" s="17"/>
      <c r="EH148" s="17"/>
      <c r="EI148" s="17"/>
      <c r="EW148" s="17"/>
      <c r="EX148" s="17"/>
      <c r="FL148" s="17"/>
      <c r="FM148" s="17"/>
      <c r="GA148" s="17"/>
      <c r="GB148" s="17"/>
      <c r="GP148" s="17"/>
      <c r="GQ148" s="17"/>
      <c r="HE148" s="17"/>
      <c r="HF148" s="17"/>
      <c r="HT148" s="17"/>
      <c r="HU148" s="17"/>
      <c r="II148" s="42"/>
      <c r="IJ148" s="42"/>
      <c r="IK148" s="42"/>
      <c r="IL148" s="42"/>
      <c r="IM148" s="42"/>
      <c r="IN148" s="42"/>
      <c r="IO148" s="42"/>
      <c r="IP148" s="42"/>
      <c r="IQ148" s="42"/>
      <c r="IR148" s="42"/>
      <c r="IS148" s="42"/>
      <c r="IT148" s="42"/>
      <c r="IU148" s="42"/>
      <c r="IV148" s="42"/>
      <c r="IW148" s="42"/>
      <c r="IX148" s="42"/>
      <c r="IY148" s="42"/>
      <c r="IZ148" s="42"/>
      <c r="JA148" s="42"/>
      <c r="JB148" s="42"/>
      <c r="JC148" s="42"/>
      <c r="JD148" s="42"/>
      <c r="JE148" s="42"/>
      <c r="JF148" s="42"/>
      <c r="JG148" s="42"/>
      <c r="JH148" s="42"/>
      <c r="JI148" s="42"/>
      <c r="JJ148" s="42"/>
      <c r="JK148" s="42"/>
      <c r="JL148" s="42"/>
      <c r="JM148" s="42"/>
      <c r="JN148" s="42"/>
      <c r="JO148" s="42"/>
      <c r="JP148" s="42"/>
      <c r="JQ148" s="42"/>
      <c r="JR148" s="42"/>
      <c r="JS148" s="42"/>
      <c r="JT148" s="42"/>
      <c r="JU148" s="42"/>
      <c r="JV148" s="42"/>
      <c r="JW148" s="42"/>
      <c r="JX148" s="42"/>
      <c r="JY148" s="42"/>
      <c r="JZ148" s="42"/>
      <c r="KA148" s="106"/>
      <c r="KE148" s="25"/>
      <c r="KK148" s="25"/>
      <c r="KM148" s="25"/>
    </row>
    <row r="149" spans="1:299" ht="31.5">
      <c r="A149" s="13" t="s">
        <v>421</v>
      </c>
      <c r="B149" s="13" t="s">
        <v>422</v>
      </c>
      <c r="C149" s="17"/>
      <c r="J149" s="19"/>
      <c r="Q149" s="19"/>
      <c r="R149" s="17"/>
      <c r="Y149" s="19"/>
      <c r="AF149" s="19"/>
      <c r="AG149" s="17"/>
      <c r="AV149" s="17"/>
      <c r="BK149" s="17"/>
      <c r="BZ149" s="17"/>
      <c r="CO149" s="17"/>
      <c r="DD149" s="17"/>
      <c r="DE149" s="17"/>
      <c r="DS149" s="17"/>
      <c r="DT149" s="17"/>
      <c r="EH149" s="17"/>
      <c r="EI149" s="17"/>
      <c r="EW149" s="17"/>
      <c r="EX149" s="17"/>
      <c r="FL149" s="17"/>
      <c r="FM149" s="17"/>
      <c r="GA149" s="17"/>
      <c r="GB149" s="17"/>
      <c r="GP149" s="17"/>
      <c r="GQ149" s="17"/>
      <c r="HE149" s="17"/>
      <c r="HF149" s="17"/>
      <c r="HT149" s="17"/>
      <c r="HU149" s="17"/>
      <c r="II149" s="42"/>
      <c r="IJ149" s="42"/>
      <c r="IK149" s="42"/>
      <c r="IL149" s="42"/>
      <c r="IM149" s="42"/>
      <c r="IN149" s="42"/>
      <c r="IO149" s="42"/>
      <c r="IP149" s="42"/>
      <c r="IQ149" s="42"/>
      <c r="IR149" s="42"/>
      <c r="IS149" s="42"/>
      <c r="IT149" s="42"/>
      <c r="IU149" s="42"/>
      <c r="IV149" s="42"/>
      <c r="IW149" s="42"/>
      <c r="IX149" s="42"/>
      <c r="IY149" s="42"/>
      <c r="IZ149" s="42"/>
      <c r="JA149" s="42"/>
      <c r="JB149" s="42"/>
      <c r="JC149" s="42"/>
      <c r="JD149" s="42"/>
      <c r="JE149" s="42"/>
      <c r="JF149" s="42"/>
      <c r="JG149" s="42"/>
      <c r="JH149" s="42"/>
      <c r="JI149" s="42"/>
      <c r="JJ149" s="42"/>
      <c r="JK149" s="42"/>
      <c r="JL149" s="42"/>
      <c r="JM149" s="42"/>
      <c r="JN149" s="42"/>
      <c r="JO149" s="42"/>
      <c r="JP149" s="42"/>
      <c r="JQ149" s="42"/>
      <c r="JR149" s="42"/>
      <c r="JS149" s="42"/>
      <c r="JT149" s="42"/>
      <c r="JU149" s="42"/>
      <c r="JV149" s="42"/>
      <c r="JW149" s="42"/>
      <c r="JX149" s="42"/>
      <c r="JY149" s="42"/>
      <c r="JZ149" s="42"/>
      <c r="KA149" s="42"/>
    </row>
    <row r="150" spans="1:299" ht="31.5">
      <c r="A150" s="13" t="s">
        <v>425</v>
      </c>
      <c r="B150" s="13" t="s">
        <v>422</v>
      </c>
      <c r="C150" s="17"/>
      <c r="J150" s="19"/>
      <c r="Q150" s="19"/>
      <c r="R150" s="17"/>
      <c r="Y150" s="19"/>
      <c r="AF150" s="19"/>
      <c r="AG150" s="17"/>
      <c r="AV150" s="17"/>
      <c r="BK150" s="17"/>
      <c r="BZ150" s="17"/>
      <c r="CO150" s="17"/>
      <c r="DD150" s="17"/>
      <c r="DE150" s="17"/>
      <c r="DS150" s="17"/>
      <c r="DT150" s="17"/>
      <c r="EH150" s="17"/>
      <c r="EI150" s="17"/>
      <c r="EW150" s="17"/>
      <c r="EX150" s="17"/>
      <c r="FL150" s="17"/>
      <c r="FM150" s="17"/>
      <c r="GA150" s="17"/>
      <c r="GB150" s="17"/>
      <c r="GP150" s="17"/>
      <c r="GQ150" s="17"/>
      <c r="HE150" s="17"/>
      <c r="HF150" s="17"/>
      <c r="HT150" s="17"/>
      <c r="HU150" s="17"/>
      <c r="II150" s="42"/>
      <c r="IJ150" s="42"/>
      <c r="IK150" s="42"/>
      <c r="IL150" s="42"/>
      <c r="IM150" s="42"/>
      <c r="IN150" s="42"/>
      <c r="IO150" s="42"/>
      <c r="IP150" s="42"/>
      <c r="IQ150" s="42"/>
      <c r="IR150" s="42"/>
      <c r="IS150" s="42"/>
      <c r="IT150" s="42"/>
      <c r="IU150" s="42"/>
      <c r="IV150" s="42"/>
      <c r="IW150" s="42"/>
      <c r="IX150" s="42"/>
      <c r="IY150" s="42"/>
      <c r="IZ150" s="42"/>
      <c r="JA150" s="42"/>
      <c r="JB150" s="42"/>
      <c r="JC150" s="42"/>
      <c r="JD150" s="42"/>
      <c r="JE150" s="42"/>
      <c r="JF150" s="42"/>
      <c r="JG150" s="42"/>
      <c r="JH150" s="42"/>
      <c r="JI150" s="42"/>
      <c r="JJ150" s="42"/>
      <c r="JK150" s="42"/>
      <c r="JL150" s="42"/>
      <c r="JM150" s="42"/>
      <c r="JN150" s="42"/>
      <c r="JO150" s="42"/>
      <c r="JP150" s="42"/>
      <c r="JQ150" s="42"/>
      <c r="JR150" s="42"/>
      <c r="JS150" s="42"/>
      <c r="JT150" s="42"/>
      <c r="JU150" s="42"/>
      <c r="JV150" s="42"/>
      <c r="JW150" s="42"/>
      <c r="JX150" s="42"/>
      <c r="JY150" s="42"/>
      <c r="JZ150" s="42"/>
      <c r="KA150" s="42"/>
    </row>
    <row r="151" spans="1:299">
      <c r="A151" s="13" t="s">
        <v>428</v>
      </c>
      <c r="B151" s="13" t="s">
        <v>422</v>
      </c>
      <c r="C151" s="17"/>
      <c r="J151" s="19"/>
      <c r="Q151" s="19"/>
      <c r="R151" s="17"/>
      <c r="Y151" s="19"/>
      <c r="AF151" s="19"/>
      <c r="AG151" s="17"/>
      <c r="AV151" s="17"/>
      <c r="BK151" s="17"/>
      <c r="BZ151" s="17"/>
      <c r="CO151" s="17"/>
      <c r="DD151" s="17"/>
      <c r="DE151" s="17"/>
      <c r="DS151" s="17"/>
      <c r="DT151" s="17"/>
      <c r="EH151" s="17"/>
      <c r="EI151" s="17"/>
      <c r="EW151" s="17"/>
      <c r="EX151" s="17"/>
      <c r="FL151" s="17"/>
      <c r="FM151" s="17"/>
      <c r="GA151" s="17"/>
      <c r="GB151" s="17"/>
      <c r="GP151" s="17"/>
      <c r="GQ151" s="17"/>
      <c r="HE151" s="17"/>
      <c r="HF151" s="17"/>
      <c r="HT151" s="17"/>
      <c r="HU151" s="17"/>
      <c r="II151" s="42"/>
      <c r="IJ151" s="42"/>
      <c r="IK151" s="42"/>
      <c r="IL151" s="42"/>
      <c r="IM151" s="42"/>
      <c r="IN151" s="42"/>
      <c r="IO151" s="42"/>
      <c r="IP151" s="42"/>
      <c r="IQ151" s="42"/>
      <c r="IR151" s="42"/>
      <c r="IS151" s="42"/>
      <c r="IT151" s="42"/>
      <c r="IU151" s="42"/>
      <c r="IV151" s="42"/>
      <c r="IW151" s="42"/>
      <c r="IX151" s="42"/>
      <c r="IY151" s="42"/>
      <c r="IZ151" s="42"/>
      <c r="JA151" s="42"/>
      <c r="JB151" s="42"/>
      <c r="JC151" s="42"/>
      <c r="JD151" s="42"/>
      <c r="JE151" s="42"/>
      <c r="JF151" s="42"/>
      <c r="JG151" s="42"/>
      <c r="JH151" s="42"/>
      <c r="JI151" s="42"/>
      <c r="JJ151" s="42"/>
      <c r="JK151" s="42"/>
      <c r="JL151" s="42"/>
      <c r="JM151" s="42"/>
      <c r="JN151" s="42"/>
      <c r="JO151" s="42"/>
      <c r="JP151" s="42"/>
      <c r="JQ151" s="42"/>
      <c r="JR151" s="42"/>
      <c r="JS151" s="42"/>
      <c r="JT151" s="42"/>
      <c r="JU151" s="42"/>
      <c r="JV151" s="42"/>
      <c r="JW151" s="42"/>
      <c r="JX151" s="42"/>
      <c r="JY151" s="42"/>
      <c r="JZ151" s="42"/>
      <c r="KA151" s="42"/>
    </row>
    <row r="152" spans="1:299" ht="31.5">
      <c r="A152" s="13" t="s">
        <v>429</v>
      </c>
      <c r="B152" s="13" t="s">
        <v>422</v>
      </c>
      <c r="C152" s="17"/>
      <c r="J152" s="18"/>
      <c r="Q152" s="19"/>
      <c r="R152" s="17"/>
      <c r="Y152" s="19"/>
      <c r="AF152" s="19"/>
      <c r="AG152" s="17"/>
      <c r="AV152" s="17"/>
      <c r="BK152" s="17"/>
      <c r="BZ152" s="17"/>
      <c r="CO152" s="17"/>
      <c r="DD152" s="17"/>
      <c r="DE152" s="17"/>
      <c r="DS152" s="17"/>
      <c r="DT152" s="17"/>
      <c r="EH152" s="17"/>
      <c r="EI152" s="17"/>
      <c r="EW152" s="17"/>
      <c r="EX152" s="17"/>
      <c r="FL152" s="17"/>
      <c r="FM152" s="17"/>
      <c r="GA152" s="17"/>
      <c r="GB152" s="17"/>
      <c r="GP152" s="17"/>
      <c r="GQ152" s="17"/>
      <c r="HE152" s="17"/>
      <c r="HF152" s="17"/>
      <c r="HT152" s="17"/>
      <c r="HU152" s="17"/>
      <c r="II152" s="42"/>
      <c r="IJ152" s="42"/>
      <c r="IK152" s="42"/>
      <c r="IL152" s="42"/>
      <c r="IM152" s="42"/>
      <c r="IN152" s="42"/>
      <c r="IO152" s="42"/>
      <c r="IP152" s="42"/>
      <c r="IQ152" s="42"/>
      <c r="IR152" s="42"/>
      <c r="IS152" s="42"/>
      <c r="IT152" s="42"/>
      <c r="IU152" s="42"/>
      <c r="IV152" s="42"/>
      <c r="IW152" s="42"/>
      <c r="IX152" s="42"/>
      <c r="IY152" s="42"/>
      <c r="IZ152" s="42"/>
      <c r="JA152" s="42"/>
      <c r="JB152" s="42"/>
      <c r="JC152" s="42"/>
      <c r="JD152" s="42"/>
      <c r="JE152" s="42"/>
      <c r="JF152" s="42"/>
      <c r="JG152" s="42"/>
      <c r="JH152" s="42"/>
      <c r="JI152" s="42"/>
      <c r="JJ152" s="42"/>
      <c r="JK152" s="42"/>
      <c r="JL152" s="42"/>
      <c r="JM152" s="42"/>
      <c r="JN152" s="42"/>
      <c r="JO152" s="42"/>
      <c r="JP152" s="42"/>
      <c r="JQ152" s="42"/>
      <c r="JR152" s="42"/>
      <c r="JS152" s="42"/>
      <c r="JT152" s="42"/>
      <c r="JU152" s="42"/>
      <c r="JV152" s="42"/>
      <c r="JW152" s="42"/>
      <c r="JX152" s="42"/>
      <c r="JY152" s="42"/>
      <c r="JZ152" s="42"/>
      <c r="KA152" s="42"/>
    </row>
    <row r="153" spans="1:299">
      <c r="A153" s="24" t="s">
        <v>431</v>
      </c>
      <c r="B153" s="24" t="s">
        <v>422</v>
      </c>
      <c r="C153" s="15">
        <v>27.653469999999999</v>
      </c>
      <c r="D153" s="15">
        <v>-80.355310000000003</v>
      </c>
      <c r="E153" s="15">
        <v>0</v>
      </c>
      <c r="F153" s="15">
        <v>0</v>
      </c>
      <c r="G153" s="15">
        <v>2</v>
      </c>
      <c r="H153" s="15">
        <v>0</v>
      </c>
      <c r="I153" s="15">
        <v>0</v>
      </c>
      <c r="J153" s="18">
        <v>0</v>
      </c>
      <c r="K153" s="15">
        <v>0</v>
      </c>
      <c r="L153" s="15">
        <v>0</v>
      </c>
      <c r="M153" s="15">
        <v>0</v>
      </c>
      <c r="N153" s="15">
        <v>0</v>
      </c>
      <c r="O153" s="15">
        <v>0</v>
      </c>
      <c r="P153" s="15">
        <v>0</v>
      </c>
      <c r="Q153" s="18"/>
      <c r="R153" s="17"/>
      <c r="Y153" s="19"/>
      <c r="AF153" s="19"/>
      <c r="AG153" s="17"/>
      <c r="AV153" s="17"/>
      <c r="BK153" s="17"/>
      <c r="BZ153" s="17"/>
      <c r="CO153" s="17"/>
      <c r="DD153" s="17"/>
      <c r="DE153" s="17"/>
      <c r="DS153" s="17"/>
      <c r="DT153" s="17"/>
      <c r="EH153" s="17"/>
      <c r="EI153" s="17"/>
      <c r="EW153" s="17"/>
      <c r="EX153" s="17"/>
      <c r="FL153" s="17"/>
      <c r="FM153" s="17"/>
      <c r="GA153" s="17"/>
      <c r="GB153" s="17"/>
      <c r="GP153" s="17"/>
      <c r="GQ153" s="17"/>
      <c r="HE153" s="17"/>
      <c r="HF153" s="17"/>
      <c r="HT153" s="17"/>
      <c r="HU153" s="17"/>
      <c r="II153" s="42"/>
      <c r="IJ153" s="42"/>
      <c r="IK153" s="42"/>
      <c r="IL153" s="42"/>
      <c r="IM153" s="42"/>
      <c r="IN153" s="42"/>
      <c r="IO153" s="42"/>
      <c r="IP153" s="42"/>
      <c r="IQ153" s="42"/>
      <c r="IR153" s="42"/>
      <c r="IS153" s="42"/>
      <c r="IT153" s="42"/>
      <c r="IU153" s="42"/>
      <c r="IV153" s="42"/>
      <c r="IW153" s="42"/>
      <c r="IX153" s="42"/>
      <c r="IY153" s="42"/>
      <c r="IZ153" s="42"/>
      <c r="JA153" s="42"/>
      <c r="JB153" s="42"/>
      <c r="JC153" s="42"/>
      <c r="JD153" s="42"/>
      <c r="JE153" s="42"/>
      <c r="JF153" s="42"/>
      <c r="JG153" s="42"/>
      <c r="JH153" s="42"/>
      <c r="JI153" s="42"/>
      <c r="JJ153" s="42"/>
      <c r="JK153" s="42"/>
      <c r="JL153" s="42"/>
      <c r="JM153" s="42"/>
      <c r="JN153" s="42"/>
      <c r="JO153" s="42"/>
      <c r="JP153" s="42"/>
      <c r="JQ153" s="42"/>
      <c r="JR153" s="42"/>
      <c r="JS153" s="42"/>
      <c r="JT153" s="42"/>
      <c r="JU153" s="42"/>
      <c r="JV153" s="42"/>
      <c r="JW153" s="42"/>
      <c r="JX153" s="42"/>
      <c r="JY153" s="42"/>
      <c r="JZ153" s="42"/>
      <c r="KA153" s="42"/>
    </row>
    <row r="154" spans="1:299">
      <c r="A154" s="13" t="s">
        <v>434</v>
      </c>
      <c r="B154" s="13" t="s">
        <v>435</v>
      </c>
      <c r="C154" s="17"/>
      <c r="J154" s="18"/>
      <c r="Q154" s="18"/>
      <c r="R154" s="17"/>
      <c r="Y154" s="19"/>
      <c r="AF154" s="19"/>
      <c r="AG154" s="17"/>
      <c r="AV154" s="17"/>
      <c r="BK154" s="17"/>
      <c r="BZ154" s="17"/>
      <c r="CO154" s="17"/>
      <c r="DD154" s="17"/>
      <c r="DE154" s="17"/>
      <c r="DS154" s="17"/>
      <c r="DT154" s="17"/>
      <c r="EH154" s="17"/>
      <c r="EI154" s="17"/>
      <c r="EW154" s="17"/>
      <c r="EX154" s="17"/>
      <c r="FL154" s="17"/>
      <c r="FM154" s="17"/>
      <c r="GA154" s="17"/>
      <c r="GB154" s="17"/>
      <c r="GP154" s="17"/>
      <c r="GQ154" s="17"/>
      <c r="HE154" s="17"/>
      <c r="HF154" s="17"/>
      <c r="HT154" s="17"/>
      <c r="HU154" s="17"/>
      <c r="II154" s="42"/>
      <c r="IJ154" s="42"/>
      <c r="IK154" s="42"/>
      <c r="IL154" s="42"/>
      <c r="IM154" s="42"/>
      <c r="IN154" s="42"/>
      <c r="IO154" s="42"/>
      <c r="IP154" s="42"/>
      <c r="IQ154" s="42"/>
      <c r="IR154" s="42"/>
      <c r="IS154" s="42"/>
      <c r="IT154" s="42"/>
      <c r="IU154" s="42"/>
      <c r="IV154" s="42"/>
      <c r="IW154" s="42"/>
      <c r="IX154" s="42"/>
      <c r="IY154" s="42"/>
      <c r="IZ154" s="42"/>
      <c r="JA154" s="42"/>
      <c r="JB154" s="42"/>
      <c r="JC154" s="42"/>
      <c r="JD154" s="42"/>
      <c r="JE154" s="42"/>
      <c r="JF154" s="42"/>
      <c r="JG154" s="42"/>
      <c r="JH154" s="42"/>
      <c r="JI154" s="42"/>
      <c r="JJ154" s="42"/>
      <c r="JK154" s="42"/>
      <c r="JL154" s="42"/>
      <c r="JM154" s="42"/>
      <c r="JN154" s="42"/>
      <c r="JO154" s="42"/>
      <c r="JP154" s="42"/>
      <c r="JQ154" s="42"/>
      <c r="JR154" s="42"/>
      <c r="JS154" s="42"/>
      <c r="JT154" s="42"/>
      <c r="JU154" s="42"/>
      <c r="JV154" s="42"/>
      <c r="JW154" s="42"/>
      <c r="JX154" s="42"/>
      <c r="JY154" s="42"/>
      <c r="JZ154" s="42"/>
      <c r="KA154" s="42"/>
    </row>
    <row r="155" spans="1:299">
      <c r="A155" s="20" t="s">
        <v>436</v>
      </c>
      <c r="B155" s="24" t="s">
        <v>437</v>
      </c>
      <c r="C155" s="17"/>
      <c r="J155" s="19"/>
      <c r="Q155" s="19"/>
      <c r="R155" s="17"/>
      <c r="Y155" s="19"/>
      <c r="AF155" s="19"/>
      <c r="AG155" s="17"/>
      <c r="AV155" s="17"/>
      <c r="BK155" s="17"/>
      <c r="BZ155" s="17"/>
      <c r="CO155" s="17"/>
      <c r="DD155" s="17"/>
      <c r="DE155" s="17"/>
      <c r="DS155" s="17"/>
      <c r="DT155" s="17"/>
      <c r="EH155" s="17"/>
      <c r="EI155" s="17"/>
      <c r="EW155" s="17"/>
      <c r="EX155" s="17"/>
      <c r="FL155" s="17"/>
      <c r="FM155" s="17"/>
      <c r="GA155" s="17"/>
      <c r="GB155" s="17"/>
      <c r="GP155" s="17"/>
      <c r="GQ155" s="17"/>
      <c r="HE155" s="17"/>
      <c r="HF155" s="17"/>
      <c r="HT155" s="17"/>
      <c r="HU155" s="17"/>
      <c r="II155" s="42"/>
      <c r="IJ155" s="42"/>
      <c r="IK155" s="42"/>
      <c r="IL155" s="42"/>
      <c r="IM155" s="42"/>
      <c r="IN155" s="42"/>
      <c r="IO155" s="42"/>
      <c r="IP155" s="42"/>
      <c r="IQ155" s="42"/>
      <c r="IR155" s="42"/>
      <c r="IS155" s="42"/>
      <c r="IT155" s="42"/>
      <c r="IU155" s="42"/>
      <c r="IV155" s="42"/>
      <c r="IW155" s="42"/>
      <c r="IX155" s="42"/>
      <c r="IY155" s="42"/>
      <c r="IZ155" s="42"/>
      <c r="JA155" s="42"/>
      <c r="JB155" s="42"/>
      <c r="JC155" s="42"/>
      <c r="JD155" s="42"/>
      <c r="JE155" s="42"/>
      <c r="JF155" s="42"/>
      <c r="JG155" s="42"/>
      <c r="JH155" s="42"/>
      <c r="JI155" s="42"/>
      <c r="JJ155" s="42"/>
      <c r="JK155" s="42"/>
      <c r="JL155" s="42"/>
      <c r="JM155" s="42"/>
      <c r="JN155" s="42"/>
      <c r="JO155" s="42"/>
      <c r="JP155" s="42"/>
      <c r="JQ155" s="42"/>
      <c r="JR155" s="42"/>
      <c r="JS155" s="42"/>
      <c r="JT155" s="42"/>
      <c r="JU155" s="42"/>
      <c r="JV155" s="42"/>
      <c r="JW155" s="42"/>
      <c r="JX155" s="42"/>
      <c r="JY155" s="42"/>
      <c r="JZ155" s="42"/>
      <c r="KA155" s="42"/>
    </row>
    <row r="156" spans="1:299">
      <c r="A156" s="29" t="s">
        <v>438</v>
      </c>
      <c r="B156" s="24" t="s">
        <v>437</v>
      </c>
      <c r="C156" s="15">
        <v>26.365096000000001</v>
      </c>
      <c r="D156" s="15">
        <v>-81.862049999999996</v>
      </c>
      <c r="E156" s="15">
        <v>0</v>
      </c>
      <c r="F156" s="15">
        <v>0</v>
      </c>
      <c r="G156" s="15">
        <v>0</v>
      </c>
      <c r="H156" s="15">
        <v>0</v>
      </c>
      <c r="I156" s="15">
        <v>0</v>
      </c>
      <c r="J156" s="18">
        <v>0</v>
      </c>
      <c r="K156" s="15">
        <v>0</v>
      </c>
      <c r="L156" s="15">
        <v>0</v>
      </c>
      <c r="M156" s="15">
        <v>0</v>
      </c>
      <c r="N156" s="15">
        <v>0</v>
      </c>
      <c r="O156" s="15">
        <v>1</v>
      </c>
      <c r="P156" s="15">
        <v>0</v>
      </c>
      <c r="Q156" s="18">
        <v>0</v>
      </c>
      <c r="R156" s="15">
        <v>0</v>
      </c>
      <c r="S156" s="15">
        <v>0</v>
      </c>
      <c r="T156" s="15">
        <v>0</v>
      </c>
      <c r="U156" s="15">
        <v>0</v>
      </c>
      <c r="V156" s="15">
        <v>0</v>
      </c>
      <c r="W156" s="15">
        <v>0</v>
      </c>
      <c r="X156" s="15">
        <v>0</v>
      </c>
      <c r="Y156" s="18">
        <v>0</v>
      </c>
      <c r="Z156" s="15">
        <v>0</v>
      </c>
      <c r="AA156" s="15">
        <v>0</v>
      </c>
      <c r="AB156" s="15">
        <v>0</v>
      </c>
      <c r="AC156" s="15">
        <v>0</v>
      </c>
      <c r="AD156" s="15">
        <v>0</v>
      </c>
      <c r="AE156" s="15">
        <v>0</v>
      </c>
      <c r="AF156" s="18">
        <v>0</v>
      </c>
      <c r="AG156" s="15">
        <v>0</v>
      </c>
      <c r="AH156" s="15">
        <v>0</v>
      </c>
      <c r="AI156" s="15">
        <v>0</v>
      </c>
      <c r="AJ156" s="15">
        <v>0</v>
      </c>
      <c r="AK156" s="15">
        <v>0</v>
      </c>
      <c r="AL156" s="15">
        <v>0</v>
      </c>
      <c r="AM156" s="15">
        <v>0</v>
      </c>
      <c r="AN156" s="15">
        <v>0</v>
      </c>
      <c r="AO156" s="15">
        <v>0</v>
      </c>
      <c r="AP156" s="15">
        <v>0</v>
      </c>
      <c r="AQ156" s="15">
        <v>0</v>
      </c>
      <c r="AR156" s="15">
        <v>0</v>
      </c>
      <c r="AS156" s="15">
        <v>0</v>
      </c>
      <c r="AT156" s="15">
        <v>0</v>
      </c>
      <c r="AU156" s="15">
        <v>0</v>
      </c>
      <c r="AV156" s="15">
        <v>0</v>
      </c>
      <c r="AW156" s="15">
        <v>0</v>
      </c>
      <c r="AX156" s="15">
        <v>0</v>
      </c>
      <c r="AY156" s="15">
        <v>0</v>
      </c>
      <c r="AZ156" s="15">
        <v>0</v>
      </c>
      <c r="BA156" s="15">
        <v>0</v>
      </c>
      <c r="BB156" s="15">
        <v>0</v>
      </c>
      <c r="BC156" s="15">
        <v>0</v>
      </c>
      <c r="BD156" s="15">
        <v>0</v>
      </c>
      <c r="BE156" s="15">
        <v>0</v>
      </c>
      <c r="BF156" s="15">
        <v>0</v>
      </c>
      <c r="BG156" s="15">
        <v>0</v>
      </c>
      <c r="BH156" s="15">
        <v>0</v>
      </c>
      <c r="BI156" s="15">
        <v>0</v>
      </c>
      <c r="BJ156" s="15">
        <v>0</v>
      </c>
      <c r="BK156" s="15">
        <v>0</v>
      </c>
      <c r="BL156" s="15">
        <v>0</v>
      </c>
      <c r="BM156" s="15">
        <v>0</v>
      </c>
      <c r="BN156" s="15">
        <v>0</v>
      </c>
      <c r="BO156" s="15">
        <v>0</v>
      </c>
      <c r="BP156" s="15">
        <v>0</v>
      </c>
      <c r="BQ156" s="15">
        <v>0</v>
      </c>
      <c r="BR156" s="15">
        <v>0</v>
      </c>
      <c r="BS156" s="15">
        <v>0</v>
      </c>
      <c r="BT156" s="15">
        <v>0</v>
      </c>
      <c r="BU156" s="15">
        <v>0</v>
      </c>
      <c r="BV156" s="15">
        <v>0</v>
      </c>
      <c r="BW156" s="15">
        <v>0</v>
      </c>
      <c r="BX156" s="15">
        <v>0</v>
      </c>
      <c r="BY156" s="15">
        <v>0</v>
      </c>
      <c r="BZ156" s="15">
        <v>0</v>
      </c>
      <c r="CA156" s="15">
        <v>0</v>
      </c>
      <c r="CB156" s="15">
        <v>0</v>
      </c>
      <c r="CC156" s="15">
        <v>0</v>
      </c>
      <c r="CD156" s="15">
        <v>0</v>
      </c>
      <c r="CE156" s="15">
        <v>0</v>
      </c>
      <c r="CF156" s="15">
        <v>0</v>
      </c>
      <c r="CG156" s="15">
        <v>0</v>
      </c>
      <c r="CH156" s="15">
        <v>0</v>
      </c>
      <c r="CI156" s="15">
        <v>0</v>
      </c>
      <c r="CJ156" s="15">
        <v>0</v>
      </c>
      <c r="CK156" s="15">
        <v>0</v>
      </c>
      <c r="CL156" s="15">
        <v>0</v>
      </c>
      <c r="CM156" s="15">
        <v>0</v>
      </c>
      <c r="CN156" s="15">
        <v>0</v>
      </c>
      <c r="CO156" s="15">
        <v>0</v>
      </c>
      <c r="CP156" s="15">
        <v>0</v>
      </c>
      <c r="CQ156" s="15">
        <v>0</v>
      </c>
      <c r="CR156" s="15">
        <v>0</v>
      </c>
      <c r="CS156" s="15">
        <v>0</v>
      </c>
      <c r="CT156" s="15">
        <v>0</v>
      </c>
      <c r="CU156" s="15">
        <v>0</v>
      </c>
      <c r="CV156" s="15">
        <v>0</v>
      </c>
      <c r="CW156" s="15">
        <v>0</v>
      </c>
      <c r="CX156" s="15">
        <v>0</v>
      </c>
      <c r="CY156" s="15">
        <v>0</v>
      </c>
      <c r="CZ156" s="15">
        <v>0</v>
      </c>
      <c r="DA156" s="15">
        <v>0</v>
      </c>
      <c r="DB156" s="15">
        <v>0</v>
      </c>
      <c r="DC156" s="15">
        <v>0</v>
      </c>
      <c r="DD156" s="15">
        <v>0</v>
      </c>
      <c r="DE156" s="15">
        <v>0</v>
      </c>
      <c r="DF156" s="15">
        <v>0</v>
      </c>
      <c r="DG156" s="15">
        <v>0</v>
      </c>
      <c r="DH156" s="15">
        <v>0</v>
      </c>
      <c r="DI156" s="15">
        <v>0</v>
      </c>
      <c r="DJ156" s="15">
        <v>0</v>
      </c>
      <c r="DS156" s="17"/>
      <c r="DT156" s="17"/>
      <c r="EH156" s="17"/>
      <c r="EI156" s="17"/>
      <c r="EW156" s="17"/>
      <c r="EX156" s="17"/>
      <c r="FL156" s="17"/>
      <c r="FM156" s="17"/>
      <c r="GA156" s="17"/>
      <c r="GB156" s="17"/>
      <c r="GP156" s="17"/>
      <c r="GQ156" s="17"/>
      <c r="HE156" s="17"/>
      <c r="HF156" s="17"/>
      <c r="HT156" s="17"/>
      <c r="HU156" s="17"/>
      <c r="II156" s="42"/>
      <c r="IJ156" s="42"/>
      <c r="IK156" s="42"/>
      <c r="IL156" s="42"/>
      <c r="IM156" s="42"/>
      <c r="IN156" s="42"/>
      <c r="IO156" s="42"/>
      <c r="IP156" s="42"/>
      <c r="IQ156" s="42"/>
      <c r="IR156" s="42"/>
      <c r="IS156" s="42"/>
      <c r="IT156" s="42"/>
      <c r="IU156" s="42"/>
      <c r="IV156" s="42"/>
      <c r="IW156" s="42"/>
      <c r="IX156" s="42"/>
      <c r="IY156" s="42"/>
      <c r="IZ156" s="42"/>
      <c r="JA156" s="42"/>
      <c r="JB156" s="42"/>
      <c r="JC156" s="42"/>
      <c r="JD156" s="42"/>
      <c r="JE156" s="42"/>
      <c r="JF156" s="42"/>
      <c r="JG156" s="42"/>
      <c r="JH156" s="42"/>
      <c r="JI156" s="42"/>
      <c r="JJ156" s="42"/>
      <c r="JK156" s="42"/>
      <c r="JL156" s="42"/>
      <c r="JM156" s="42"/>
      <c r="JN156" s="42"/>
      <c r="JO156" s="42"/>
      <c r="JP156" s="42"/>
      <c r="JQ156" s="42"/>
      <c r="JR156" s="42"/>
      <c r="JS156" s="42"/>
      <c r="JT156" s="42"/>
      <c r="JU156" s="42"/>
      <c r="JV156" s="42"/>
      <c r="JW156" s="42"/>
      <c r="JX156" s="42"/>
      <c r="JY156" s="42"/>
      <c r="JZ156" s="42"/>
      <c r="KA156" s="42"/>
    </row>
    <row r="157" spans="1:299">
      <c r="A157" s="20" t="s">
        <v>441</v>
      </c>
      <c r="B157" s="24" t="s">
        <v>437</v>
      </c>
      <c r="C157" s="17"/>
      <c r="J157" s="18"/>
      <c r="Q157" s="18"/>
      <c r="R157" s="17"/>
      <c r="Y157" s="18"/>
      <c r="AF157" s="18"/>
      <c r="AG157" s="17"/>
      <c r="AV157" s="17"/>
      <c r="BK157" s="17"/>
      <c r="BZ157" s="17"/>
      <c r="CO157" s="17"/>
      <c r="DD157" s="17"/>
      <c r="DE157" s="17"/>
      <c r="DS157" s="17"/>
      <c r="DT157" s="17"/>
      <c r="EH157" s="17"/>
      <c r="EI157" s="17"/>
      <c r="EW157" s="17"/>
      <c r="EX157" s="17"/>
      <c r="FL157" s="17"/>
      <c r="FM157" s="17"/>
      <c r="GA157" s="17"/>
      <c r="GB157" s="17"/>
      <c r="GP157" s="17"/>
      <c r="GQ157" s="17"/>
      <c r="HE157" s="17"/>
      <c r="HF157" s="17"/>
      <c r="HT157" s="17"/>
      <c r="HU157" s="17"/>
      <c r="II157" s="42"/>
      <c r="IJ157" s="42"/>
      <c r="IK157" s="42"/>
      <c r="IL157" s="42"/>
      <c r="IM157" s="42"/>
      <c r="IN157" s="42"/>
      <c r="IO157" s="42"/>
      <c r="IP157" s="42"/>
      <c r="IQ157" s="42"/>
      <c r="IR157" s="42"/>
      <c r="IS157" s="42"/>
      <c r="IT157" s="42"/>
      <c r="IU157" s="42"/>
      <c r="IV157" s="42"/>
      <c r="IW157" s="42"/>
      <c r="IX157" s="42"/>
      <c r="IY157" s="42"/>
      <c r="IZ157" s="42"/>
      <c r="JA157" s="42"/>
      <c r="JB157" s="42"/>
      <c r="JC157" s="42"/>
      <c r="JD157" s="42"/>
      <c r="JE157" s="42"/>
      <c r="JF157" s="42"/>
      <c r="JG157" s="42"/>
      <c r="JH157" s="42"/>
      <c r="JI157" s="42"/>
      <c r="JJ157" s="42"/>
      <c r="JK157" s="42"/>
      <c r="JL157" s="42"/>
      <c r="JM157" s="42"/>
      <c r="JN157" s="42"/>
      <c r="JO157" s="42"/>
      <c r="JP157" s="42"/>
      <c r="JQ157" s="42"/>
      <c r="JR157" s="42"/>
      <c r="JS157" s="42"/>
      <c r="JT157" s="42"/>
      <c r="JU157" s="42"/>
      <c r="JV157" s="42"/>
      <c r="JW157" s="42"/>
      <c r="JX157" s="42"/>
      <c r="JY157" s="42"/>
      <c r="JZ157" s="42"/>
      <c r="KA157" s="42"/>
    </row>
    <row r="158" spans="1:299">
      <c r="A158" s="20" t="s">
        <v>442</v>
      </c>
      <c r="B158" s="13" t="s">
        <v>437</v>
      </c>
      <c r="C158" s="17"/>
      <c r="J158" s="18"/>
      <c r="Q158" s="18"/>
      <c r="R158" s="17"/>
      <c r="Y158" s="19"/>
      <c r="AF158" s="19"/>
      <c r="AG158" s="17"/>
      <c r="AV158" s="17"/>
      <c r="BK158" s="17"/>
      <c r="BZ158" s="17"/>
      <c r="CO158" s="17"/>
      <c r="DD158" s="17"/>
      <c r="DE158" s="17"/>
      <c r="DS158" s="17"/>
      <c r="DT158" s="17"/>
      <c r="EH158" s="17"/>
      <c r="EI158" s="17"/>
      <c r="EW158" s="17"/>
      <c r="EX158" s="17"/>
      <c r="FL158" s="17"/>
      <c r="FM158" s="17"/>
      <c r="GA158" s="17"/>
      <c r="GB158" s="17"/>
      <c r="GP158" s="17"/>
      <c r="GQ158" s="17"/>
      <c r="HE158" s="17"/>
      <c r="HF158" s="17"/>
      <c r="HT158" s="17"/>
      <c r="HU158" s="17"/>
      <c r="II158" s="42"/>
      <c r="IJ158" s="42"/>
      <c r="IK158" s="42"/>
      <c r="IL158" s="42"/>
      <c r="IM158" s="42"/>
      <c r="IN158" s="42"/>
      <c r="IO158" s="42"/>
      <c r="IP158" s="42"/>
      <c r="IQ158" s="42"/>
      <c r="IR158" s="42"/>
      <c r="IS158" s="42"/>
      <c r="IT158" s="42"/>
      <c r="IU158" s="42"/>
      <c r="IV158" s="42"/>
      <c r="IW158" s="42"/>
      <c r="IX158" s="42"/>
      <c r="IY158" s="42"/>
      <c r="IZ158" s="42"/>
      <c r="JA158" s="42"/>
      <c r="JB158" s="42"/>
      <c r="JC158" s="42"/>
      <c r="JD158" s="42"/>
      <c r="JE158" s="42"/>
      <c r="JF158" s="42"/>
      <c r="JG158" s="42"/>
      <c r="JH158" s="42"/>
      <c r="JI158" s="42"/>
      <c r="JJ158" s="42"/>
      <c r="JK158" s="42"/>
      <c r="JL158" s="42"/>
      <c r="JM158" s="42"/>
      <c r="JN158" s="42"/>
      <c r="JO158" s="42"/>
      <c r="JP158" s="42"/>
      <c r="JQ158" s="42"/>
      <c r="JR158" s="42"/>
      <c r="JS158" s="42"/>
      <c r="JT158" s="42"/>
      <c r="JU158" s="42"/>
      <c r="JV158" s="42"/>
      <c r="JW158" s="42"/>
      <c r="JX158" s="42"/>
      <c r="JY158" s="42"/>
      <c r="JZ158" s="42"/>
      <c r="KA158" s="42"/>
    </row>
    <row r="159" spans="1:299" ht="31.5">
      <c r="A159" s="13" t="s">
        <v>446</v>
      </c>
      <c r="B159" s="13" t="s">
        <v>437</v>
      </c>
      <c r="C159" s="17"/>
      <c r="J159" s="19"/>
      <c r="Q159" s="19"/>
      <c r="R159" s="17"/>
      <c r="Y159" s="19"/>
      <c r="AF159" s="19"/>
      <c r="AG159" s="17"/>
      <c r="AV159" s="17"/>
      <c r="BK159" s="17"/>
      <c r="BZ159" s="17"/>
      <c r="CO159" s="17"/>
      <c r="DD159" s="17"/>
      <c r="DE159" s="17"/>
      <c r="DS159" s="17"/>
      <c r="DT159" s="17"/>
      <c r="EH159" s="17"/>
      <c r="EI159" s="17"/>
      <c r="EW159" s="17"/>
      <c r="EX159" s="17"/>
      <c r="FL159" s="17"/>
      <c r="FM159" s="17"/>
      <c r="GA159" s="17"/>
      <c r="GB159" s="17"/>
      <c r="GP159" s="17"/>
      <c r="GQ159" s="17"/>
      <c r="HE159" s="17"/>
      <c r="HF159" s="17"/>
      <c r="HT159" s="17"/>
      <c r="HU159" s="17"/>
      <c r="II159" s="42"/>
      <c r="IJ159" s="42"/>
      <c r="IK159" s="42"/>
      <c r="IL159" s="42"/>
      <c r="IM159" s="42"/>
      <c r="IN159" s="42"/>
      <c r="IO159" s="42"/>
      <c r="IP159" s="42"/>
      <c r="IQ159" s="42"/>
      <c r="IR159" s="42"/>
      <c r="IS159" s="42"/>
      <c r="IT159" s="42"/>
      <c r="IU159" s="42"/>
      <c r="IV159" s="42"/>
      <c r="IW159" s="42"/>
      <c r="IX159" s="42"/>
      <c r="IY159" s="42"/>
      <c r="IZ159" s="42"/>
      <c r="JA159" s="42"/>
      <c r="JB159" s="42"/>
      <c r="JC159" s="42"/>
      <c r="JD159" s="42"/>
      <c r="JE159" s="42"/>
      <c r="JF159" s="42"/>
      <c r="JG159" s="42"/>
      <c r="JH159" s="42"/>
      <c r="JI159" s="42"/>
      <c r="JJ159" s="42"/>
      <c r="JK159" s="42"/>
      <c r="JL159" s="42"/>
      <c r="JM159" s="42"/>
      <c r="JN159" s="42"/>
      <c r="JO159" s="42"/>
      <c r="JP159" s="42"/>
      <c r="JQ159" s="42"/>
      <c r="JR159" s="42"/>
      <c r="JS159" s="42"/>
      <c r="JT159" s="42"/>
      <c r="JU159" s="42"/>
      <c r="JV159" s="42"/>
      <c r="JW159" s="42"/>
      <c r="JX159" s="42"/>
      <c r="JY159" s="42"/>
      <c r="JZ159" s="42"/>
      <c r="KA159" s="42"/>
    </row>
    <row r="160" spans="1:299" ht="31.5">
      <c r="A160" s="13" t="s">
        <v>449</v>
      </c>
      <c r="B160" s="13" t="s">
        <v>437</v>
      </c>
      <c r="C160" s="17"/>
      <c r="J160" s="19"/>
      <c r="Q160" s="19"/>
      <c r="R160" s="17"/>
      <c r="Y160" s="19"/>
      <c r="AF160" s="19"/>
      <c r="AG160" s="17"/>
      <c r="AV160" s="17"/>
      <c r="BK160" s="17"/>
      <c r="BZ160" s="17"/>
      <c r="CO160" s="17"/>
      <c r="DD160" s="17"/>
      <c r="DE160" s="17"/>
      <c r="DS160" s="17"/>
      <c r="DT160" s="17"/>
      <c r="EH160" s="17"/>
      <c r="EI160" s="17"/>
      <c r="EW160" s="17"/>
      <c r="EX160" s="17"/>
      <c r="FL160" s="17"/>
      <c r="FM160" s="17"/>
      <c r="GA160" s="17"/>
      <c r="GB160" s="17"/>
      <c r="GP160" s="17"/>
      <c r="GQ160" s="17"/>
      <c r="HE160" s="17"/>
      <c r="HF160" s="17"/>
      <c r="HT160" s="17"/>
      <c r="HU160" s="17"/>
      <c r="II160" s="42"/>
      <c r="IJ160" s="42"/>
      <c r="IK160" s="42"/>
      <c r="IL160" s="42"/>
      <c r="IM160" s="42"/>
      <c r="IN160" s="42"/>
      <c r="IO160" s="42"/>
      <c r="IP160" s="42"/>
      <c r="IQ160" s="42"/>
      <c r="IR160" s="42"/>
      <c r="IS160" s="42"/>
      <c r="IT160" s="42"/>
      <c r="IU160" s="42"/>
      <c r="IV160" s="42"/>
      <c r="IW160" s="42"/>
      <c r="IX160" s="42"/>
      <c r="IY160" s="42"/>
      <c r="IZ160" s="42"/>
      <c r="JA160" s="42"/>
      <c r="JB160" s="42"/>
      <c r="JC160" s="42"/>
      <c r="JD160" s="42"/>
      <c r="JE160" s="42"/>
      <c r="JF160" s="42"/>
      <c r="JG160" s="42"/>
      <c r="JH160" s="42"/>
      <c r="JI160" s="42"/>
      <c r="JJ160" s="42"/>
      <c r="JK160" s="42"/>
      <c r="JL160" s="42"/>
      <c r="JM160" s="42"/>
      <c r="JN160" s="42"/>
      <c r="JO160" s="42"/>
      <c r="JP160" s="42"/>
      <c r="JQ160" s="42"/>
      <c r="JR160" s="42"/>
      <c r="JS160" s="42"/>
      <c r="JT160" s="42"/>
      <c r="JU160" s="42"/>
      <c r="JV160" s="42"/>
      <c r="JW160" s="42"/>
      <c r="JX160" s="42"/>
      <c r="JY160" s="42"/>
      <c r="JZ160" s="42"/>
      <c r="KA160" s="42"/>
    </row>
    <row r="161" spans="1:287" ht="128.25">
      <c r="A161" s="13" t="s">
        <v>450</v>
      </c>
      <c r="B161" s="13" t="s">
        <v>437</v>
      </c>
      <c r="C161" s="15">
        <v>26.679637</v>
      </c>
      <c r="D161" s="15">
        <v>-82.262968000000001</v>
      </c>
      <c r="J161" s="18"/>
      <c r="M161" s="15">
        <v>1</v>
      </c>
      <c r="Q161" s="18"/>
      <c r="R161" s="15">
        <v>26.677631999999999</v>
      </c>
      <c r="S161" s="15">
        <v>-82.263183999999995</v>
      </c>
      <c r="Y161" s="18"/>
      <c r="AF161" s="18" t="s">
        <v>1373</v>
      </c>
      <c r="AG161" s="59">
        <v>26.670614</v>
      </c>
      <c r="AH161" s="15">
        <v>-82.256602000000001</v>
      </c>
      <c r="AM161" s="15">
        <v>1</v>
      </c>
      <c r="AQ161" s="15">
        <v>2</v>
      </c>
      <c r="AS161" s="15">
        <v>1</v>
      </c>
      <c r="AU161" s="15" t="s">
        <v>1374</v>
      </c>
      <c r="AV161" s="17"/>
      <c r="BK161" s="17"/>
      <c r="BZ161" s="17"/>
      <c r="CO161" s="17"/>
      <c r="DD161" s="17"/>
      <c r="DE161" s="17"/>
      <c r="DS161" s="17"/>
      <c r="DT161" s="17"/>
      <c r="EH161" s="17"/>
      <c r="EI161" s="17"/>
      <c r="EW161" s="17"/>
      <c r="EX161" s="17"/>
      <c r="FL161" s="17"/>
      <c r="FM161" s="17"/>
      <c r="GA161" s="17"/>
      <c r="GB161" s="17"/>
      <c r="GP161" s="17"/>
      <c r="GQ161" s="17"/>
      <c r="HE161" s="17"/>
      <c r="HF161" s="17"/>
      <c r="HT161" s="17"/>
      <c r="HU161" s="17"/>
      <c r="II161" s="42"/>
      <c r="IJ161" s="42"/>
      <c r="IK161" s="42"/>
      <c r="IL161" s="42"/>
      <c r="IM161" s="42"/>
      <c r="IN161" s="42"/>
      <c r="IO161" s="42"/>
      <c r="IP161" s="42"/>
      <c r="IQ161" s="42"/>
      <c r="IR161" s="42"/>
      <c r="IS161" s="42"/>
      <c r="IT161" s="42"/>
      <c r="IU161" s="42"/>
      <c r="IV161" s="42"/>
      <c r="IW161" s="42"/>
      <c r="IX161" s="42"/>
      <c r="IY161" s="42"/>
      <c r="IZ161" s="42"/>
      <c r="JA161" s="42"/>
      <c r="JB161" s="42"/>
      <c r="JC161" s="42"/>
      <c r="JD161" s="42"/>
      <c r="JE161" s="42"/>
      <c r="JF161" s="42"/>
      <c r="JG161" s="42"/>
      <c r="JH161" s="42"/>
      <c r="JI161" s="42"/>
      <c r="JJ161" s="42"/>
      <c r="JK161" s="42"/>
      <c r="JL161" s="42"/>
      <c r="JM161" s="42"/>
      <c r="JN161" s="42"/>
      <c r="JO161" s="42"/>
      <c r="JP161" s="42"/>
      <c r="JQ161" s="42"/>
      <c r="JR161" s="42"/>
      <c r="JS161" s="42"/>
      <c r="JT161" s="42"/>
      <c r="JU161" s="42"/>
      <c r="JV161" s="42"/>
      <c r="JW161" s="42"/>
      <c r="JX161" s="42"/>
      <c r="JY161" s="42"/>
      <c r="JZ161" s="42"/>
      <c r="KA161" s="42"/>
    </row>
    <row r="162" spans="1:287" ht="31.5">
      <c r="A162" s="24" t="s">
        <v>454</v>
      </c>
      <c r="B162" s="24" t="s">
        <v>437</v>
      </c>
      <c r="C162" s="17"/>
      <c r="J162" s="18"/>
      <c r="Q162" s="18"/>
      <c r="R162" s="17"/>
      <c r="Y162" s="18"/>
      <c r="AF162" s="18"/>
      <c r="AG162" s="17"/>
      <c r="AV162" s="17"/>
      <c r="BK162" s="17"/>
      <c r="BZ162" s="17"/>
      <c r="CO162" s="17"/>
      <c r="DD162" s="17"/>
      <c r="DE162" s="17"/>
      <c r="DS162" s="17"/>
      <c r="DT162" s="17"/>
      <c r="EH162" s="17"/>
      <c r="EI162" s="17"/>
      <c r="EW162" s="17"/>
      <c r="EX162" s="17"/>
      <c r="FL162" s="17"/>
      <c r="FM162" s="17"/>
      <c r="GA162" s="17"/>
      <c r="GB162" s="17"/>
      <c r="GP162" s="17"/>
      <c r="GQ162" s="17"/>
      <c r="HE162" s="17"/>
      <c r="HF162" s="17"/>
      <c r="HT162" s="17"/>
      <c r="HU162" s="17"/>
      <c r="II162" s="42"/>
      <c r="IJ162" s="42"/>
      <c r="IK162" s="42"/>
      <c r="IL162" s="42"/>
      <c r="IM162" s="42"/>
      <c r="IN162" s="42"/>
      <c r="IO162" s="42"/>
      <c r="IP162" s="42"/>
      <c r="IQ162" s="42"/>
      <c r="IR162" s="42"/>
      <c r="IS162" s="42"/>
      <c r="IT162" s="42"/>
      <c r="IU162" s="42"/>
      <c r="IV162" s="42"/>
      <c r="IW162" s="42"/>
      <c r="IX162" s="42"/>
      <c r="IY162" s="42"/>
      <c r="IZ162" s="42"/>
      <c r="JA162" s="42"/>
      <c r="JB162" s="42"/>
      <c r="JC162" s="42"/>
      <c r="JD162" s="42"/>
      <c r="JE162" s="42"/>
      <c r="JF162" s="42"/>
      <c r="JG162" s="42"/>
      <c r="JH162" s="42"/>
      <c r="JI162" s="42"/>
      <c r="JJ162" s="42"/>
      <c r="JK162" s="42"/>
      <c r="JL162" s="42"/>
      <c r="JM162" s="42"/>
      <c r="JN162" s="42"/>
      <c r="JO162" s="42"/>
      <c r="JP162" s="42"/>
      <c r="JQ162" s="42"/>
      <c r="JR162" s="42"/>
      <c r="JS162" s="42"/>
      <c r="JT162" s="42"/>
      <c r="JU162" s="42"/>
      <c r="JV162" s="42"/>
      <c r="JW162" s="42"/>
      <c r="JX162" s="42"/>
      <c r="JY162" s="42"/>
      <c r="JZ162" s="42"/>
      <c r="KA162" s="42"/>
    </row>
    <row r="163" spans="1:287">
      <c r="A163" s="13" t="s">
        <v>457</v>
      </c>
      <c r="B163" s="13" t="s">
        <v>437</v>
      </c>
      <c r="C163" s="17"/>
      <c r="J163" s="18"/>
      <c r="Q163" s="18"/>
      <c r="R163" s="17"/>
      <c r="Y163" s="19"/>
      <c r="AF163" s="19"/>
      <c r="AG163" s="17"/>
      <c r="AV163" s="17"/>
      <c r="BK163" s="17"/>
      <c r="BZ163" s="17"/>
      <c r="CO163" s="17"/>
      <c r="DD163" s="17"/>
      <c r="DE163" s="17"/>
      <c r="DS163" s="17"/>
      <c r="DT163" s="17"/>
      <c r="EH163" s="17"/>
      <c r="EI163" s="17"/>
      <c r="EW163" s="17"/>
      <c r="EX163" s="17"/>
      <c r="FL163" s="17"/>
      <c r="FM163" s="17"/>
      <c r="GA163" s="17"/>
      <c r="GB163" s="17"/>
      <c r="GP163" s="17"/>
      <c r="GQ163" s="17"/>
      <c r="HE163" s="17"/>
      <c r="HF163" s="17"/>
      <c r="HT163" s="17"/>
      <c r="HU163" s="17"/>
      <c r="II163" s="42"/>
      <c r="IJ163" s="42"/>
      <c r="IK163" s="42"/>
      <c r="IL163" s="42"/>
      <c r="IM163" s="42"/>
      <c r="IN163" s="42"/>
      <c r="IO163" s="42"/>
      <c r="IP163" s="42"/>
      <c r="IQ163" s="42"/>
      <c r="IR163" s="42"/>
      <c r="IS163" s="42"/>
      <c r="IT163" s="42"/>
      <c r="IU163" s="42"/>
      <c r="IV163" s="42"/>
      <c r="IW163" s="42"/>
      <c r="IX163" s="42"/>
      <c r="IY163" s="42"/>
      <c r="IZ163" s="42"/>
      <c r="JA163" s="42"/>
      <c r="JB163" s="42"/>
      <c r="JC163" s="42"/>
      <c r="JD163" s="42"/>
      <c r="JE163" s="42"/>
      <c r="JF163" s="42"/>
      <c r="JG163" s="42"/>
      <c r="JH163" s="42"/>
      <c r="JI163" s="42"/>
      <c r="JJ163" s="42"/>
      <c r="JK163" s="42"/>
      <c r="JL163" s="42"/>
      <c r="JM163" s="42"/>
      <c r="JN163" s="42"/>
      <c r="JO163" s="42"/>
      <c r="JP163" s="42"/>
      <c r="JQ163" s="42"/>
      <c r="JR163" s="42"/>
      <c r="JS163" s="42"/>
      <c r="JT163" s="42"/>
      <c r="JU163" s="42"/>
      <c r="JV163" s="42"/>
      <c r="JW163" s="42"/>
      <c r="JX163" s="42"/>
      <c r="JY163" s="42"/>
      <c r="JZ163" s="42"/>
      <c r="KA163" s="42"/>
    </row>
    <row r="164" spans="1:287" ht="31.5">
      <c r="A164" s="29" t="s">
        <v>461</v>
      </c>
      <c r="B164" s="13" t="s">
        <v>437</v>
      </c>
      <c r="C164" s="17"/>
      <c r="J164" s="19"/>
      <c r="Q164" s="19"/>
      <c r="R164" s="17"/>
      <c r="Y164" s="19"/>
      <c r="AF164" s="19"/>
      <c r="AG164" s="17"/>
      <c r="AV164" s="17"/>
      <c r="BK164" s="17"/>
      <c r="BZ164" s="17"/>
      <c r="CO164" s="17"/>
      <c r="DD164" s="17"/>
      <c r="DE164" s="17"/>
      <c r="DS164" s="17"/>
      <c r="DT164" s="17"/>
      <c r="EH164" s="17"/>
      <c r="EI164" s="17"/>
      <c r="EW164" s="17"/>
      <c r="EX164" s="17"/>
      <c r="FL164" s="17"/>
      <c r="FM164" s="17"/>
      <c r="GA164" s="17"/>
      <c r="GB164" s="17"/>
      <c r="GP164" s="17"/>
      <c r="GQ164" s="17"/>
      <c r="HE164" s="17"/>
      <c r="HF164" s="17"/>
      <c r="HT164" s="17"/>
      <c r="HU164" s="17"/>
      <c r="II164" s="42"/>
      <c r="IJ164" s="42"/>
      <c r="IK164" s="42"/>
      <c r="IL164" s="42"/>
      <c r="IM164" s="42"/>
      <c r="IN164" s="42"/>
      <c r="IO164" s="42"/>
      <c r="IP164" s="42"/>
      <c r="IQ164" s="42"/>
      <c r="IR164" s="42"/>
      <c r="IS164" s="42"/>
      <c r="IT164" s="42"/>
      <c r="IU164" s="42"/>
      <c r="IV164" s="42"/>
      <c r="IW164" s="42"/>
      <c r="IX164" s="42"/>
      <c r="IY164" s="42"/>
      <c r="IZ164" s="42"/>
      <c r="JA164" s="42"/>
      <c r="JB164" s="42"/>
      <c r="JC164" s="42"/>
      <c r="JD164" s="42"/>
      <c r="JE164" s="42"/>
      <c r="JF164" s="42"/>
      <c r="JG164" s="42"/>
      <c r="JH164" s="42"/>
      <c r="JI164" s="42"/>
      <c r="JJ164" s="42"/>
      <c r="JK164" s="42"/>
      <c r="JL164" s="42"/>
      <c r="JM164" s="42"/>
      <c r="JN164" s="42"/>
      <c r="JO164" s="42"/>
      <c r="JP164" s="42"/>
      <c r="JQ164" s="42"/>
      <c r="JR164" s="42"/>
      <c r="JS164" s="42"/>
      <c r="JT164" s="42"/>
      <c r="JU164" s="42"/>
      <c r="JV164" s="42"/>
      <c r="JW164" s="42"/>
      <c r="JX164" s="42"/>
      <c r="JY164" s="42"/>
      <c r="JZ164" s="42"/>
      <c r="KA164" s="42"/>
    </row>
    <row r="165" spans="1:287">
      <c r="A165" s="13" t="s">
        <v>462</v>
      </c>
      <c r="B165" s="13" t="s">
        <v>437</v>
      </c>
      <c r="C165" s="17"/>
      <c r="J165" s="19"/>
      <c r="Q165" s="19"/>
      <c r="R165" s="17"/>
      <c r="Y165" s="19"/>
      <c r="AF165" s="19"/>
      <c r="AG165" s="17"/>
      <c r="AV165" s="17"/>
      <c r="BK165" s="17"/>
      <c r="BZ165" s="17"/>
      <c r="CO165" s="17"/>
      <c r="DD165" s="17"/>
      <c r="DE165" s="17"/>
      <c r="DS165" s="17"/>
      <c r="DT165" s="17"/>
      <c r="EH165" s="17"/>
      <c r="EI165" s="17"/>
      <c r="EW165" s="17"/>
      <c r="EX165" s="17"/>
      <c r="FL165" s="17"/>
      <c r="FM165" s="17"/>
      <c r="GA165" s="17"/>
      <c r="GB165" s="17"/>
      <c r="GP165" s="17"/>
      <c r="GQ165" s="17"/>
      <c r="HE165" s="17"/>
      <c r="HF165" s="17"/>
      <c r="HT165" s="17"/>
      <c r="HU165" s="17"/>
      <c r="II165" s="42"/>
      <c r="IJ165" s="42"/>
      <c r="IK165" s="42"/>
      <c r="IL165" s="42"/>
      <c r="IM165" s="42"/>
      <c r="IN165" s="42"/>
      <c r="IO165" s="42"/>
      <c r="IP165" s="42"/>
      <c r="IQ165" s="42"/>
      <c r="IR165" s="42"/>
      <c r="IS165" s="42"/>
      <c r="IT165" s="42"/>
      <c r="IU165" s="42"/>
      <c r="IV165" s="42"/>
      <c r="IW165" s="42"/>
      <c r="IX165" s="42"/>
      <c r="IY165" s="42"/>
      <c r="IZ165" s="42"/>
      <c r="JA165" s="42"/>
      <c r="JB165" s="42"/>
      <c r="JC165" s="42"/>
      <c r="JD165" s="42"/>
      <c r="JE165" s="42"/>
      <c r="JF165" s="42"/>
      <c r="JG165" s="42"/>
      <c r="JH165" s="42"/>
      <c r="JI165" s="42"/>
      <c r="JJ165" s="42"/>
      <c r="JK165" s="42"/>
      <c r="JL165" s="42"/>
      <c r="JM165" s="42"/>
      <c r="JN165" s="42"/>
      <c r="JO165" s="42"/>
      <c r="JP165" s="42"/>
      <c r="JQ165" s="42"/>
      <c r="JR165" s="42"/>
      <c r="JS165" s="42"/>
      <c r="JT165" s="42"/>
      <c r="JU165" s="42"/>
      <c r="JV165" s="42"/>
      <c r="JW165" s="42"/>
      <c r="JX165" s="42"/>
      <c r="JY165" s="42"/>
      <c r="JZ165" s="42"/>
      <c r="KA165" s="42"/>
    </row>
    <row r="166" spans="1:287" ht="31.5">
      <c r="A166" s="20" t="s">
        <v>464</v>
      </c>
      <c r="B166" s="24" t="s">
        <v>437</v>
      </c>
      <c r="C166" s="15">
        <v>26.402163399999999</v>
      </c>
      <c r="D166" s="15">
        <v>-81.885656900000001</v>
      </c>
      <c r="J166" s="19"/>
      <c r="M166" s="15">
        <v>10</v>
      </c>
      <c r="N166" s="15" t="s">
        <v>1375</v>
      </c>
      <c r="O166" s="15">
        <v>4</v>
      </c>
      <c r="P166" s="15">
        <v>0</v>
      </c>
      <c r="Q166" s="19"/>
      <c r="R166" s="17"/>
      <c r="Y166" s="19"/>
      <c r="AF166" s="19"/>
      <c r="AG166" s="17"/>
      <c r="AV166" s="17"/>
      <c r="BK166" s="17"/>
      <c r="BZ166" s="17"/>
      <c r="CO166" s="17"/>
      <c r="DD166" s="17"/>
      <c r="DE166" s="17"/>
      <c r="DS166" s="17"/>
      <c r="DT166" s="17"/>
      <c r="EH166" s="17"/>
      <c r="EI166" s="17"/>
      <c r="EW166" s="17"/>
      <c r="EX166" s="17"/>
      <c r="FL166" s="17"/>
      <c r="FM166" s="17"/>
      <c r="GA166" s="17"/>
      <c r="GB166" s="17"/>
      <c r="GP166" s="17"/>
      <c r="GQ166" s="17"/>
      <c r="HE166" s="17"/>
      <c r="HF166" s="17"/>
      <c r="HT166" s="17"/>
      <c r="HU166" s="17"/>
      <c r="II166" s="42"/>
      <c r="IJ166" s="42"/>
      <c r="IK166" s="42"/>
      <c r="IL166" s="42"/>
      <c r="IM166" s="42"/>
      <c r="IN166" s="42"/>
      <c r="IO166" s="42"/>
      <c r="IP166" s="42"/>
      <c r="IQ166" s="42"/>
      <c r="IR166" s="42"/>
      <c r="IS166" s="42"/>
      <c r="IT166" s="42"/>
      <c r="IU166" s="42"/>
      <c r="IV166" s="42"/>
      <c r="IW166" s="42"/>
      <c r="IX166" s="42"/>
      <c r="IY166" s="42"/>
      <c r="IZ166" s="42"/>
      <c r="JA166" s="42"/>
      <c r="JB166" s="42"/>
      <c r="JC166" s="42"/>
      <c r="JD166" s="42"/>
      <c r="JE166" s="42"/>
      <c r="JF166" s="42"/>
      <c r="JG166" s="42"/>
      <c r="JH166" s="42"/>
      <c r="JI166" s="42"/>
      <c r="JJ166" s="42"/>
      <c r="JK166" s="42"/>
      <c r="JL166" s="42"/>
      <c r="JM166" s="42"/>
      <c r="JN166" s="42"/>
      <c r="JO166" s="42"/>
      <c r="JP166" s="42"/>
      <c r="JQ166" s="42"/>
      <c r="JR166" s="42"/>
      <c r="JS166" s="42"/>
      <c r="JT166" s="42"/>
      <c r="JU166" s="42"/>
      <c r="JV166" s="42"/>
      <c r="JW166" s="42"/>
      <c r="JX166" s="42"/>
      <c r="JY166" s="42"/>
      <c r="JZ166" s="42"/>
      <c r="KA166" s="42"/>
    </row>
    <row r="167" spans="1:287">
      <c r="A167" s="13" t="s">
        <v>465</v>
      </c>
      <c r="B167" s="13" t="s">
        <v>437</v>
      </c>
      <c r="C167" s="17"/>
      <c r="J167" s="19"/>
      <c r="Q167" s="18"/>
      <c r="R167" s="17"/>
      <c r="Y167" s="19"/>
      <c r="AF167" s="19"/>
      <c r="AG167" s="17"/>
      <c r="AV167" s="17"/>
      <c r="BK167" s="17"/>
      <c r="BZ167" s="17"/>
      <c r="CO167" s="17"/>
      <c r="DD167" s="17"/>
      <c r="DE167" s="17"/>
      <c r="DS167" s="17"/>
      <c r="DT167" s="17"/>
      <c r="EH167" s="17"/>
      <c r="EI167" s="17"/>
      <c r="EW167" s="17"/>
      <c r="EX167" s="17"/>
      <c r="FL167" s="17"/>
      <c r="FM167" s="17"/>
      <c r="GA167" s="17"/>
      <c r="GB167" s="17"/>
      <c r="GP167" s="17"/>
      <c r="GQ167" s="17"/>
      <c r="HE167" s="17"/>
      <c r="HF167" s="17"/>
      <c r="HT167" s="17"/>
      <c r="HU167" s="17"/>
      <c r="II167" s="42"/>
      <c r="IJ167" s="42"/>
      <c r="IK167" s="42"/>
      <c r="IL167" s="42"/>
      <c r="IM167" s="42"/>
      <c r="IN167" s="42"/>
      <c r="IO167" s="42"/>
      <c r="IP167" s="42"/>
      <c r="IQ167" s="42"/>
      <c r="IR167" s="42"/>
      <c r="IS167" s="42"/>
      <c r="IT167" s="42"/>
      <c r="IU167" s="42"/>
      <c r="IV167" s="42"/>
      <c r="IW167" s="42"/>
      <c r="IX167" s="42"/>
      <c r="IY167" s="42"/>
      <c r="IZ167" s="42"/>
      <c r="JA167" s="42"/>
      <c r="JB167" s="42"/>
      <c r="JC167" s="42"/>
      <c r="JD167" s="42"/>
      <c r="JE167" s="42"/>
      <c r="JF167" s="42"/>
      <c r="JG167" s="42"/>
      <c r="JH167" s="42"/>
      <c r="JI167" s="42"/>
      <c r="JJ167" s="42"/>
      <c r="JK167" s="42"/>
      <c r="JL167" s="42"/>
      <c r="JM167" s="42"/>
      <c r="JN167" s="42"/>
      <c r="JO167" s="42"/>
      <c r="JP167" s="42"/>
      <c r="JQ167" s="42"/>
      <c r="JR167" s="42"/>
      <c r="JS167" s="42"/>
      <c r="JT167" s="42"/>
      <c r="JU167" s="42"/>
      <c r="JV167" s="42"/>
      <c r="JW167" s="42"/>
      <c r="JX167" s="42"/>
      <c r="JY167" s="42"/>
      <c r="JZ167" s="42"/>
      <c r="KA167" s="42"/>
    </row>
    <row r="168" spans="1:287">
      <c r="A168" s="29" t="s">
        <v>468</v>
      </c>
      <c r="B168" s="24" t="s">
        <v>437</v>
      </c>
      <c r="C168" s="17"/>
      <c r="J168" s="19"/>
      <c r="Q168" s="18"/>
      <c r="R168" s="17"/>
      <c r="Y168" s="19"/>
      <c r="AF168" s="19"/>
      <c r="AG168" s="17"/>
      <c r="AV168" s="17"/>
      <c r="BK168" s="17"/>
      <c r="BZ168" s="17"/>
      <c r="CO168" s="17"/>
      <c r="DD168" s="17"/>
      <c r="DE168" s="17"/>
      <c r="DS168" s="17"/>
      <c r="DT168" s="17"/>
      <c r="EH168" s="17"/>
      <c r="EI168" s="17"/>
      <c r="EW168" s="17"/>
      <c r="EX168" s="17"/>
      <c r="FL168" s="17"/>
      <c r="FM168" s="17"/>
      <c r="GA168" s="17"/>
      <c r="GB168" s="17"/>
      <c r="GP168" s="17"/>
      <c r="GQ168" s="17"/>
      <c r="HE168" s="17"/>
      <c r="HF168" s="17"/>
      <c r="HT168" s="17"/>
      <c r="HU168" s="17"/>
      <c r="II168" s="42"/>
      <c r="IJ168" s="42"/>
      <c r="IK168" s="42"/>
      <c r="IL168" s="42"/>
      <c r="IM168" s="42"/>
      <c r="IN168" s="42"/>
      <c r="IO168" s="42"/>
      <c r="IP168" s="42"/>
      <c r="IQ168" s="42"/>
      <c r="IR168" s="42"/>
      <c r="IS168" s="42"/>
      <c r="IT168" s="42"/>
      <c r="IU168" s="42"/>
      <c r="IV168" s="42"/>
      <c r="IW168" s="42"/>
      <c r="IX168" s="42"/>
      <c r="IY168" s="42"/>
      <c r="IZ168" s="42"/>
      <c r="JA168" s="42"/>
      <c r="JB168" s="42"/>
      <c r="JC168" s="42"/>
      <c r="JD168" s="42"/>
      <c r="JE168" s="42"/>
      <c r="JF168" s="42"/>
      <c r="JG168" s="42"/>
      <c r="JH168" s="42"/>
      <c r="JI168" s="42"/>
      <c r="JJ168" s="42"/>
      <c r="JK168" s="42"/>
      <c r="JL168" s="42"/>
      <c r="JM168" s="42"/>
      <c r="JN168" s="42"/>
      <c r="JO168" s="42"/>
      <c r="JP168" s="42"/>
      <c r="JQ168" s="42"/>
      <c r="JR168" s="42"/>
      <c r="JS168" s="42"/>
      <c r="JT168" s="42"/>
      <c r="JU168" s="42"/>
      <c r="JV168" s="42"/>
      <c r="JW168" s="42"/>
      <c r="JX168" s="42"/>
      <c r="JY168" s="42"/>
      <c r="JZ168" s="42"/>
      <c r="KA168" s="42"/>
    </row>
    <row r="169" spans="1:287">
      <c r="A169" s="13" t="s">
        <v>469</v>
      </c>
      <c r="B169" s="13" t="s">
        <v>437</v>
      </c>
      <c r="C169" s="17"/>
      <c r="J169" s="19"/>
      <c r="Q169" s="107"/>
      <c r="R169" s="17"/>
      <c r="Y169" s="19"/>
      <c r="AF169" s="107"/>
      <c r="AG169" s="17"/>
      <c r="AH169" s="59"/>
      <c r="AV169" s="17"/>
      <c r="BK169" s="17"/>
      <c r="BZ169" s="17"/>
      <c r="CO169" s="17"/>
      <c r="DD169" s="17"/>
      <c r="DE169" s="17"/>
      <c r="DS169" s="17"/>
      <c r="DT169" s="17"/>
      <c r="EH169" s="17"/>
      <c r="EI169" s="17"/>
      <c r="EW169" s="17"/>
      <c r="EX169" s="17"/>
      <c r="FL169" s="17"/>
      <c r="FM169" s="17"/>
      <c r="GA169" s="17"/>
      <c r="GB169" s="17"/>
      <c r="GP169" s="17"/>
      <c r="GQ169" s="17"/>
      <c r="HE169" s="17"/>
      <c r="HF169" s="17"/>
      <c r="HT169" s="17"/>
      <c r="HU169" s="17"/>
      <c r="II169" s="42"/>
      <c r="IJ169" s="42"/>
      <c r="IK169" s="42"/>
      <c r="IL169" s="42"/>
      <c r="IM169" s="42"/>
      <c r="IN169" s="42"/>
      <c r="IO169" s="42"/>
      <c r="IP169" s="42"/>
      <c r="IQ169" s="42"/>
      <c r="IR169" s="42"/>
      <c r="IS169" s="42"/>
      <c r="IT169" s="42"/>
      <c r="IU169" s="42"/>
      <c r="IV169" s="42"/>
      <c r="IW169" s="42"/>
      <c r="IX169" s="42"/>
      <c r="IY169" s="42"/>
      <c r="IZ169" s="42"/>
      <c r="JA169" s="42"/>
      <c r="JB169" s="42"/>
      <c r="JC169" s="42"/>
      <c r="JD169" s="42"/>
      <c r="JE169" s="42"/>
      <c r="JF169" s="42"/>
      <c r="JG169" s="42"/>
      <c r="JH169" s="42"/>
      <c r="JI169" s="42"/>
      <c r="JJ169" s="42"/>
      <c r="JK169" s="42"/>
      <c r="JL169" s="42"/>
      <c r="JM169" s="42"/>
      <c r="JN169" s="42"/>
      <c r="JO169" s="42"/>
      <c r="JP169" s="42"/>
      <c r="JQ169" s="42"/>
      <c r="JR169" s="42"/>
      <c r="JS169" s="42"/>
      <c r="JT169" s="42"/>
      <c r="JU169" s="42"/>
      <c r="JV169" s="42"/>
      <c r="JW169" s="42"/>
      <c r="JX169" s="42"/>
      <c r="JY169" s="42"/>
      <c r="JZ169" s="42"/>
      <c r="KA169" s="42"/>
    </row>
    <row r="170" spans="1:287" ht="31.5">
      <c r="A170" s="13" t="s">
        <v>471</v>
      </c>
      <c r="B170" s="13" t="s">
        <v>437</v>
      </c>
      <c r="C170" s="15">
        <v>26.451288999999999</v>
      </c>
      <c r="D170" s="15">
        <v>-82.015147999999996</v>
      </c>
      <c r="G170" s="15">
        <v>2</v>
      </c>
      <c r="J170" s="19"/>
      <c r="Q170" s="18"/>
      <c r="R170" s="15">
        <v>26.450313000000001</v>
      </c>
      <c r="S170" s="15">
        <v>-82.016434000000004</v>
      </c>
      <c r="Y170" s="19"/>
      <c r="Z170" s="15">
        <v>12</v>
      </c>
      <c r="AA170" s="15" t="s">
        <v>1376</v>
      </c>
      <c r="AF170" s="64"/>
      <c r="AG170" s="15">
        <v>26.446017999999999</v>
      </c>
      <c r="AH170" s="15">
        <v>-82.022946000000005</v>
      </c>
      <c r="AQ170" s="15">
        <v>6</v>
      </c>
      <c r="AR170" s="15" t="s">
        <v>1377</v>
      </c>
      <c r="AU170" s="15" t="s">
        <v>1378</v>
      </c>
      <c r="AV170" s="15">
        <v>26.446103000000001</v>
      </c>
      <c r="AW170" s="15">
        <v>-82.022718999999995</v>
      </c>
      <c r="BD170" s="15">
        <v>16</v>
      </c>
      <c r="BJ170" s="15" t="s">
        <v>1213</v>
      </c>
      <c r="BK170" s="15">
        <v>26.444769000000001</v>
      </c>
      <c r="BL170" s="15">
        <v>-82.024968999999999</v>
      </c>
      <c r="BS170" s="15">
        <v>47</v>
      </c>
      <c r="BY170" s="15" t="s">
        <v>1213</v>
      </c>
      <c r="BZ170" s="15">
        <v>26.438717</v>
      </c>
      <c r="CA170" s="15">
        <v>-82.036468999999997</v>
      </c>
      <c r="CH170" s="15">
        <v>19</v>
      </c>
      <c r="CN170" s="15" t="s">
        <v>1213</v>
      </c>
      <c r="CO170" s="15">
        <v>26.425139999999999</v>
      </c>
      <c r="CP170" s="15">
        <v>-82.063231999999999</v>
      </c>
      <c r="CW170" s="15">
        <v>1</v>
      </c>
      <c r="DC170" s="15" t="s">
        <v>1213</v>
      </c>
      <c r="DD170" s="17"/>
      <c r="DE170" s="17"/>
      <c r="DS170" s="17"/>
      <c r="DT170" s="17"/>
      <c r="EH170" s="17"/>
      <c r="EI170" s="17"/>
      <c r="EW170" s="17"/>
      <c r="EX170" s="17"/>
      <c r="FL170" s="17"/>
      <c r="FM170" s="17"/>
      <c r="GA170" s="17"/>
      <c r="GB170" s="17"/>
      <c r="GP170" s="17"/>
      <c r="GQ170" s="17"/>
      <c r="HE170" s="17"/>
      <c r="HF170" s="17"/>
      <c r="HT170" s="17"/>
      <c r="HU170" s="17"/>
      <c r="II170" s="42"/>
      <c r="IJ170" s="42"/>
      <c r="IK170" s="42"/>
      <c r="IL170" s="42"/>
      <c r="IM170" s="42"/>
      <c r="IN170" s="42"/>
      <c r="IO170" s="42"/>
      <c r="IP170" s="42"/>
      <c r="IQ170" s="42"/>
      <c r="IR170" s="42"/>
      <c r="IS170" s="42"/>
      <c r="IT170" s="42"/>
      <c r="IU170" s="42"/>
      <c r="IV170" s="42"/>
      <c r="IW170" s="42"/>
      <c r="IX170" s="42"/>
      <c r="IY170" s="42"/>
      <c r="IZ170" s="42"/>
      <c r="JA170" s="42"/>
      <c r="JB170" s="42"/>
      <c r="JC170" s="42"/>
      <c r="JD170" s="42"/>
      <c r="JE170" s="42"/>
      <c r="JF170" s="42"/>
      <c r="JG170" s="42"/>
      <c r="JH170" s="42"/>
      <c r="JI170" s="42"/>
      <c r="JJ170" s="42"/>
      <c r="JK170" s="42"/>
      <c r="JL170" s="42"/>
      <c r="JM170" s="42"/>
      <c r="JN170" s="42"/>
      <c r="JO170" s="42"/>
      <c r="JP170" s="42"/>
      <c r="JQ170" s="42"/>
      <c r="JR170" s="42"/>
      <c r="JS170" s="42"/>
      <c r="JT170" s="42"/>
      <c r="JU170" s="42"/>
      <c r="JV170" s="42"/>
      <c r="JW170" s="42"/>
      <c r="JX170" s="42"/>
      <c r="JY170" s="42"/>
      <c r="JZ170" s="42"/>
      <c r="KA170" s="42"/>
    </row>
    <row r="171" spans="1:287" ht="31.5">
      <c r="A171" s="13" t="s">
        <v>473</v>
      </c>
      <c r="B171" s="13" t="s">
        <v>437</v>
      </c>
      <c r="C171" s="15">
        <v>26.424243000000001</v>
      </c>
      <c r="D171" s="15">
        <v>-82.095095000000001</v>
      </c>
      <c r="J171" s="19"/>
      <c r="K171" s="15">
        <v>1</v>
      </c>
      <c r="Q171" s="18" t="s">
        <v>1213</v>
      </c>
      <c r="R171" s="17"/>
      <c r="Y171" s="19"/>
      <c r="AF171" s="19"/>
      <c r="AG171" s="17"/>
      <c r="AV171" s="17"/>
      <c r="BK171" s="17"/>
      <c r="BZ171" s="17"/>
      <c r="CO171" s="17"/>
      <c r="DD171" s="17"/>
      <c r="DE171" s="17"/>
      <c r="DS171" s="17"/>
      <c r="DT171" s="17"/>
      <c r="EH171" s="17"/>
      <c r="EI171" s="17"/>
      <c r="EW171" s="17"/>
      <c r="EX171" s="17"/>
      <c r="FL171" s="17"/>
      <c r="FM171" s="17"/>
      <c r="GA171" s="17"/>
      <c r="GB171" s="17"/>
      <c r="GP171" s="17"/>
      <c r="GQ171" s="17"/>
      <c r="HE171" s="17"/>
      <c r="HF171" s="17"/>
      <c r="HT171" s="17"/>
      <c r="HU171" s="17"/>
      <c r="II171" s="42"/>
      <c r="IJ171" s="42"/>
      <c r="IK171" s="42"/>
      <c r="IL171" s="42"/>
      <c r="IM171" s="42"/>
      <c r="IN171" s="42"/>
      <c r="IO171" s="42"/>
      <c r="IP171" s="42"/>
      <c r="IQ171" s="42"/>
      <c r="IR171" s="42"/>
      <c r="IS171" s="42"/>
      <c r="IT171" s="42"/>
      <c r="IU171" s="42"/>
      <c r="IV171" s="42"/>
      <c r="IW171" s="42"/>
      <c r="IX171" s="42"/>
      <c r="IY171" s="42"/>
      <c r="IZ171" s="42"/>
      <c r="JA171" s="42"/>
      <c r="JB171" s="42"/>
      <c r="JC171" s="42"/>
      <c r="JD171" s="42"/>
      <c r="JE171" s="42"/>
      <c r="JF171" s="42"/>
      <c r="JG171" s="42"/>
      <c r="JH171" s="42"/>
      <c r="JI171" s="42"/>
      <c r="JJ171" s="42"/>
      <c r="JK171" s="42"/>
      <c r="JL171" s="42"/>
      <c r="JM171" s="42"/>
      <c r="JN171" s="42"/>
      <c r="JO171" s="42"/>
      <c r="JP171" s="42"/>
      <c r="JQ171" s="42"/>
      <c r="JR171" s="42"/>
      <c r="JS171" s="42"/>
      <c r="JT171" s="42"/>
      <c r="JU171" s="42"/>
      <c r="JV171" s="42"/>
      <c r="JW171" s="42"/>
      <c r="JX171" s="42"/>
      <c r="JY171" s="42"/>
      <c r="JZ171" s="42"/>
      <c r="KA171" s="42"/>
    </row>
    <row r="172" spans="1:287">
      <c r="A172" s="13" t="s">
        <v>474</v>
      </c>
      <c r="B172" s="13" t="s">
        <v>475</v>
      </c>
      <c r="C172" s="15">
        <v>29.158069999999999</v>
      </c>
      <c r="D172" s="15">
        <v>-83.000529999999998</v>
      </c>
      <c r="E172" s="15">
        <v>1014</v>
      </c>
      <c r="F172" s="15" t="s">
        <v>1379</v>
      </c>
      <c r="G172" s="15">
        <v>278</v>
      </c>
      <c r="H172" s="15">
        <v>0</v>
      </c>
      <c r="I172" s="15">
        <v>2</v>
      </c>
      <c r="J172" s="18">
        <v>0</v>
      </c>
      <c r="K172" s="15">
        <v>0</v>
      </c>
      <c r="L172" s="15">
        <v>0</v>
      </c>
      <c r="M172" s="15">
        <v>0</v>
      </c>
      <c r="N172" s="15">
        <v>0</v>
      </c>
      <c r="O172" s="15">
        <v>0</v>
      </c>
      <c r="P172" s="15">
        <v>0</v>
      </c>
      <c r="Q172" s="18"/>
      <c r="R172" s="17"/>
      <c r="Y172" s="19"/>
      <c r="AF172" s="19"/>
      <c r="AG172" s="17"/>
      <c r="AV172" s="17"/>
      <c r="BK172" s="17"/>
      <c r="BZ172" s="17"/>
      <c r="CO172" s="17"/>
      <c r="DD172" s="17"/>
      <c r="DE172" s="17"/>
      <c r="DS172" s="17"/>
      <c r="DT172" s="17"/>
      <c r="EH172" s="17"/>
      <c r="EI172" s="17"/>
      <c r="EW172" s="17"/>
      <c r="EX172" s="17"/>
      <c r="FL172" s="17"/>
      <c r="FM172" s="17"/>
      <c r="GA172" s="17"/>
      <c r="GB172" s="17"/>
      <c r="GP172" s="17"/>
      <c r="GQ172" s="17"/>
      <c r="HE172" s="17"/>
      <c r="HF172" s="17"/>
      <c r="HT172" s="17"/>
      <c r="HU172" s="17"/>
      <c r="II172" s="42"/>
      <c r="IJ172" s="42"/>
      <c r="IK172" s="42"/>
      <c r="IL172" s="42"/>
      <c r="IM172" s="42"/>
      <c r="IN172" s="42"/>
      <c r="IO172" s="42"/>
      <c r="IP172" s="42"/>
      <c r="IQ172" s="42"/>
      <c r="IR172" s="42"/>
      <c r="IS172" s="42"/>
      <c r="IT172" s="42"/>
      <c r="IU172" s="42"/>
      <c r="IV172" s="42"/>
      <c r="IW172" s="42"/>
      <c r="IX172" s="42"/>
      <c r="IY172" s="42"/>
      <c r="IZ172" s="42"/>
      <c r="JA172" s="42"/>
      <c r="JB172" s="42"/>
      <c r="JC172" s="42"/>
      <c r="JD172" s="42"/>
      <c r="JE172" s="42"/>
      <c r="JF172" s="42"/>
      <c r="JG172" s="42"/>
      <c r="JH172" s="42"/>
      <c r="JI172" s="42"/>
      <c r="JJ172" s="42"/>
      <c r="JK172" s="42"/>
      <c r="JL172" s="42"/>
      <c r="JM172" s="42"/>
      <c r="JN172" s="42"/>
      <c r="JO172" s="42"/>
      <c r="JP172" s="42"/>
      <c r="JQ172" s="42"/>
      <c r="JR172" s="42"/>
      <c r="JS172" s="42"/>
      <c r="JT172" s="42"/>
      <c r="JU172" s="42"/>
      <c r="JV172" s="42"/>
      <c r="JW172" s="42"/>
      <c r="JX172" s="42"/>
      <c r="JY172" s="42"/>
      <c r="JZ172" s="42"/>
      <c r="KA172" s="42"/>
    </row>
    <row r="173" spans="1:287">
      <c r="A173" s="13" t="s">
        <v>478</v>
      </c>
      <c r="B173" s="13" t="s">
        <v>475</v>
      </c>
      <c r="C173" s="15">
        <v>29.166080000000001</v>
      </c>
      <c r="D173" s="15">
        <v>-83.063900000000004</v>
      </c>
      <c r="E173" s="15">
        <v>72</v>
      </c>
      <c r="F173" s="15" t="s">
        <v>1379</v>
      </c>
      <c r="G173" s="15">
        <v>44</v>
      </c>
      <c r="H173" s="15">
        <v>0</v>
      </c>
      <c r="I173" s="15">
        <v>0</v>
      </c>
      <c r="J173" s="18">
        <v>0</v>
      </c>
      <c r="K173" s="15">
        <v>0</v>
      </c>
      <c r="L173" s="15">
        <v>0</v>
      </c>
      <c r="M173" s="15">
        <v>0</v>
      </c>
      <c r="N173" s="15">
        <v>0</v>
      </c>
      <c r="O173" s="15">
        <v>0</v>
      </c>
      <c r="P173" s="15">
        <v>0</v>
      </c>
      <c r="Q173" s="19"/>
      <c r="R173" s="15">
        <v>29.166730000000001</v>
      </c>
      <c r="S173" s="15">
        <v>-83.063919999999996</v>
      </c>
      <c r="T173" s="15">
        <v>135</v>
      </c>
      <c r="U173" s="15" t="s">
        <v>1380</v>
      </c>
      <c r="V173" s="15">
        <v>0</v>
      </c>
      <c r="W173" s="15">
        <v>0</v>
      </c>
      <c r="X173" s="15">
        <v>0</v>
      </c>
      <c r="Y173" s="18">
        <v>0</v>
      </c>
      <c r="Z173" s="15">
        <v>0</v>
      </c>
      <c r="AA173" s="15">
        <v>0</v>
      </c>
      <c r="AB173" s="15">
        <v>0</v>
      </c>
      <c r="AC173" s="15">
        <v>0</v>
      </c>
      <c r="AD173" s="15">
        <v>0</v>
      </c>
      <c r="AE173" s="15">
        <v>0</v>
      </c>
      <c r="AF173" s="19"/>
      <c r="AG173" s="15">
        <v>29.15513</v>
      </c>
      <c r="AH173" s="15">
        <v>-83.067049999999995</v>
      </c>
      <c r="AI173" s="15">
        <v>82</v>
      </c>
      <c r="AJ173" s="15" t="s">
        <v>1380</v>
      </c>
      <c r="AK173" s="15">
        <v>25</v>
      </c>
      <c r="AL173" s="15">
        <v>0</v>
      </c>
      <c r="AM173" s="15">
        <v>0</v>
      </c>
      <c r="AN173" s="15">
        <v>0</v>
      </c>
      <c r="AO173" s="15">
        <v>0</v>
      </c>
      <c r="AP173" s="15">
        <v>0</v>
      </c>
      <c r="AQ173" s="15">
        <v>0</v>
      </c>
      <c r="AR173" s="15">
        <v>0</v>
      </c>
      <c r="AS173" s="15">
        <v>0</v>
      </c>
      <c r="AT173" s="15">
        <v>0</v>
      </c>
      <c r="AV173" s="15">
        <v>29.145859999999999</v>
      </c>
      <c r="AW173" s="15">
        <v>-83.064279999999997</v>
      </c>
      <c r="AX173" s="15">
        <v>27</v>
      </c>
      <c r="AY173" s="15" t="s">
        <v>1380</v>
      </c>
      <c r="AZ173" s="15">
        <v>0</v>
      </c>
      <c r="BA173" s="15">
        <v>0</v>
      </c>
      <c r="BB173" s="15">
        <v>0</v>
      </c>
      <c r="BC173" s="15">
        <v>0</v>
      </c>
      <c r="BD173" s="15">
        <v>0</v>
      </c>
      <c r="BE173" s="15">
        <v>0</v>
      </c>
      <c r="BF173" s="15">
        <v>0</v>
      </c>
      <c r="BG173" s="15">
        <v>0</v>
      </c>
      <c r="BH173" s="15">
        <v>0</v>
      </c>
      <c r="BI173" s="15">
        <v>0</v>
      </c>
      <c r="BK173" s="17"/>
      <c r="BZ173" s="17"/>
      <c r="CO173" s="17"/>
      <c r="DD173" s="17"/>
      <c r="DE173" s="17"/>
      <c r="DS173" s="17"/>
      <c r="DT173" s="17"/>
      <c r="EH173" s="17"/>
      <c r="EI173" s="17"/>
      <c r="EW173" s="17"/>
      <c r="EX173" s="17"/>
      <c r="FL173" s="17"/>
      <c r="FM173" s="17"/>
      <c r="GA173" s="17"/>
      <c r="GB173" s="17"/>
      <c r="GP173" s="17"/>
      <c r="GQ173" s="17"/>
      <c r="HE173" s="17"/>
      <c r="HF173" s="17"/>
      <c r="HT173" s="17"/>
      <c r="HU173" s="17"/>
      <c r="II173" s="42"/>
      <c r="IJ173" s="42"/>
      <c r="IK173" s="42"/>
      <c r="IL173" s="42"/>
      <c r="IM173" s="42"/>
      <c r="IN173" s="42"/>
      <c r="IO173" s="42"/>
      <c r="IP173" s="42"/>
      <c r="IQ173" s="42"/>
      <c r="IR173" s="42"/>
      <c r="IS173" s="42"/>
      <c r="IT173" s="42"/>
      <c r="IU173" s="42"/>
      <c r="IV173" s="42"/>
      <c r="IW173" s="42"/>
      <c r="IX173" s="42"/>
      <c r="IY173" s="42"/>
      <c r="IZ173" s="42"/>
      <c r="JA173" s="42"/>
      <c r="JB173" s="42"/>
      <c r="JC173" s="42"/>
      <c r="JD173" s="42"/>
      <c r="JE173" s="42"/>
      <c r="JF173" s="42"/>
      <c r="JG173" s="42"/>
      <c r="JH173" s="42"/>
      <c r="JI173" s="42"/>
      <c r="JJ173" s="42"/>
      <c r="JK173" s="42"/>
      <c r="JL173" s="42"/>
      <c r="JM173" s="42"/>
      <c r="JN173" s="42"/>
      <c r="JO173" s="42"/>
      <c r="JP173" s="42"/>
      <c r="JQ173" s="42"/>
      <c r="JR173" s="42"/>
      <c r="JS173" s="42"/>
      <c r="JT173" s="42"/>
      <c r="JU173" s="42"/>
      <c r="JV173" s="42"/>
      <c r="JW173" s="42"/>
      <c r="JX173" s="42"/>
      <c r="JY173" s="42"/>
      <c r="JZ173" s="42"/>
      <c r="KA173" s="42"/>
    </row>
    <row r="174" spans="1:287">
      <c r="A174" s="53" t="s">
        <v>481</v>
      </c>
      <c r="B174" s="24" t="s">
        <v>475</v>
      </c>
      <c r="C174" s="17"/>
      <c r="J174" s="19"/>
      <c r="Q174" s="18"/>
      <c r="R174" s="17"/>
      <c r="Y174" s="19"/>
      <c r="AF174" s="18"/>
      <c r="AG174" s="17"/>
      <c r="AV174" s="17"/>
      <c r="BK174" s="17"/>
      <c r="BZ174" s="17"/>
      <c r="CO174" s="17"/>
      <c r="DD174" s="17"/>
      <c r="DE174" s="17"/>
      <c r="DS174" s="17"/>
      <c r="DT174" s="17"/>
      <c r="EH174" s="17"/>
      <c r="EI174" s="17"/>
      <c r="EW174" s="17"/>
      <c r="EX174" s="17"/>
      <c r="FL174" s="17"/>
      <c r="FM174" s="17"/>
      <c r="GA174" s="17"/>
      <c r="GB174" s="17"/>
      <c r="GP174" s="17"/>
      <c r="GQ174" s="17"/>
      <c r="HE174" s="17"/>
      <c r="HF174" s="17"/>
      <c r="HT174" s="17"/>
      <c r="HU174" s="17"/>
      <c r="II174" s="42"/>
      <c r="IJ174" s="42"/>
      <c r="IK174" s="42"/>
      <c r="IL174" s="42"/>
      <c r="IM174" s="42"/>
      <c r="IN174" s="42"/>
      <c r="IO174" s="42"/>
      <c r="IP174" s="42"/>
      <c r="IQ174" s="42"/>
      <c r="IR174" s="42"/>
      <c r="IS174" s="42"/>
      <c r="IT174" s="42"/>
      <c r="IU174" s="42"/>
      <c r="IV174" s="42"/>
      <c r="IW174" s="42"/>
      <c r="IX174" s="42"/>
      <c r="IY174" s="42"/>
      <c r="IZ174" s="42"/>
      <c r="JA174" s="42"/>
      <c r="JB174" s="42"/>
      <c r="JC174" s="42"/>
      <c r="JD174" s="42"/>
      <c r="JE174" s="42"/>
      <c r="JF174" s="42"/>
      <c r="JG174" s="42"/>
      <c r="JH174" s="42"/>
      <c r="JI174" s="42"/>
      <c r="JJ174" s="42"/>
      <c r="JK174" s="42"/>
      <c r="JL174" s="42"/>
      <c r="JM174" s="42"/>
      <c r="JN174" s="42"/>
      <c r="JO174" s="42"/>
      <c r="JP174" s="42"/>
      <c r="JQ174" s="42"/>
      <c r="JR174" s="42"/>
      <c r="JS174" s="42"/>
      <c r="JT174" s="42"/>
      <c r="JU174" s="42"/>
      <c r="JV174" s="42"/>
      <c r="JW174" s="42"/>
      <c r="JX174" s="42"/>
      <c r="JY174" s="42"/>
      <c r="JZ174" s="42"/>
      <c r="KA174" s="42"/>
    </row>
    <row r="175" spans="1:287">
      <c r="A175" s="13" t="s">
        <v>482</v>
      </c>
      <c r="B175" s="13" t="s">
        <v>483</v>
      </c>
      <c r="C175" s="17"/>
      <c r="J175" s="19"/>
      <c r="Q175" s="19"/>
      <c r="R175" s="17"/>
      <c r="Y175" s="19"/>
      <c r="AF175" s="19"/>
      <c r="AG175" s="17"/>
      <c r="AV175" s="17"/>
      <c r="BK175" s="17"/>
      <c r="BZ175" s="17"/>
      <c r="CO175" s="17"/>
      <c r="DD175" s="17"/>
      <c r="DE175" s="17"/>
      <c r="DS175" s="17"/>
      <c r="DT175" s="17"/>
      <c r="EH175" s="17"/>
      <c r="EI175" s="17"/>
      <c r="EW175" s="17"/>
      <c r="EX175" s="17"/>
      <c r="FL175" s="17"/>
      <c r="FM175" s="17"/>
      <c r="GA175" s="17"/>
      <c r="GB175" s="17"/>
      <c r="GP175" s="17"/>
      <c r="GQ175" s="17"/>
      <c r="HE175" s="17"/>
      <c r="HF175" s="17"/>
      <c r="HT175" s="17"/>
      <c r="HU175" s="17"/>
      <c r="II175" s="42"/>
      <c r="IJ175" s="42"/>
      <c r="IK175" s="42"/>
      <c r="IL175" s="42"/>
      <c r="IM175" s="42"/>
      <c r="IN175" s="42"/>
      <c r="IO175" s="42"/>
      <c r="IP175" s="42"/>
      <c r="IQ175" s="42"/>
      <c r="IR175" s="42"/>
      <c r="IS175" s="42"/>
      <c r="IT175" s="42"/>
      <c r="IU175" s="42"/>
      <c r="IV175" s="42"/>
      <c r="IW175" s="42"/>
      <c r="IX175" s="42"/>
      <c r="IY175" s="42"/>
      <c r="IZ175" s="42"/>
      <c r="JA175" s="42"/>
      <c r="JB175" s="42"/>
      <c r="JC175" s="42"/>
      <c r="JD175" s="42"/>
      <c r="JE175" s="42"/>
      <c r="JF175" s="42"/>
      <c r="JG175" s="42"/>
      <c r="JH175" s="42"/>
      <c r="JI175" s="42"/>
      <c r="JJ175" s="42"/>
      <c r="JK175" s="42"/>
      <c r="JL175" s="42"/>
      <c r="JM175" s="42"/>
      <c r="JN175" s="42"/>
      <c r="JO175" s="42"/>
      <c r="JP175" s="42"/>
      <c r="JQ175" s="42"/>
      <c r="JR175" s="42"/>
      <c r="JS175" s="42"/>
      <c r="JT175" s="42"/>
      <c r="JU175" s="42"/>
      <c r="JV175" s="42"/>
      <c r="JW175" s="42"/>
      <c r="JX175" s="42"/>
      <c r="JY175" s="42"/>
      <c r="JZ175" s="42"/>
      <c r="KA175" s="42"/>
    </row>
    <row r="176" spans="1:287">
      <c r="A176" s="13" t="s">
        <v>484</v>
      </c>
      <c r="B176" s="13" t="s">
        <v>483</v>
      </c>
      <c r="C176" s="108"/>
      <c r="D176" s="108"/>
      <c r="J176" s="19"/>
      <c r="Q176" s="18"/>
      <c r="R176" s="17"/>
      <c r="Y176" s="19"/>
      <c r="AF176" s="19"/>
      <c r="AG176" s="17"/>
      <c r="AV176" s="17"/>
      <c r="BK176" s="17"/>
      <c r="BZ176" s="17"/>
      <c r="CO176" s="17"/>
      <c r="DD176" s="17"/>
      <c r="DE176" s="17"/>
      <c r="DS176" s="17"/>
      <c r="DT176" s="17"/>
      <c r="EH176" s="17"/>
      <c r="EI176" s="17"/>
      <c r="EW176" s="17"/>
      <c r="EX176" s="17"/>
      <c r="FL176" s="17"/>
      <c r="FM176" s="17"/>
      <c r="GA176" s="17"/>
      <c r="GB176" s="17"/>
      <c r="GP176" s="17"/>
      <c r="GQ176" s="17"/>
      <c r="HE176" s="17"/>
      <c r="HF176" s="17"/>
      <c r="HT176" s="17"/>
      <c r="HU176" s="17"/>
      <c r="II176" s="42"/>
      <c r="IJ176" s="42"/>
      <c r="IK176" s="42"/>
      <c r="IL176" s="42"/>
      <c r="IM176" s="42"/>
      <c r="IN176" s="42"/>
      <c r="IO176" s="42"/>
      <c r="IP176" s="42"/>
      <c r="IQ176" s="42"/>
      <c r="IR176" s="42"/>
      <c r="IS176" s="42"/>
      <c r="IT176" s="42"/>
      <c r="IU176" s="42"/>
      <c r="IV176" s="42"/>
      <c r="IW176" s="42"/>
      <c r="IX176" s="42"/>
      <c r="IY176" s="42"/>
      <c r="IZ176" s="42"/>
      <c r="JA176" s="42"/>
      <c r="JB176" s="42"/>
      <c r="JC176" s="42"/>
      <c r="JD176" s="42"/>
      <c r="JE176" s="42"/>
      <c r="JF176" s="42"/>
      <c r="JG176" s="42"/>
      <c r="JH176" s="42"/>
      <c r="JI176" s="42"/>
      <c r="JJ176" s="42"/>
      <c r="JK176" s="42"/>
      <c r="JL176" s="42"/>
      <c r="JM176" s="42"/>
      <c r="JN176" s="42"/>
      <c r="JO176" s="42"/>
      <c r="JP176" s="42"/>
      <c r="JQ176" s="42"/>
      <c r="JR176" s="42"/>
      <c r="JS176" s="42"/>
      <c r="JT176" s="42"/>
      <c r="JU176" s="42"/>
      <c r="JV176" s="42"/>
      <c r="JW176" s="42"/>
      <c r="JX176" s="42"/>
      <c r="JY176" s="42"/>
      <c r="JZ176" s="42"/>
      <c r="KA176" s="42"/>
    </row>
    <row r="177" spans="1:287" ht="31.5">
      <c r="A177" s="13" t="s">
        <v>485</v>
      </c>
      <c r="B177" s="13" t="s">
        <v>486</v>
      </c>
      <c r="C177" s="17"/>
      <c r="J177" s="19"/>
      <c r="Q177" s="19"/>
      <c r="R177" s="17"/>
      <c r="Y177" s="19"/>
      <c r="AF177" s="19"/>
      <c r="AG177" s="17"/>
      <c r="AV177" s="17"/>
      <c r="BK177" s="17"/>
      <c r="BZ177" s="17"/>
      <c r="CO177" s="17"/>
      <c r="DD177" s="17"/>
      <c r="DE177" s="17"/>
      <c r="DS177" s="17"/>
      <c r="DT177" s="17"/>
      <c r="EH177" s="17"/>
      <c r="EI177" s="17"/>
      <c r="EW177" s="17"/>
      <c r="EX177" s="17"/>
      <c r="FL177" s="17"/>
      <c r="FM177" s="17"/>
      <c r="GA177" s="17"/>
      <c r="GB177" s="17"/>
      <c r="GP177" s="17"/>
      <c r="GQ177" s="17"/>
      <c r="HE177" s="17"/>
      <c r="HF177" s="17"/>
      <c r="HT177" s="17"/>
      <c r="HU177" s="17"/>
      <c r="II177" s="42"/>
      <c r="IJ177" s="42"/>
      <c r="IK177" s="42"/>
      <c r="IL177" s="42"/>
      <c r="IM177" s="42"/>
      <c r="IN177" s="42"/>
      <c r="IO177" s="42"/>
      <c r="IP177" s="42"/>
      <c r="IQ177" s="42"/>
      <c r="IR177" s="42"/>
      <c r="IS177" s="42"/>
      <c r="IT177" s="42"/>
      <c r="IU177" s="42"/>
      <c r="IV177" s="42"/>
      <c r="IW177" s="42"/>
      <c r="IX177" s="42"/>
      <c r="IY177" s="42"/>
      <c r="IZ177" s="42"/>
      <c r="JA177" s="42"/>
      <c r="JB177" s="42"/>
      <c r="JC177" s="42"/>
      <c r="JD177" s="42"/>
      <c r="JE177" s="42"/>
      <c r="JF177" s="42"/>
      <c r="JG177" s="42"/>
      <c r="JH177" s="42"/>
      <c r="JI177" s="42"/>
      <c r="JJ177" s="42"/>
      <c r="JK177" s="42"/>
      <c r="JL177" s="42"/>
      <c r="JM177" s="42"/>
      <c r="JN177" s="42"/>
      <c r="JO177" s="42"/>
      <c r="JP177" s="42"/>
      <c r="JQ177" s="42"/>
      <c r="JR177" s="42"/>
      <c r="JS177" s="42"/>
      <c r="JT177" s="42"/>
      <c r="JU177" s="42"/>
      <c r="JV177" s="42"/>
      <c r="JW177" s="42"/>
      <c r="JX177" s="42"/>
      <c r="JY177" s="42"/>
      <c r="JZ177" s="42"/>
      <c r="KA177" s="42"/>
    </row>
    <row r="178" spans="1:287" ht="47.25">
      <c r="A178" s="13" t="s">
        <v>487</v>
      </c>
      <c r="B178" s="13" t="s">
        <v>488</v>
      </c>
      <c r="C178" s="17"/>
      <c r="J178" s="19"/>
      <c r="Q178" s="18"/>
      <c r="R178" s="17"/>
      <c r="Y178" s="19"/>
      <c r="AF178" s="19"/>
      <c r="AG178" s="17"/>
      <c r="AV178" s="17"/>
      <c r="BK178" s="17"/>
      <c r="BZ178" s="17"/>
      <c r="CO178" s="17"/>
      <c r="DD178" s="17"/>
      <c r="DE178" s="17"/>
      <c r="DS178" s="17"/>
      <c r="DT178" s="17"/>
      <c r="EH178" s="17"/>
      <c r="EI178" s="17"/>
      <c r="EW178" s="17"/>
      <c r="EX178" s="17"/>
      <c r="FL178" s="17"/>
      <c r="FM178" s="17"/>
      <c r="GA178" s="17"/>
      <c r="GB178" s="17"/>
      <c r="GP178" s="17"/>
      <c r="GQ178" s="17"/>
      <c r="HE178" s="17"/>
      <c r="HF178" s="17"/>
      <c r="HT178" s="17"/>
      <c r="HU178" s="17"/>
      <c r="II178" s="42"/>
      <c r="IJ178" s="42"/>
      <c r="IK178" s="42"/>
      <c r="IL178" s="42"/>
      <c r="IM178" s="42"/>
      <c r="IN178" s="42"/>
      <c r="IO178" s="42"/>
      <c r="IP178" s="42"/>
      <c r="IQ178" s="42"/>
      <c r="IR178" s="42"/>
      <c r="IS178" s="42"/>
      <c r="IT178" s="42"/>
      <c r="IU178" s="42"/>
      <c r="IV178" s="42"/>
      <c r="IW178" s="42"/>
      <c r="IX178" s="42"/>
      <c r="IY178" s="42"/>
      <c r="IZ178" s="42"/>
      <c r="JA178" s="42"/>
      <c r="JB178" s="42"/>
      <c r="JC178" s="42"/>
      <c r="JD178" s="42"/>
      <c r="JE178" s="42"/>
      <c r="JF178" s="42"/>
      <c r="JG178" s="42"/>
      <c r="JH178" s="42"/>
      <c r="JI178" s="42"/>
      <c r="JJ178" s="42"/>
      <c r="JK178" s="42"/>
      <c r="JL178" s="42"/>
      <c r="JM178" s="42"/>
      <c r="JN178" s="42"/>
      <c r="JO178" s="42"/>
      <c r="JP178" s="42"/>
      <c r="JQ178" s="42"/>
      <c r="JR178" s="42"/>
      <c r="JS178" s="42"/>
      <c r="JT178" s="42"/>
      <c r="JU178" s="42"/>
      <c r="JV178" s="42"/>
      <c r="JW178" s="42"/>
      <c r="JX178" s="42"/>
      <c r="JY178" s="42"/>
      <c r="JZ178" s="42"/>
      <c r="KA178" s="42"/>
    </row>
    <row r="179" spans="1:287" ht="39">
      <c r="A179" s="13" t="s">
        <v>489</v>
      </c>
      <c r="B179" s="13" t="s">
        <v>488</v>
      </c>
      <c r="C179" s="15">
        <v>27.109870000000001</v>
      </c>
      <c r="D179" s="15">
        <v>-80.137910000000005</v>
      </c>
      <c r="E179" s="15">
        <v>0</v>
      </c>
      <c r="F179" s="15">
        <v>0</v>
      </c>
      <c r="G179" s="15">
        <v>0</v>
      </c>
      <c r="H179" s="15">
        <v>0</v>
      </c>
      <c r="I179" s="15">
        <v>0</v>
      </c>
      <c r="J179" s="18">
        <v>0</v>
      </c>
      <c r="K179" s="15">
        <v>0</v>
      </c>
      <c r="L179" s="15">
        <v>0</v>
      </c>
      <c r="M179" s="15">
        <v>0</v>
      </c>
      <c r="N179" s="15">
        <v>0</v>
      </c>
      <c r="O179" s="15">
        <v>0</v>
      </c>
      <c r="P179" s="15">
        <v>0</v>
      </c>
      <c r="Q179" s="18" t="s">
        <v>1381</v>
      </c>
      <c r="R179" s="17"/>
      <c r="Y179" s="19"/>
      <c r="AF179" s="19"/>
      <c r="AG179" s="17"/>
      <c r="AV179" s="17"/>
      <c r="BK179" s="17"/>
      <c r="BZ179" s="17"/>
      <c r="CO179" s="17"/>
      <c r="DD179" s="17"/>
      <c r="DE179" s="17"/>
      <c r="DS179" s="17"/>
      <c r="DT179" s="17"/>
      <c r="EH179" s="17"/>
      <c r="EI179" s="17"/>
      <c r="EW179" s="17"/>
      <c r="EX179" s="17"/>
      <c r="FL179" s="17"/>
      <c r="FM179" s="17"/>
      <c r="GA179" s="17"/>
      <c r="GB179" s="17"/>
      <c r="GP179" s="17"/>
      <c r="GQ179" s="17"/>
      <c r="HE179" s="17"/>
      <c r="HF179" s="17"/>
      <c r="HT179" s="17"/>
      <c r="HU179" s="17"/>
      <c r="II179" s="42"/>
      <c r="IJ179" s="42"/>
      <c r="IK179" s="42"/>
      <c r="IL179" s="42"/>
      <c r="IM179" s="42"/>
      <c r="IN179" s="42"/>
      <c r="IO179" s="42"/>
      <c r="IP179" s="42"/>
      <c r="IQ179" s="42"/>
      <c r="IR179" s="42"/>
      <c r="IS179" s="42"/>
      <c r="IT179" s="42"/>
      <c r="IU179" s="42"/>
      <c r="IV179" s="42"/>
      <c r="IW179" s="42"/>
      <c r="IX179" s="42"/>
      <c r="IY179" s="42"/>
      <c r="IZ179" s="42"/>
      <c r="JA179" s="42"/>
      <c r="JB179" s="42"/>
      <c r="JC179" s="42"/>
      <c r="JD179" s="42"/>
      <c r="JE179" s="42"/>
      <c r="JF179" s="42"/>
      <c r="JG179" s="42"/>
      <c r="JH179" s="42"/>
      <c r="JI179" s="42"/>
      <c r="JJ179" s="42"/>
      <c r="JK179" s="42"/>
      <c r="JL179" s="42"/>
      <c r="JM179" s="42"/>
      <c r="JN179" s="42"/>
      <c r="JO179" s="42"/>
      <c r="JP179" s="42"/>
      <c r="JQ179" s="42"/>
      <c r="JR179" s="42"/>
      <c r="JS179" s="42"/>
      <c r="JT179" s="42"/>
      <c r="JU179" s="42"/>
      <c r="JV179" s="42"/>
      <c r="JW179" s="42"/>
      <c r="JX179" s="42"/>
      <c r="JY179" s="42"/>
      <c r="JZ179" s="42"/>
      <c r="KA179" s="42"/>
    </row>
    <row r="180" spans="1:287">
      <c r="A180" s="20" t="s">
        <v>491</v>
      </c>
      <c r="B180" s="24" t="s">
        <v>488</v>
      </c>
      <c r="C180" s="17"/>
      <c r="J180" s="18"/>
      <c r="R180" s="17"/>
      <c r="Y180" s="19"/>
      <c r="AF180" s="18"/>
      <c r="AG180" s="17"/>
      <c r="AV180" s="17"/>
      <c r="BK180" s="17"/>
      <c r="BZ180" s="17"/>
      <c r="CO180" s="17"/>
      <c r="DD180" s="17"/>
      <c r="DE180" s="17"/>
      <c r="DS180" s="17"/>
      <c r="DT180" s="17"/>
      <c r="EH180" s="17"/>
      <c r="EI180" s="17"/>
      <c r="EW180" s="17"/>
      <c r="EX180" s="17"/>
      <c r="FL180" s="17"/>
      <c r="FM180" s="17"/>
      <c r="GA180" s="17"/>
      <c r="GB180" s="17"/>
      <c r="GP180" s="17"/>
      <c r="GQ180" s="17"/>
      <c r="HE180" s="17"/>
      <c r="HF180" s="17"/>
      <c r="HT180" s="17"/>
      <c r="HU180" s="17"/>
      <c r="II180" s="42"/>
      <c r="IJ180" s="42"/>
      <c r="IK180" s="42"/>
      <c r="IL180" s="42"/>
      <c r="IM180" s="42"/>
      <c r="IN180" s="42"/>
      <c r="IO180" s="42"/>
      <c r="IP180" s="42"/>
      <c r="IQ180" s="42"/>
      <c r="IR180" s="42"/>
      <c r="IS180" s="42"/>
      <c r="IT180" s="42"/>
      <c r="IU180" s="42"/>
      <c r="IV180" s="42"/>
      <c r="IW180" s="42"/>
      <c r="IX180" s="42"/>
      <c r="IY180" s="42"/>
      <c r="IZ180" s="42"/>
      <c r="JA180" s="42"/>
      <c r="JB180" s="42"/>
      <c r="JC180" s="42"/>
      <c r="JD180" s="42"/>
      <c r="JE180" s="42"/>
      <c r="JF180" s="42"/>
      <c r="JG180" s="42"/>
      <c r="JH180" s="42"/>
      <c r="JI180" s="42"/>
      <c r="JJ180" s="42"/>
      <c r="JK180" s="42"/>
      <c r="JL180" s="42"/>
      <c r="JM180" s="42"/>
      <c r="JN180" s="42"/>
      <c r="JO180" s="42"/>
      <c r="JP180" s="42"/>
      <c r="JQ180" s="42"/>
      <c r="JR180" s="42"/>
      <c r="JS180" s="42"/>
      <c r="JT180" s="42"/>
      <c r="JU180" s="42"/>
      <c r="JV180" s="42"/>
      <c r="JW180" s="42"/>
      <c r="JX180" s="42"/>
      <c r="JY180" s="42"/>
      <c r="JZ180" s="42"/>
      <c r="KA180" s="42"/>
    </row>
    <row r="181" spans="1:287">
      <c r="A181" s="13" t="s">
        <v>492</v>
      </c>
      <c r="B181" s="13" t="s">
        <v>488</v>
      </c>
      <c r="C181" s="17"/>
      <c r="J181" s="19"/>
      <c r="Q181" s="19"/>
      <c r="R181" s="17"/>
      <c r="Y181" s="19"/>
      <c r="AF181" s="19"/>
      <c r="AG181" s="17"/>
      <c r="AV181" s="17"/>
      <c r="BK181" s="17"/>
      <c r="BZ181" s="17"/>
      <c r="CO181" s="17"/>
      <c r="DD181" s="17"/>
      <c r="DE181" s="17"/>
      <c r="DS181" s="17"/>
      <c r="DT181" s="17"/>
      <c r="EH181" s="17"/>
      <c r="EI181" s="17"/>
      <c r="EW181" s="17"/>
      <c r="EX181" s="17"/>
      <c r="FL181" s="17"/>
      <c r="FM181" s="17"/>
      <c r="GA181" s="17"/>
      <c r="GB181" s="17"/>
      <c r="GP181" s="17"/>
      <c r="GQ181" s="17"/>
      <c r="HE181" s="17"/>
      <c r="HF181" s="17"/>
      <c r="HT181" s="17"/>
      <c r="HU181" s="17"/>
      <c r="II181" s="42"/>
      <c r="IJ181" s="42"/>
      <c r="IK181" s="42"/>
      <c r="IL181" s="42"/>
      <c r="IM181" s="42"/>
      <c r="IN181" s="42"/>
      <c r="IO181" s="42"/>
      <c r="IP181" s="42"/>
      <c r="IQ181" s="42"/>
      <c r="IR181" s="42"/>
      <c r="IS181" s="42"/>
      <c r="IT181" s="42"/>
      <c r="IU181" s="42"/>
      <c r="IV181" s="42"/>
      <c r="IW181" s="42"/>
      <c r="IX181" s="42"/>
      <c r="IY181" s="42"/>
      <c r="IZ181" s="42"/>
      <c r="JA181" s="42"/>
      <c r="JB181" s="42"/>
      <c r="JC181" s="42"/>
      <c r="JD181" s="42"/>
      <c r="JE181" s="42"/>
      <c r="JF181" s="42"/>
      <c r="JG181" s="42"/>
      <c r="JH181" s="42"/>
      <c r="JI181" s="42"/>
      <c r="JJ181" s="42"/>
      <c r="JK181" s="42"/>
      <c r="JL181" s="42"/>
      <c r="JM181" s="42"/>
      <c r="JN181" s="42"/>
      <c r="JO181" s="42"/>
      <c r="JP181" s="42"/>
      <c r="JQ181" s="42"/>
      <c r="JR181" s="42"/>
      <c r="JS181" s="42"/>
      <c r="JT181" s="42"/>
      <c r="JU181" s="42"/>
      <c r="JV181" s="42"/>
      <c r="JW181" s="42"/>
      <c r="JX181" s="42"/>
      <c r="JY181" s="42"/>
      <c r="JZ181" s="42"/>
      <c r="KA181" s="42"/>
    </row>
    <row r="182" spans="1:287" ht="31.5">
      <c r="A182" s="13" t="s">
        <v>495</v>
      </c>
      <c r="B182" s="13" t="s">
        <v>488</v>
      </c>
      <c r="C182" s="17"/>
      <c r="J182" s="18"/>
      <c r="Q182" s="18"/>
      <c r="R182" s="17"/>
      <c r="AF182" s="18"/>
      <c r="AG182" s="17"/>
      <c r="AV182" s="17"/>
      <c r="BK182" s="17"/>
      <c r="BZ182" s="17"/>
      <c r="CO182" s="17"/>
      <c r="DD182" s="17"/>
      <c r="DE182" s="17"/>
      <c r="DS182" s="17"/>
      <c r="DT182" s="17"/>
      <c r="EH182" s="17"/>
      <c r="EI182" s="17"/>
      <c r="EW182" s="17"/>
      <c r="EX182" s="17"/>
      <c r="FL182" s="17"/>
      <c r="FM182" s="17"/>
      <c r="GA182" s="17"/>
      <c r="GB182" s="17"/>
      <c r="GP182" s="17"/>
      <c r="GQ182" s="17"/>
      <c r="HE182" s="17"/>
      <c r="HF182" s="17"/>
      <c r="HT182" s="17"/>
      <c r="HU182" s="17"/>
      <c r="II182" s="42"/>
      <c r="IJ182" s="42"/>
      <c r="IK182" s="42"/>
      <c r="IL182" s="42"/>
      <c r="IM182" s="42"/>
      <c r="IN182" s="42"/>
      <c r="IO182" s="42"/>
      <c r="IP182" s="42"/>
      <c r="IQ182" s="42"/>
      <c r="IR182" s="42"/>
      <c r="IS182" s="42"/>
      <c r="IT182" s="42"/>
      <c r="IU182" s="42"/>
      <c r="IV182" s="42"/>
      <c r="IW182" s="42"/>
      <c r="IX182" s="42"/>
      <c r="IY182" s="42"/>
      <c r="IZ182" s="42"/>
      <c r="JA182" s="42"/>
      <c r="JB182" s="42"/>
      <c r="JC182" s="42"/>
      <c r="JD182" s="42"/>
      <c r="JE182" s="42"/>
      <c r="JF182" s="42"/>
      <c r="JG182" s="42"/>
      <c r="JH182" s="42"/>
      <c r="JI182" s="42"/>
      <c r="JJ182" s="42"/>
      <c r="JK182" s="42"/>
      <c r="JL182" s="42"/>
      <c r="JM182" s="42"/>
      <c r="JN182" s="42"/>
      <c r="JO182" s="42"/>
      <c r="JP182" s="42"/>
      <c r="JQ182" s="42"/>
      <c r="JR182" s="42"/>
      <c r="JS182" s="42"/>
      <c r="JT182" s="42"/>
      <c r="JU182" s="42"/>
      <c r="JV182" s="42"/>
      <c r="JW182" s="42"/>
      <c r="JX182" s="42"/>
      <c r="JY182" s="42"/>
      <c r="JZ182" s="42"/>
      <c r="KA182" s="42"/>
    </row>
    <row r="183" spans="1:287" ht="47.25">
      <c r="A183" s="13" t="s">
        <v>496</v>
      </c>
      <c r="B183" s="13" t="s">
        <v>488</v>
      </c>
      <c r="C183" s="17"/>
      <c r="J183" s="19"/>
      <c r="Q183" s="18"/>
      <c r="R183" s="17"/>
      <c r="Y183" s="19"/>
      <c r="AF183" s="18"/>
      <c r="AG183" s="17"/>
      <c r="AV183" s="17"/>
      <c r="BK183" s="17"/>
      <c r="BZ183" s="17"/>
      <c r="CO183" s="17"/>
      <c r="DD183" s="17"/>
      <c r="DE183" s="17"/>
      <c r="DS183" s="17"/>
      <c r="DT183" s="17"/>
      <c r="EH183" s="17"/>
      <c r="EI183" s="17"/>
      <c r="EW183" s="17"/>
      <c r="EX183" s="17"/>
      <c r="FL183" s="17"/>
      <c r="FM183" s="17"/>
      <c r="GA183" s="17"/>
      <c r="GB183" s="17"/>
      <c r="GP183" s="17"/>
      <c r="GQ183" s="17"/>
      <c r="HE183" s="17"/>
      <c r="HF183" s="17"/>
      <c r="HT183" s="17"/>
      <c r="HU183" s="17"/>
      <c r="II183" s="42"/>
      <c r="IJ183" s="42"/>
      <c r="IK183" s="42"/>
      <c r="IL183" s="42"/>
      <c r="IM183" s="42"/>
      <c r="IN183" s="42"/>
      <c r="IO183" s="42"/>
      <c r="IP183" s="42"/>
      <c r="IQ183" s="42"/>
      <c r="IR183" s="42"/>
      <c r="IS183" s="42"/>
      <c r="IT183" s="42"/>
      <c r="IU183" s="42"/>
      <c r="IV183" s="42"/>
      <c r="IW183" s="42"/>
      <c r="IX183" s="42"/>
      <c r="IY183" s="42"/>
      <c r="IZ183" s="42"/>
      <c r="JA183" s="42"/>
      <c r="JB183" s="42"/>
      <c r="JC183" s="42"/>
      <c r="JD183" s="42"/>
      <c r="JE183" s="42"/>
      <c r="JF183" s="42"/>
      <c r="JG183" s="42"/>
      <c r="JH183" s="42"/>
      <c r="JI183" s="42"/>
      <c r="JJ183" s="42"/>
      <c r="JK183" s="42"/>
      <c r="JL183" s="42"/>
      <c r="JM183" s="42"/>
      <c r="JN183" s="42"/>
      <c r="JO183" s="42"/>
      <c r="JP183" s="42"/>
      <c r="JQ183" s="42"/>
      <c r="JR183" s="42"/>
      <c r="JS183" s="42"/>
      <c r="JT183" s="42"/>
      <c r="JU183" s="42"/>
      <c r="JV183" s="42"/>
      <c r="JW183" s="42"/>
      <c r="JX183" s="42"/>
      <c r="JY183" s="42"/>
      <c r="JZ183" s="42"/>
      <c r="KA183" s="42"/>
    </row>
    <row r="184" spans="1:287" ht="47.25">
      <c r="A184" s="13" t="s">
        <v>497</v>
      </c>
      <c r="B184" s="13" t="s">
        <v>488</v>
      </c>
      <c r="C184" s="17"/>
      <c r="J184" s="19"/>
      <c r="Q184" s="18"/>
      <c r="R184" s="17"/>
      <c r="Y184" s="19"/>
      <c r="AF184" s="18"/>
      <c r="AG184" s="17"/>
      <c r="AV184" s="17"/>
      <c r="BK184" s="17"/>
      <c r="BZ184" s="17"/>
      <c r="CO184" s="17"/>
      <c r="DD184" s="17"/>
      <c r="DE184" s="17"/>
      <c r="DS184" s="17"/>
      <c r="DT184" s="17"/>
      <c r="EH184" s="17"/>
      <c r="EI184" s="17"/>
      <c r="EW184" s="17"/>
      <c r="EX184" s="17"/>
      <c r="FL184" s="17"/>
      <c r="FM184" s="17"/>
      <c r="GA184" s="17"/>
      <c r="GB184" s="17"/>
      <c r="GP184" s="17"/>
      <c r="GQ184" s="17"/>
      <c r="HE184" s="17"/>
      <c r="HF184" s="17"/>
      <c r="HT184" s="17"/>
      <c r="HU184" s="17"/>
      <c r="II184" s="42"/>
      <c r="IJ184" s="42"/>
      <c r="IK184" s="42"/>
      <c r="IL184" s="42"/>
      <c r="IM184" s="42"/>
      <c r="IN184" s="42"/>
      <c r="IO184" s="42"/>
      <c r="IP184" s="42"/>
      <c r="IQ184" s="42"/>
      <c r="IR184" s="42"/>
      <c r="IS184" s="42"/>
      <c r="IT184" s="42"/>
      <c r="IU184" s="42"/>
      <c r="IV184" s="42"/>
      <c r="IW184" s="42"/>
      <c r="IX184" s="42"/>
      <c r="IY184" s="42"/>
      <c r="IZ184" s="42"/>
      <c r="JA184" s="42"/>
      <c r="JB184" s="42"/>
      <c r="JC184" s="42"/>
      <c r="JD184" s="42"/>
      <c r="JE184" s="42"/>
      <c r="JF184" s="42"/>
      <c r="JG184" s="42"/>
      <c r="JH184" s="42"/>
      <c r="JI184" s="42"/>
      <c r="JJ184" s="42"/>
      <c r="JK184" s="42"/>
      <c r="JL184" s="42"/>
      <c r="JM184" s="42"/>
      <c r="JN184" s="42"/>
      <c r="JO184" s="42"/>
      <c r="JP184" s="42"/>
      <c r="JQ184" s="42"/>
      <c r="JR184" s="42"/>
      <c r="JS184" s="42"/>
      <c r="JT184" s="42"/>
      <c r="JU184" s="42"/>
      <c r="JV184" s="42"/>
      <c r="JW184" s="42"/>
      <c r="JX184" s="42"/>
      <c r="JY184" s="42"/>
      <c r="JZ184" s="42"/>
      <c r="KA184" s="42"/>
    </row>
    <row r="185" spans="1:287" ht="63">
      <c r="A185" s="13" t="s">
        <v>500</v>
      </c>
      <c r="B185" s="13" t="s">
        <v>488</v>
      </c>
      <c r="C185" s="17"/>
      <c r="J185" s="19"/>
      <c r="Q185" s="18"/>
      <c r="R185" s="17"/>
      <c r="Y185" s="19"/>
      <c r="AF185" s="19"/>
      <c r="AG185" s="17"/>
      <c r="AV185" s="17"/>
      <c r="BK185" s="17"/>
      <c r="BZ185" s="17"/>
      <c r="CO185" s="17"/>
      <c r="DD185" s="17"/>
      <c r="DE185" s="17"/>
      <c r="DS185" s="17"/>
      <c r="DT185" s="17"/>
      <c r="EH185" s="17"/>
      <c r="EI185" s="17"/>
      <c r="EW185" s="17"/>
      <c r="EX185" s="17"/>
      <c r="FL185" s="17"/>
      <c r="FM185" s="17"/>
      <c r="GA185" s="17"/>
      <c r="GB185" s="17"/>
      <c r="GP185" s="17"/>
      <c r="GQ185" s="17"/>
      <c r="HE185" s="17"/>
      <c r="HF185" s="17"/>
      <c r="HT185" s="17"/>
      <c r="HU185" s="17"/>
      <c r="II185" s="42"/>
      <c r="IJ185" s="42"/>
      <c r="IK185" s="42"/>
      <c r="IL185" s="42"/>
      <c r="IM185" s="42"/>
      <c r="IN185" s="42"/>
      <c r="IO185" s="42"/>
      <c r="IP185" s="42"/>
      <c r="IQ185" s="42"/>
      <c r="IR185" s="42"/>
      <c r="IS185" s="42"/>
      <c r="IT185" s="42"/>
      <c r="IU185" s="42"/>
      <c r="IV185" s="42"/>
      <c r="IW185" s="42"/>
      <c r="IX185" s="42"/>
      <c r="IY185" s="42"/>
      <c r="IZ185" s="42"/>
      <c r="JA185" s="42"/>
      <c r="JB185" s="42"/>
      <c r="JC185" s="42"/>
      <c r="JD185" s="42"/>
      <c r="JE185" s="42"/>
      <c r="JF185" s="42"/>
      <c r="JG185" s="42"/>
      <c r="JH185" s="42"/>
      <c r="JI185" s="42"/>
      <c r="JJ185" s="42"/>
      <c r="JK185" s="42"/>
      <c r="JL185" s="42"/>
      <c r="JM185" s="42"/>
      <c r="JN185" s="42"/>
      <c r="JO185" s="42"/>
      <c r="JP185" s="42"/>
      <c r="JQ185" s="42"/>
      <c r="JR185" s="42"/>
      <c r="JS185" s="42"/>
      <c r="JT185" s="42"/>
      <c r="JU185" s="42"/>
      <c r="JV185" s="42"/>
      <c r="JW185" s="42"/>
      <c r="JX185" s="42"/>
      <c r="JY185" s="42"/>
      <c r="JZ185" s="42"/>
      <c r="KA185" s="42"/>
    </row>
    <row r="186" spans="1:287" ht="64.5">
      <c r="A186" s="24" t="s">
        <v>504</v>
      </c>
      <c r="B186" s="24" t="s">
        <v>505</v>
      </c>
      <c r="C186" s="15">
        <v>27.088147500000002</v>
      </c>
      <c r="D186" s="15">
        <v>-80.4083294</v>
      </c>
      <c r="J186" s="19"/>
      <c r="Q186" s="18" t="s">
        <v>1382</v>
      </c>
      <c r="R186" s="15">
        <v>27.086233499999999</v>
      </c>
      <c r="S186" s="15">
        <v>-80.385693200000006</v>
      </c>
      <c r="Y186" s="19"/>
      <c r="AF186" s="18" t="s">
        <v>1383</v>
      </c>
      <c r="AG186" s="15">
        <v>27.0566046</v>
      </c>
      <c r="AH186" s="15">
        <v>-80.414145399999995</v>
      </c>
      <c r="AU186" s="15" t="s">
        <v>1384</v>
      </c>
      <c r="AV186" s="17"/>
      <c r="BK186" s="17"/>
      <c r="BZ186" s="17"/>
      <c r="CO186" s="17"/>
      <c r="DD186" s="17"/>
      <c r="DE186" s="17"/>
      <c r="DS186" s="17"/>
      <c r="DT186" s="17"/>
      <c r="EH186" s="17"/>
      <c r="EI186" s="17"/>
      <c r="EW186" s="17"/>
      <c r="EX186" s="17"/>
      <c r="FL186" s="17"/>
      <c r="FM186" s="17"/>
      <c r="GA186" s="17"/>
      <c r="GB186" s="17"/>
      <c r="GP186" s="17"/>
      <c r="GQ186" s="17"/>
      <c r="HE186" s="17"/>
      <c r="HF186" s="17"/>
      <c r="HT186" s="17"/>
      <c r="HU186" s="17"/>
      <c r="II186" s="42"/>
      <c r="IJ186" s="42"/>
      <c r="IK186" s="42"/>
      <c r="IL186" s="42"/>
      <c r="IM186" s="42"/>
      <c r="IN186" s="42"/>
      <c r="IO186" s="42"/>
      <c r="IP186" s="42"/>
      <c r="IQ186" s="42"/>
      <c r="IR186" s="42"/>
      <c r="IS186" s="42"/>
      <c r="IT186" s="42"/>
      <c r="IU186" s="42"/>
      <c r="IV186" s="42"/>
      <c r="IW186" s="42"/>
      <c r="IX186" s="42"/>
      <c r="IY186" s="42"/>
      <c r="IZ186" s="42"/>
      <c r="JA186" s="42"/>
      <c r="JB186" s="42"/>
      <c r="JC186" s="42"/>
      <c r="JD186" s="42"/>
      <c r="JE186" s="42"/>
      <c r="JF186" s="42"/>
      <c r="JG186" s="42"/>
      <c r="JH186" s="42"/>
      <c r="JI186" s="42"/>
      <c r="JJ186" s="42"/>
      <c r="JK186" s="42"/>
      <c r="JL186" s="42"/>
      <c r="JM186" s="42"/>
      <c r="JN186" s="42"/>
      <c r="JO186" s="42"/>
      <c r="JP186" s="42"/>
      <c r="JQ186" s="42"/>
      <c r="JR186" s="42"/>
      <c r="JS186" s="42"/>
      <c r="JT186" s="42"/>
      <c r="JU186" s="42"/>
      <c r="JV186" s="42"/>
      <c r="JW186" s="42"/>
      <c r="JX186" s="42"/>
      <c r="JY186" s="42"/>
      <c r="JZ186" s="42"/>
      <c r="KA186" s="42"/>
    </row>
    <row r="187" spans="1:287" ht="31.5">
      <c r="A187" s="35" t="s">
        <v>506</v>
      </c>
      <c r="B187" s="35" t="s">
        <v>507</v>
      </c>
      <c r="J187" s="19"/>
      <c r="Q187" s="18"/>
      <c r="Y187" s="19"/>
      <c r="AF187" s="18"/>
      <c r="II187" s="42"/>
      <c r="IJ187" s="42"/>
      <c r="IK187" s="42"/>
      <c r="IL187" s="42"/>
      <c r="IM187" s="42"/>
      <c r="IN187" s="42"/>
      <c r="IO187" s="42"/>
      <c r="IP187" s="42"/>
      <c r="IQ187" s="42"/>
      <c r="IR187" s="42"/>
      <c r="IS187" s="42"/>
      <c r="IT187" s="42"/>
      <c r="IU187" s="42"/>
      <c r="IV187" s="42"/>
      <c r="IW187" s="42"/>
      <c r="IX187" s="42"/>
      <c r="IY187" s="42"/>
      <c r="IZ187" s="42"/>
      <c r="JA187" s="42"/>
      <c r="JB187" s="42"/>
      <c r="JC187" s="42"/>
      <c r="JD187" s="42"/>
      <c r="JE187" s="42"/>
      <c r="JF187" s="42"/>
      <c r="JG187" s="42"/>
      <c r="JH187" s="42"/>
      <c r="JI187" s="42"/>
      <c r="JJ187" s="42"/>
      <c r="JK187" s="42"/>
      <c r="JL187" s="42"/>
      <c r="JM187" s="42"/>
      <c r="JN187" s="42"/>
      <c r="JO187" s="42"/>
      <c r="JP187" s="42"/>
      <c r="JQ187" s="42"/>
      <c r="JR187" s="42"/>
      <c r="JS187" s="42"/>
      <c r="JT187" s="42"/>
      <c r="JU187" s="42"/>
      <c r="JV187" s="42"/>
      <c r="JW187" s="42"/>
      <c r="JX187" s="42"/>
      <c r="JY187" s="42"/>
      <c r="JZ187" s="42"/>
      <c r="KA187" s="42"/>
    </row>
    <row r="188" spans="1:287" ht="47.25">
      <c r="A188" s="109" t="s">
        <v>1385</v>
      </c>
      <c r="B188" s="31" t="s">
        <v>507</v>
      </c>
      <c r="C188" s="15" t="s">
        <v>1386</v>
      </c>
      <c r="D188" s="15" t="s">
        <v>1387</v>
      </c>
      <c r="I188" s="15">
        <v>1</v>
      </c>
      <c r="J188" s="18" t="s">
        <v>1388</v>
      </c>
      <c r="Q188" s="18"/>
      <c r="Y188" s="18"/>
      <c r="AF188" s="18"/>
      <c r="II188" s="42"/>
      <c r="IJ188" s="42"/>
      <c r="IK188" s="42"/>
      <c r="IL188" s="42"/>
      <c r="IM188" s="42"/>
      <c r="IN188" s="42"/>
      <c r="IO188" s="42"/>
      <c r="IP188" s="42"/>
      <c r="IQ188" s="42"/>
      <c r="IR188" s="42"/>
      <c r="IS188" s="42"/>
      <c r="IT188" s="42"/>
      <c r="IU188" s="42"/>
      <c r="IV188" s="42"/>
      <c r="IW188" s="42"/>
      <c r="IX188" s="42"/>
      <c r="IY188" s="42"/>
      <c r="IZ188" s="42"/>
      <c r="JA188" s="42"/>
      <c r="JB188" s="42"/>
      <c r="JC188" s="42"/>
      <c r="JD188" s="42"/>
      <c r="JE188" s="42"/>
      <c r="JF188" s="42"/>
      <c r="JG188" s="42"/>
      <c r="JH188" s="42"/>
      <c r="JI188" s="42"/>
      <c r="JJ188" s="42"/>
      <c r="JK188" s="42"/>
      <c r="JL188" s="42"/>
      <c r="JM188" s="42"/>
      <c r="JN188" s="42"/>
      <c r="JO188" s="42"/>
      <c r="JP188" s="42"/>
      <c r="JQ188" s="42"/>
      <c r="JR188" s="42"/>
      <c r="JS188" s="42"/>
      <c r="JT188" s="42"/>
      <c r="JU188" s="42"/>
      <c r="JV188" s="42"/>
      <c r="JW188" s="42"/>
      <c r="JX188" s="42"/>
      <c r="JY188" s="42"/>
      <c r="JZ188" s="42"/>
      <c r="KA188" s="42"/>
    </row>
    <row r="189" spans="1:287" ht="243">
      <c r="A189" s="13" t="s">
        <v>514</v>
      </c>
      <c r="B189" s="13" t="s">
        <v>507</v>
      </c>
      <c r="C189" s="15">
        <v>25.7009306</v>
      </c>
      <c r="D189" s="15">
        <v>-80.154684599999996</v>
      </c>
      <c r="I189" s="15">
        <v>12</v>
      </c>
      <c r="J189" s="18" t="s">
        <v>1389</v>
      </c>
      <c r="Q189" s="19"/>
      <c r="R189" s="17"/>
      <c r="Y189" s="19"/>
      <c r="AF189" s="19"/>
      <c r="AG189" s="17"/>
      <c r="AV189" s="17"/>
      <c r="BK189" s="17"/>
      <c r="BZ189" s="17"/>
      <c r="CO189" s="17"/>
      <c r="DD189" s="17"/>
      <c r="DE189" s="17"/>
      <c r="DS189" s="17"/>
      <c r="DT189" s="17"/>
      <c r="EH189" s="17"/>
      <c r="EI189" s="17"/>
      <c r="EW189" s="17"/>
      <c r="EX189" s="17"/>
      <c r="FL189" s="17"/>
      <c r="FM189" s="17"/>
      <c r="GA189" s="17"/>
      <c r="GB189" s="17"/>
      <c r="GP189" s="17"/>
      <c r="GQ189" s="17"/>
      <c r="HE189" s="17"/>
      <c r="HF189" s="17"/>
      <c r="HT189" s="17"/>
      <c r="HU189" s="17"/>
      <c r="II189" s="42"/>
      <c r="IJ189" s="42"/>
      <c r="IK189" s="42"/>
      <c r="IL189" s="42"/>
      <c r="IM189" s="42"/>
      <c r="IN189" s="42"/>
      <c r="IO189" s="42"/>
      <c r="IP189" s="42"/>
      <c r="IQ189" s="42"/>
      <c r="IR189" s="42"/>
      <c r="IS189" s="42"/>
      <c r="IT189" s="42"/>
      <c r="IU189" s="42"/>
      <c r="IV189" s="42"/>
      <c r="IW189" s="42"/>
      <c r="IX189" s="42"/>
      <c r="IY189" s="42"/>
      <c r="IZ189" s="42"/>
      <c r="JA189" s="42"/>
      <c r="JB189" s="42"/>
      <c r="JC189" s="42"/>
      <c r="JD189" s="42"/>
      <c r="JE189" s="42"/>
      <c r="JF189" s="42"/>
      <c r="JG189" s="42"/>
      <c r="JH189" s="42"/>
      <c r="JI189" s="42"/>
      <c r="JJ189" s="42"/>
      <c r="JK189" s="42"/>
      <c r="JL189" s="42"/>
      <c r="JM189" s="42"/>
      <c r="JN189" s="42"/>
      <c r="JO189" s="42"/>
      <c r="JP189" s="42"/>
      <c r="JQ189" s="42"/>
      <c r="JR189" s="42"/>
      <c r="JS189" s="42"/>
      <c r="JT189" s="42"/>
      <c r="JU189" s="42"/>
      <c r="JV189" s="42"/>
      <c r="JW189" s="42"/>
      <c r="JX189" s="42"/>
      <c r="JY189" s="42"/>
      <c r="JZ189" s="42"/>
      <c r="KA189" s="42"/>
    </row>
    <row r="190" spans="1:287">
      <c r="A190" s="13" t="s">
        <v>517</v>
      </c>
      <c r="B190" s="13" t="s">
        <v>507</v>
      </c>
      <c r="C190" s="17"/>
      <c r="J190" s="19"/>
      <c r="Q190" s="19"/>
      <c r="R190" s="17"/>
      <c r="Y190" s="19"/>
      <c r="AF190" s="19"/>
      <c r="AG190" s="17"/>
      <c r="AV190" s="17"/>
      <c r="BK190" s="17"/>
      <c r="BZ190" s="17"/>
      <c r="CO190" s="17"/>
      <c r="DD190" s="17"/>
      <c r="DE190" s="17"/>
      <c r="DS190" s="17"/>
      <c r="DT190" s="17"/>
      <c r="EH190" s="17"/>
      <c r="EI190" s="17"/>
      <c r="EW190" s="17"/>
      <c r="EX190" s="17"/>
      <c r="FL190" s="17"/>
      <c r="FM190" s="17"/>
      <c r="GA190" s="17"/>
      <c r="GB190" s="17"/>
      <c r="GP190" s="17"/>
      <c r="GQ190" s="17"/>
      <c r="HE190" s="17"/>
      <c r="HF190" s="17"/>
      <c r="HT190" s="17"/>
      <c r="HU190" s="17"/>
      <c r="II190" s="42"/>
      <c r="IJ190" s="42"/>
      <c r="IK190" s="42"/>
      <c r="IL190" s="42"/>
      <c r="IM190" s="42"/>
      <c r="IN190" s="42"/>
      <c r="IO190" s="42"/>
      <c r="IP190" s="42"/>
      <c r="IQ190" s="42"/>
      <c r="IR190" s="42"/>
      <c r="IS190" s="42"/>
      <c r="IT190" s="42"/>
      <c r="IU190" s="42"/>
      <c r="IV190" s="42"/>
      <c r="IW190" s="42"/>
      <c r="IX190" s="42"/>
      <c r="IY190" s="42"/>
      <c r="IZ190" s="42"/>
      <c r="JA190" s="42"/>
      <c r="JB190" s="42"/>
      <c r="JC190" s="42"/>
      <c r="JD190" s="42"/>
      <c r="JE190" s="42"/>
      <c r="JF190" s="42"/>
      <c r="JG190" s="42"/>
      <c r="JH190" s="42"/>
      <c r="JI190" s="42"/>
      <c r="JJ190" s="42"/>
      <c r="JK190" s="42"/>
      <c r="JL190" s="42"/>
      <c r="JM190" s="42"/>
      <c r="JN190" s="42"/>
      <c r="JO190" s="42"/>
      <c r="JP190" s="42"/>
      <c r="JQ190" s="42"/>
      <c r="JR190" s="42"/>
      <c r="JS190" s="42"/>
      <c r="JT190" s="42"/>
      <c r="JU190" s="42"/>
      <c r="JV190" s="42"/>
      <c r="JW190" s="42"/>
      <c r="JX190" s="42"/>
      <c r="JY190" s="42"/>
      <c r="JZ190" s="42"/>
      <c r="KA190" s="42"/>
    </row>
    <row r="191" spans="1:287">
      <c r="A191" s="13" t="s">
        <v>518</v>
      </c>
      <c r="B191" s="13" t="s">
        <v>507</v>
      </c>
      <c r="C191" s="17"/>
      <c r="J191" s="19"/>
      <c r="Q191" s="19"/>
      <c r="R191" s="17"/>
      <c r="Y191" s="19"/>
      <c r="AF191" s="19"/>
      <c r="AG191" s="17"/>
      <c r="AV191" s="17"/>
      <c r="BK191" s="17"/>
      <c r="BZ191" s="17"/>
      <c r="CO191" s="17"/>
      <c r="DD191" s="17"/>
      <c r="DE191" s="17"/>
      <c r="DS191" s="17"/>
      <c r="DT191" s="17"/>
      <c r="EH191" s="17"/>
      <c r="EI191" s="17"/>
      <c r="EW191" s="17"/>
      <c r="EX191" s="17"/>
      <c r="FL191" s="17"/>
      <c r="FM191" s="17"/>
      <c r="GA191" s="17"/>
      <c r="GB191" s="17"/>
      <c r="GP191" s="17"/>
      <c r="GQ191" s="17"/>
      <c r="HE191" s="17"/>
      <c r="HF191" s="17"/>
      <c r="HT191" s="17"/>
      <c r="HU191" s="17"/>
      <c r="II191" s="42"/>
      <c r="IJ191" s="42"/>
      <c r="IK191" s="42"/>
      <c r="IL191" s="42"/>
      <c r="IM191" s="42"/>
      <c r="IN191" s="42"/>
      <c r="IO191" s="42"/>
      <c r="IP191" s="42"/>
      <c r="IQ191" s="42"/>
      <c r="IR191" s="42"/>
      <c r="IS191" s="42"/>
      <c r="IT191" s="42"/>
      <c r="IU191" s="42"/>
      <c r="IV191" s="42"/>
      <c r="IW191" s="42"/>
      <c r="IX191" s="42"/>
      <c r="IY191" s="42"/>
      <c r="IZ191" s="42"/>
      <c r="JA191" s="42"/>
      <c r="JB191" s="42"/>
      <c r="JC191" s="42"/>
      <c r="JD191" s="42"/>
      <c r="JE191" s="42"/>
      <c r="JF191" s="42"/>
      <c r="JG191" s="42"/>
      <c r="JH191" s="42"/>
      <c r="JI191" s="42"/>
      <c r="JJ191" s="42"/>
      <c r="JK191" s="42"/>
      <c r="JL191" s="42"/>
      <c r="JM191" s="42"/>
      <c r="JN191" s="42"/>
      <c r="JO191" s="42"/>
      <c r="JP191" s="42"/>
      <c r="JQ191" s="42"/>
      <c r="JR191" s="42"/>
      <c r="JS191" s="42"/>
      <c r="JT191" s="42"/>
      <c r="JU191" s="42"/>
      <c r="JV191" s="42"/>
      <c r="JW191" s="42"/>
      <c r="JX191" s="42"/>
      <c r="JY191" s="42"/>
      <c r="JZ191" s="42"/>
      <c r="KA191" s="42"/>
    </row>
    <row r="192" spans="1:287">
      <c r="A192" s="13" t="s">
        <v>521</v>
      </c>
      <c r="B192" s="13" t="s">
        <v>507</v>
      </c>
      <c r="C192" s="17"/>
      <c r="J192" s="19"/>
      <c r="Q192" s="19"/>
      <c r="R192" s="17"/>
      <c r="Y192" s="19"/>
      <c r="AF192" s="19"/>
      <c r="AG192" s="17"/>
      <c r="AV192" s="17"/>
      <c r="BK192" s="17"/>
      <c r="BZ192" s="17"/>
      <c r="CO192" s="17"/>
      <c r="DD192" s="17"/>
      <c r="DE192" s="17"/>
      <c r="DS192" s="17"/>
      <c r="DT192" s="17"/>
      <c r="EH192" s="17"/>
      <c r="EI192" s="17"/>
      <c r="EW192" s="17"/>
      <c r="EX192" s="17"/>
      <c r="FL192" s="17"/>
      <c r="FM192" s="17"/>
      <c r="GA192" s="17"/>
      <c r="GB192" s="17"/>
      <c r="GP192" s="17"/>
      <c r="GQ192" s="17"/>
      <c r="HE192" s="17"/>
      <c r="HF192" s="17"/>
      <c r="HT192" s="17"/>
      <c r="HU192" s="17"/>
      <c r="II192" s="42"/>
      <c r="IJ192" s="42"/>
      <c r="IK192" s="42"/>
      <c r="IL192" s="42"/>
      <c r="IM192" s="42"/>
      <c r="IN192" s="42"/>
      <c r="IO192" s="42"/>
      <c r="IP192" s="42"/>
      <c r="IQ192" s="42"/>
      <c r="IR192" s="42"/>
      <c r="IS192" s="42"/>
      <c r="IT192" s="42"/>
      <c r="IU192" s="42"/>
      <c r="IV192" s="42"/>
      <c r="IW192" s="42"/>
      <c r="IX192" s="42"/>
      <c r="IY192" s="42"/>
      <c r="IZ192" s="42"/>
      <c r="JA192" s="42"/>
      <c r="JB192" s="42"/>
      <c r="JC192" s="42"/>
      <c r="JD192" s="42"/>
      <c r="JE192" s="42"/>
      <c r="JF192" s="42"/>
      <c r="JG192" s="42"/>
      <c r="JH192" s="42"/>
      <c r="JI192" s="42"/>
      <c r="JJ192" s="42"/>
      <c r="JK192" s="42"/>
      <c r="JL192" s="42"/>
      <c r="JM192" s="42"/>
      <c r="JN192" s="42"/>
      <c r="JO192" s="42"/>
      <c r="JP192" s="42"/>
      <c r="JQ192" s="42"/>
      <c r="JR192" s="42"/>
      <c r="JS192" s="42"/>
      <c r="JT192" s="42"/>
      <c r="JU192" s="42"/>
      <c r="JV192" s="42"/>
      <c r="JW192" s="42"/>
      <c r="JX192" s="42"/>
      <c r="JY192" s="42"/>
      <c r="JZ192" s="42"/>
      <c r="KA192" s="42"/>
    </row>
    <row r="193" spans="1:287" ht="77.25">
      <c r="A193" s="13" t="s">
        <v>523</v>
      </c>
      <c r="B193" s="13" t="s">
        <v>507</v>
      </c>
      <c r="C193" s="15">
        <v>25.756018999999998</v>
      </c>
      <c r="D193" s="15">
        <v>-80.142090999999994</v>
      </c>
      <c r="J193" s="19"/>
      <c r="Q193" s="18" t="s">
        <v>1390</v>
      </c>
      <c r="R193" s="15">
        <v>25.761614999999999</v>
      </c>
      <c r="S193" s="15">
        <v>-80.133298999999994</v>
      </c>
      <c r="Y193" s="19"/>
      <c r="AF193" s="18" t="s">
        <v>1391</v>
      </c>
      <c r="AG193" s="15">
        <v>25.769948800000002</v>
      </c>
      <c r="AH193" s="15">
        <v>-80.140720999999999</v>
      </c>
      <c r="AK193" s="15">
        <v>272</v>
      </c>
      <c r="AL193" s="18" t="s">
        <v>1392</v>
      </c>
      <c r="AU193" s="18" t="s">
        <v>1393</v>
      </c>
      <c r="AV193" s="17"/>
      <c r="BK193" s="17"/>
      <c r="BZ193" s="17"/>
      <c r="CO193" s="17"/>
      <c r="DD193" s="17"/>
      <c r="DE193" s="17"/>
      <c r="DS193" s="17"/>
      <c r="DT193" s="17"/>
      <c r="EH193" s="17"/>
      <c r="EI193" s="17"/>
      <c r="EW193" s="17"/>
      <c r="EX193" s="17"/>
      <c r="FL193" s="17"/>
      <c r="FM193" s="17"/>
      <c r="GA193" s="17"/>
      <c r="GB193" s="17"/>
      <c r="GP193" s="17"/>
      <c r="GQ193" s="17"/>
      <c r="HE193" s="17"/>
      <c r="HF193" s="17"/>
      <c r="HT193" s="17"/>
      <c r="HU193" s="17"/>
      <c r="II193" s="42"/>
      <c r="IJ193" s="42"/>
      <c r="IK193" s="42"/>
      <c r="IL193" s="42"/>
      <c r="IM193" s="42"/>
      <c r="IN193" s="42"/>
      <c r="IO193" s="42"/>
      <c r="IP193" s="42"/>
      <c r="IQ193" s="42"/>
      <c r="IR193" s="42"/>
      <c r="IS193" s="42"/>
      <c r="IT193" s="42"/>
      <c r="IU193" s="42"/>
      <c r="IV193" s="42"/>
      <c r="IW193" s="42"/>
      <c r="IX193" s="42"/>
      <c r="IY193" s="42"/>
      <c r="IZ193" s="42"/>
      <c r="JA193" s="42"/>
      <c r="JB193" s="42"/>
      <c r="JC193" s="42"/>
      <c r="JD193" s="42"/>
      <c r="JE193" s="42"/>
      <c r="JF193" s="42"/>
      <c r="JG193" s="42"/>
      <c r="JH193" s="42"/>
      <c r="JI193" s="42"/>
      <c r="JJ193" s="42"/>
      <c r="JK193" s="42"/>
      <c r="JL193" s="42"/>
      <c r="JM193" s="42"/>
      <c r="JN193" s="42"/>
      <c r="JO193" s="42"/>
      <c r="JP193" s="42"/>
      <c r="JQ193" s="42"/>
      <c r="JR193" s="42"/>
      <c r="JS193" s="42"/>
      <c r="JT193" s="42"/>
      <c r="JU193" s="42"/>
      <c r="JV193" s="42"/>
      <c r="JW193" s="42"/>
      <c r="JX193" s="42"/>
      <c r="JY193" s="42"/>
      <c r="JZ193" s="42"/>
      <c r="KA193" s="42"/>
    </row>
    <row r="194" spans="1:287" ht="51.75">
      <c r="A194" s="13" t="s">
        <v>527</v>
      </c>
      <c r="B194" s="13" t="s">
        <v>528</v>
      </c>
      <c r="C194" s="15">
        <v>24.660543000000001</v>
      </c>
      <c r="D194" s="15">
        <v>-81.267805999999993</v>
      </c>
      <c r="J194" s="18"/>
      <c r="L194" s="18"/>
      <c r="N194" s="18"/>
      <c r="P194" s="18"/>
      <c r="Q194" s="18" t="s">
        <v>1394</v>
      </c>
      <c r="R194" s="17"/>
      <c r="Y194" s="18"/>
      <c r="AA194" s="18"/>
      <c r="AC194" s="18"/>
      <c r="AE194" s="18"/>
      <c r="AF194" s="18"/>
      <c r="AG194" s="17"/>
      <c r="AJ194" s="18"/>
      <c r="AN194" s="18"/>
      <c r="AP194" s="18"/>
      <c r="AR194" s="18"/>
      <c r="AT194" s="18"/>
      <c r="AU194" s="18"/>
      <c r="AV194" s="17"/>
      <c r="AY194" s="18"/>
      <c r="BC194" s="18"/>
      <c r="BE194" s="18"/>
      <c r="BG194" s="18"/>
      <c r="BI194" s="18"/>
      <c r="BJ194" s="18"/>
      <c r="BK194" s="17"/>
      <c r="BN194" s="18"/>
      <c r="BP194" s="18"/>
      <c r="BR194" s="18"/>
      <c r="BT194" s="18"/>
      <c r="BV194" s="18"/>
      <c r="BX194" s="18"/>
      <c r="BY194" s="18"/>
      <c r="BZ194" s="17"/>
      <c r="CC194" s="18"/>
      <c r="CE194" s="18"/>
      <c r="CG194" s="18"/>
      <c r="CI194" s="18"/>
      <c r="CK194" s="18"/>
      <c r="CM194" s="18"/>
      <c r="CN194" s="18"/>
      <c r="CO194" s="17"/>
      <c r="CR194" s="18"/>
      <c r="CT194" s="18"/>
      <c r="CV194" s="18"/>
      <c r="CX194" s="18"/>
      <c r="CZ194" s="18"/>
      <c r="DB194" s="18"/>
      <c r="DC194" s="18"/>
      <c r="DD194" s="17"/>
      <c r="DE194" s="17"/>
      <c r="DS194" s="17"/>
      <c r="DT194" s="17"/>
      <c r="EH194" s="17"/>
      <c r="EI194" s="17"/>
      <c r="EW194" s="17"/>
      <c r="EX194" s="17"/>
      <c r="FL194" s="17"/>
      <c r="FM194" s="17"/>
      <c r="GA194" s="17"/>
      <c r="GB194" s="17"/>
      <c r="GP194" s="17"/>
      <c r="GQ194" s="17"/>
      <c r="HE194" s="17"/>
      <c r="HF194" s="17"/>
      <c r="HT194" s="17"/>
      <c r="HU194" s="17"/>
      <c r="II194" s="42"/>
      <c r="IJ194" s="42"/>
      <c r="IK194" s="42"/>
      <c r="IL194" s="42"/>
      <c r="IM194" s="42"/>
      <c r="IN194" s="42"/>
      <c r="IO194" s="42"/>
      <c r="IP194" s="42"/>
      <c r="IQ194" s="42"/>
      <c r="IR194" s="42"/>
      <c r="IS194" s="42"/>
      <c r="IT194" s="42"/>
      <c r="IU194" s="42"/>
      <c r="IV194" s="42"/>
      <c r="IW194" s="42"/>
      <c r="IX194" s="42"/>
      <c r="IY194" s="42"/>
      <c r="IZ194" s="42"/>
      <c r="JA194" s="42"/>
      <c r="JB194" s="42"/>
      <c r="JC194" s="42"/>
      <c r="JD194" s="42"/>
      <c r="JE194" s="42"/>
      <c r="JF194" s="42"/>
      <c r="JG194" s="42"/>
      <c r="JH194" s="42"/>
      <c r="JI194" s="42"/>
      <c r="JJ194" s="42"/>
      <c r="JK194" s="42"/>
      <c r="JL194" s="42"/>
      <c r="JM194" s="42"/>
      <c r="JN194" s="42"/>
      <c r="JO194" s="42"/>
      <c r="JP194" s="42"/>
      <c r="JQ194" s="42"/>
      <c r="JR194" s="42"/>
      <c r="JS194" s="42"/>
      <c r="JT194" s="42"/>
      <c r="JU194" s="42"/>
      <c r="JV194" s="42"/>
      <c r="JW194" s="42"/>
      <c r="JX194" s="42"/>
      <c r="JY194" s="42"/>
      <c r="JZ194" s="42"/>
      <c r="KA194" s="42"/>
    </row>
    <row r="195" spans="1:287">
      <c r="A195" s="24" t="s">
        <v>531</v>
      </c>
      <c r="B195" s="24" t="s">
        <v>528</v>
      </c>
      <c r="C195" s="17"/>
      <c r="J195" s="19"/>
      <c r="Q195" s="19"/>
      <c r="R195" s="17"/>
      <c r="Y195" s="19"/>
      <c r="AF195" s="19"/>
      <c r="AG195" s="17"/>
      <c r="AV195" s="17"/>
      <c r="BK195" s="17"/>
      <c r="BZ195" s="17"/>
      <c r="CO195" s="17"/>
      <c r="DD195" s="17"/>
      <c r="DE195" s="17"/>
      <c r="DS195" s="17"/>
      <c r="DT195" s="17"/>
      <c r="EH195" s="17"/>
      <c r="EI195" s="17"/>
      <c r="EW195" s="17"/>
      <c r="EX195" s="17"/>
      <c r="FL195" s="17"/>
      <c r="FM195" s="17"/>
      <c r="GA195" s="17"/>
      <c r="GB195" s="17"/>
      <c r="GP195" s="17"/>
      <c r="GQ195" s="17"/>
      <c r="HE195" s="17"/>
      <c r="HF195" s="17"/>
      <c r="HT195" s="17"/>
      <c r="HU195" s="17"/>
      <c r="II195" s="42"/>
      <c r="IJ195" s="42"/>
      <c r="IK195" s="42"/>
      <c r="IL195" s="42"/>
      <c r="IM195" s="42"/>
      <c r="IN195" s="42"/>
      <c r="IO195" s="42"/>
      <c r="IP195" s="42"/>
      <c r="IQ195" s="42"/>
      <c r="IR195" s="42"/>
      <c r="IS195" s="42"/>
      <c r="IT195" s="42"/>
      <c r="IU195" s="42"/>
      <c r="IV195" s="42"/>
      <c r="IW195" s="42"/>
      <c r="IX195" s="42"/>
      <c r="IY195" s="42"/>
      <c r="IZ195" s="42"/>
      <c r="JA195" s="42"/>
      <c r="JB195" s="42"/>
      <c r="JC195" s="42"/>
      <c r="JD195" s="42"/>
      <c r="JE195" s="42"/>
      <c r="JF195" s="42"/>
      <c r="JG195" s="42"/>
      <c r="JH195" s="42"/>
      <c r="JI195" s="42"/>
      <c r="JJ195" s="42"/>
      <c r="JK195" s="42"/>
      <c r="JL195" s="42"/>
      <c r="JM195" s="42"/>
      <c r="JN195" s="42"/>
      <c r="JO195" s="42"/>
      <c r="JP195" s="42"/>
      <c r="JQ195" s="42"/>
      <c r="JR195" s="42"/>
      <c r="JS195" s="42"/>
      <c r="JT195" s="42"/>
      <c r="JU195" s="42"/>
      <c r="JV195" s="42"/>
      <c r="JW195" s="42"/>
      <c r="JX195" s="42"/>
      <c r="JY195" s="42"/>
      <c r="JZ195" s="42"/>
      <c r="KA195" s="42"/>
    </row>
    <row r="196" spans="1:287">
      <c r="A196" s="24" t="s">
        <v>535</v>
      </c>
      <c r="B196" s="24" t="s">
        <v>528</v>
      </c>
      <c r="C196" s="17"/>
      <c r="J196" s="19"/>
      <c r="Q196" s="19"/>
      <c r="R196" s="17"/>
      <c r="Y196" s="19"/>
      <c r="AF196" s="19"/>
      <c r="AG196" s="17"/>
      <c r="AV196" s="17"/>
      <c r="BK196" s="17"/>
      <c r="BZ196" s="17"/>
      <c r="CO196" s="17"/>
      <c r="DD196" s="17"/>
      <c r="DE196" s="17"/>
      <c r="DS196" s="17"/>
      <c r="DT196" s="17"/>
      <c r="EH196" s="17"/>
      <c r="EI196" s="17"/>
      <c r="EW196" s="17"/>
      <c r="EX196" s="17"/>
      <c r="FL196" s="17"/>
      <c r="FM196" s="17"/>
      <c r="GA196" s="17"/>
      <c r="GB196" s="17"/>
      <c r="GP196" s="17"/>
      <c r="GQ196" s="17"/>
      <c r="HE196" s="17"/>
      <c r="HF196" s="17"/>
      <c r="HT196" s="17"/>
      <c r="HU196" s="17"/>
      <c r="II196" s="42"/>
      <c r="IJ196" s="42"/>
      <c r="IK196" s="42"/>
      <c r="IL196" s="42"/>
      <c r="IM196" s="42"/>
      <c r="IN196" s="42"/>
      <c r="IO196" s="42"/>
      <c r="IP196" s="42"/>
      <c r="IQ196" s="42"/>
      <c r="IR196" s="42"/>
      <c r="IS196" s="42"/>
      <c r="IT196" s="42"/>
      <c r="IU196" s="42"/>
      <c r="IV196" s="42"/>
      <c r="IW196" s="42"/>
      <c r="IX196" s="42"/>
      <c r="IY196" s="42"/>
      <c r="IZ196" s="42"/>
      <c r="JA196" s="42"/>
      <c r="JB196" s="42"/>
      <c r="JC196" s="42"/>
      <c r="JD196" s="42"/>
      <c r="JE196" s="42"/>
      <c r="JF196" s="42"/>
      <c r="JG196" s="42"/>
      <c r="JH196" s="42"/>
      <c r="JI196" s="42"/>
      <c r="JJ196" s="42"/>
      <c r="JK196" s="42"/>
      <c r="JL196" s="42"/>
      <c r="JM196" s="42"/>
      <c r="JN196" s="42"/>
      <c r="JO196" s="42"/>
      <c r="JP196" s="42"/>
      <c r="JQ196" s="42"/>
      <c r="JR196" s="42"/>
      <c r="JS196" s="42"/>
      <c r="JT196" s="42"/>
      <c r="JU196" s="42"/>
      <c r="JV196" s="42"/>
      <c r="JW196" s="42"/>
      <c r="JX196" s="42"/>
      <c r="JY196" s="42"/>
      <c r="JZ196" s="42"/>
      <c r="KA196" s="42"/>
    </row>
    <row r="197" spans="1:287">
      <c r="A197" s="35" t="s">
        <v>538</v>
      </c>
      <c r="B197" s="35" t="s">
        <v>528</v>
      </c>
      <c r="C197" s="15">
        <v>24.740324999999999</v>
      </c>
      <c r="D197" s="15">
        <v>-80.981263999999996</v>
      </c>
      <c r="I197" s="15">
        <v>1</v>
      </c>
      <c r="J197" s="18"/>
      <c r="Q197" s="18"/>
      <c r="Y197" s="18"/>
      <c r="AF197" s="18"/>
      <c r="II197" s="42"/>
      <c r="IJ197" s="42"/>
      <c r="IK197" s="42"/>
      <c r="IL197" s="42"/>
      <c r="IM197" s="42"/>
      <c r="IN197" s="42"/>
      <c r="IO197" s="42"/>
      <c r="IP197" s="42"/>
      <c r="IQ197" s="42"/>
      <c r="IR197" s="42"/>
      <c r="IS197" s="42"/>
      <c r="IT197" s="42"/>
      <c r="IU197" s="42"/>
      <c r="IV197" s="42"/>
      <c r="IW197" s="42"/>
      <c r="IX197" s="42"/>
      <c r="IY197" s="42"/>
      <c r="IZ197" s="42"/>
      <c r="JA197" s="42"/>
      <c r="JB197" s="42"/>
      <c r="JC197" s="42"/>
      <c r="JD197" s="42"/>
      <c r="JE197" s="42"/>
      <c r="JF197" s="42"/>
      <c r="JG197" s="42"/>
      <c r="JH197" s="42"/>
      <c r="JI197" s="42"/>
      <c r="JJ197" s="42"/>
      <c r="JK197" s="42"/>
      <c r="JL197" s="42"/>
      <c r="JM197" s="42"/>
      <c r="JN197" s="42"/>
      <c r="JO197" s="42"/>
      <c r="JP197" s="42"/>
      <c r="JQ197" s="42"/>
      <c r="JR197" s="42"/>
      <c r="JS197" s="42"/>
      <c r="JT197" s="42"/>
      <c r="JU197" s="42"/>
      <c r="JV197" s="42"/>
      <c r="JW197" s="42"/>
      <c r="JX197" s="42"/>
      <c r="JY197" s="42"/>
      <c r="JZ197" s="42"/>
      <c r="KA197" s="42"/>
    </row>
    <row r="198" spans="1:287" ht="31.5">
      <c r="A198" s="13" t="s">
        <v>540</v>
      </c>
      <c r="B198" s="13" t="s">
        <v>528</v>
      </c>
      <c r="C198" s="17"/>
      <c r="J198" s="18"/>
      <c r="Q198" s="18"/>
      <c r="R198" s="17"/>
      <c r="Y198" s="18"/>
      <c r="AF198" s="18"/>
      <c r="AG198" s="17"/>
      <c r="AV198" s="17"/>
      <c r="BK198" s="17"/>
      <c r="BZ198" s="17"/>
      <c r="CO198" s="17"/>
      <c r="DD198" s="17"/>
      <c r="DE198" s="17"/>
      <c r="DS198" s="17"/>
      <c r="DT198" s="17"/>
      <c r="EH198" s="17"/>
      <c r="EI198" s="17"/>
      <c r="EW198" s="17"/>
      <c r="EX198" s="17"/>
      <c r="FL198" s="17"/>
      <c r="FM198" s="17"/>
      <c r="GA198" s="17"/>
      <c r="GB198" s="17"/>
      <c r="GP198" s="17"/>
      <c r="GQ198" s="17"/>
      <c r="HE198" s="17"/>
      <c r="HF198" s="17"/>
      <c r="HT198" s="17"/>
      <c r="HU198" s="17"/>
      <c r="II198" s="42"/>
      <c r="IJ198" s="42"/>
      <c r="IK198" s="42"/>
      <c r="IL198" s="42"/>
      <c r="IM198" s="42"/>
      <c r="IN198" s="42"/>
      <c r="IO198" s="42"/>
      <c r="IP198" s="42"/>
      <c r="IQ198" s="42"/>
      <c r="IR198" s="42"/>
      <c r="IS198" s="42"/>
      <c r="IT198" s="42"/>
      <c r="IU198" s="42"/>
      <c r="IV198" s="42"/>
      <c r="IW198" s="42"/>
      <c r="IX198" s="42"/>
      <c r="IY198" s="42"/>
      <c r="IZ198" s="42"/>
      <c r="JA198" s="42"/>
      <c r="JB198" s="42"/>
      <c r="JC198" s="42"/>
      <c r="JD198" s="42"/>
      <c r="JE198" s="42"/>
      <c r="JF198" s="42"/>
      <c r="JG198" s="42"/>
      <c r="JH198" s="42"/>
      <c r="JI198" s="42"/>
      <c r="JJ198" s="42"/>
      <c r="JK198" s="42"/>
      <c r="JL198" s="42"/>
      <c r="JM198" s="42"/>
      <c r="JN198" s="42"/>
      <c r="JO198" s="42"/>
      <c r="JP198" s="42"/>
      <c r="JQ198" s="42"/>
      <c r="JR198" s="42"/>
      <c r="JS198" s="42"/>
      <c r="JT198" s="42"/>
      <c r="JU198" s="42"/>
      <c r="JV198" s="42"/>
      <c r="JW198" s="42"/>
      <c r="JX198" s="42"/>
      <c r="JY198" s="42"/>
      <c r="JZ198" s="42"/>
      <c r="KA198" s="42"/>
    </row>
    <row r="199" spans="1:287" ht="31.5">
      <c r="A199" s="13" t="s">
        <v>541</v>
      </c>
      <c r="B199" s="13" t="s">
        <v>528</v>
      </c>
      <c r="C199" s="17"/>
      <c r="J199" s="19"/>
      <c r="Q199" s="19"/>
      <c r="R199" s="17"/>
      <c r="Y199" s="19"/>
      <c r="AF199" s="19"/>
      <c r="AG199" s="17"/>
      <c r="AV199" s="17"/>
      <c r="BK199" s="17"/>
      <c r="BZ199" s="17"/>
      <c r="CO199" s="17"/>
      <c r="DD199" s="17"/>
      <c r="DE199" s="17"/>
      <c r="DS199" s="17"/>
      <c r="DT199" s="17"/>
      <c r="EH199" s="17"/>
      <c r="EI199" s="17"/>
      <c r="EW199" s="17"/>
      <c r="EX199" s="17"/>
      <c r="FL199" s="17"/>
      <c r="FM199" s="17"/>
      <c r="GA199" s="17"/>
      <c r="GB199" s="17"/>
      <c r="GP199" s="17"/>
      <c r="GQ199" s="17"/>
      <c r="HE199" s="17"/>
      <c r="HF199" s="17"/>
      <c r="HT199" s="17"/>
      <c r="HU199" s="17"/>
      <c r="II199" s="42"/>
      <c r="IJ199" s="42"/>
      <c r="IK199" s="42"/>
      <c r="IL199" s="42"/>
      <c r="IM199" s="42"/>
      <c r="IN199" s="42"/>
      <c r="IO199" s="42"/>
      <c r="IP199" s="42"/>
      <c r="IQ199" s="42"/>
      <c r="IR199" s="42"/>
      <c r="IS199" s="42"/>
      <c r="IT199" s="42"/>
      <c r="IU199" s="42"/>
      <c r="IV199" s="42"/>
      <c r="IW199" s="42"/>
      <c r="IX199" s="42"/>
      <c r="IY199" s="42"/>
      <c r="IZ199" s="42"/>
      <c r="JA199" s="42"/>
      <c r="JB199" s="42"/>
      <c r="JC199" s="42"/>
      <c r="JD199" s="42"/>
      <c r="JE199" s="42"/>
      <c r="JF199" s="42"/>
      <c r="JG199" s="42"/>
      <c r="JH199" s="42"/>
      <c r="JI199" s="42"/>
      <c r="JJ199" s="42"/>
      <c r="JK199" s="42"/>
      <c r="JL199" s="42"/>
      <c r="JM199" s="42"/>
      <c r="JN199" s="42"/>
      <c r="JO199" s="42"/>
      <c r="JP199" s="42"/>
      <c r="JQ199" s="42"/>
      <c r="JR199" s="42"/>
      <c r="JS199" s="42"/>
      <c r="JT199" s="42"/>
      <c r="JU199" s="42"/>
      <c r="JV199" s="42"/>
      <c r="JW199" s="42"/>
      <c r="JX199" s="42"/>
      <c r="JY199" s="42"/>
      <c r="JZ199" s="42"/>
      <c r="KA199" s="42"/>
    </row>
    <row r="200" spans="1:287" ht="31.5">
      <c r="A200" s="13" t="s">
        <v>542</v>
      </c>
      <c r="B200" s="13" t="s">
        <v>528</v>
      </c>
      <c r="C200" s="17"/>
      <c r="J200" s="19"/>
      <c r="Q200" s="19"/>
      <c r="R200" s="17"/>
      <c r="Y200" s="19"/>
      <c r="AF200" s="19"/>
      <c r="AG200" s="17"/>
      <c r="AV200" s="17"/>
      <c r="BK200" s="17"/>
      <c r="BZ200" s="17"/>
      <c r="CO200" s="17"/>
      <c r="DD200" s="17"/>
      <c r="DE200" s="17"/>
      <c r="DS200" s="17"/>
      <c r="DT200" s="17"/>
      <c r="EH200" s="17"/>
      <c r="EI200" s="17"/>
      <c r="EW200" s="17"/>
      <c r="EX200" s="17"/>
      <c r="FL200" s="17"/>
      <c r="FM200" s="17"/>
      <c r="GA200" s="17"/>
      <c r="GB200" s="17"/>
      <c r="GP200" s="17"/>
      <c r="GQ200" s="17"/>
      <c r="HE200" s="17"/>
      <c r="HF200" s="17"/>
      <c r="HT200" s="17"/>
      <c r="HU200" s="17"/>
      <c r="II200" s="42"/>
      <c r="IJ200" s="42"/>
      <c r="IK200" s="42"/>
      <c r="IL200" s="42"/>
      <c r="IM200" s="42"/>
      <c r="IN200" s="42"/>
      <c r="IO200" s="42"/>
      <c r="IP200" s="42"/>
      <c r="IQ200" s="42"/>
      <c r="IR200" s="42"/>
      <c r="IS200" s="42"/>
      <c r="IT200" s="42"/>
      <c r="IU200" s="42"/>
      <c r="IV200" s="42"/>
      <c r="IW200" s="42"/>
      <c r="IX200" s="42"/>
      <c r="IY200" s="42"/>
      <c r="IZ200" s="42"/>
      <c r="JA200" s="42"/>
      <c r="JB200" s="42"/>
      <c r="JC200" s="42"/>
      <c r="JD200" s="42"/>
      <c r="JE200" s="42"/>
      <c r="JF200" s="42"/>
      <c r="JG200" s="42"/>
      <c r="JH200" s="42"/>
      <c r="JI200" s="42"/>
      <c r="JJ200" s="42"/>
      <c r="JK200" s="42"/>
      <c r="JL200" s="42"/>
      <c r="JM200" s="42"/>
      <c r="JN200" s="42"/>
      <c r="JO200" s="42"/>
      <c r="JP200" s="42"/>
      <c r="JQ200" s="42"/>
      <c r="JR200" s="42"/>
      <c r="JS200" s="42"/>
      <c r="JT200" s="42"/>
      <c r="JU200" s="42"/>
      <c r="JV200" s="42"/>
      <c r="JW200" s="42"/>
      <c r="JX200" s="42"/>
      <c r="JY200" s="42"/>
      <c r="JZ200" s="42"/>
      <c r="KA200" s="42"/>
    </row>
    <row r="201" spans="1:287" ht="31.5">
      <c r="A201" s="13" t="s">
        <v>543</v>
      </c>
      <c r="B201" s="13" t="s">
        <v>528</v>
      </c>
      <c r="C201" s="17"/>
      <c r="J201" s="19"/>
      <c r="Q201" s="18"/>
      <c r="R201" s="17"/>
      <c r="Y201" s="19"/>
      <c r="AF201" s="19"/>
      <c r="AG201" s="17"/>
      <c r="AV201" s="17"/>
      <c r="BK201" s="17"/>
      <c r="BZ201" s="17"/>
      <c r="CO201" s="17"/>
      <c r="DD201" s="17"/>
      <c r="DE201" s="17"/>
      <c r="DS201" s="17"/>
      <c r="DT201" s="17"/>
      <c r="EH201" s="17"/>
      <c r="EI201" s="17"/>
      <c r="EW201" s="17"/>
      <c r="EX201" s="17"/>
      <c r="FL201" s="17"/>
      <c r="FM201" s="17"/>
      <c r="GA201" s="17"/>
      <c r="GB201" s="17"/>
      <c r="GP201" s="17"/>
      <c r="GQ201" s="17"/>
      <c r="HE201" s="17"/>
      <c r="HF201" s="17"/>
      <c r="HT201" s="17"/>
      <c r="HU201" s="17"/>
      <c r="II201" s="42"/>
      <c r="IJ201" s="42"/>
      <c r="IK201" s="42"/>
      <c r="IL201" s="42"/>
      <c r="IM201" s="42"/>
      <c r="IN201" s="42"/>
      <c r="IO201" s="42"/>
      <c r="IP201" s="42"/>
      <c r="IQ201" s="42"/>
      <c r="IR201" s="42"/>
      <c r="IS201" s="42"/>
      <c r="IT201" s="42"/>
      <c r="IU201" s="42"/>
      <c r="IV201" s="42"/>
      <c r="IW201" s="42"/>
      <c r="IX201" s="42"/>
      <c r="IY201" s="42"/>
      <c r="IZ201" s="42"/>
      <c r="JA201" s="42"/>
      <c r="JB201" s="42"/>
      <c r="JC201" s="42"/>
      <c r="JD201" s="42"/>
      <c r="JE201" s="42"/>
      <c r="JF201" s="42"/>
      <c r="JG201" s="42"/>
      <c r="JH201" s="42"/>
      <c r="JI201" s="42"/>
      <c r="JJ201" s="42"/>
      <c r="JK201" s="42"/>
      <c r="JL201" s="42"/>
      <c r="JM201" s="42"/>
      <c r="JN201" s="42"/>
      <c r="JO201" s="42"/>
      <c r="JP201" s="42"/>
      <c r="JQ201" s="42"/>
      <c r="JR201" s="42"/>
      <c r="JS201" s="42"/>
      <c r="JT201" s="42"/>
      <c r="JU201" s="42"/>
      <c r="JV201" s="42"/>
      <c r="JW201" s="42"/>
      <c r="JX201" s="42"/>
      <c r="JY201" s="42"/>
      <c r="JZ201" s="42"/>
      <c r="KA201" s="42"/>
    </row>
    <row r="202" spans="1:287">
      <c r="A202" s="29" t="s">
        <v>544</v>
      </c>
      <c r="B202" s="13" t="s">
        <v>528</v>
      </c>
      <c r="C202" s="17"/>
      <c r="Q202" s="18"/>
      <c r="R202" s="17"/>
      <c r="AF202" s="18"/>
      <c r="AG202" s="17"/>
      <c r="AU202" s="18"/>
      <c r="AV202" s="17"/>
      <c r="BK202" s="17"/>
      <c r="BZ202" s="17"/>
      <c r="CO202" s="17"/>
      <c r="DD202" s="17"/>
      <c r="DE202" s="17"/>
      <c r="DS202" s="17"/>
      <c r="DT202" s="17"/>
      <c r="EH202" s="17"/>
      <c r="EI202" s="17"/>
      <c r="EW202" s="17"/>
      <c r="EX202" s="17"/>
      <c r="FL202" s="17"/>
      <c r="FM202" s="17"/>
      <c r="GA202" s="17"/>
      <c r="GB202" s="17"/>
      <c r="GP202" s="17"/>
      <c r="GQ202" s="17"/>
      <c r="HE202" s="17"/>
      <c r="HF202" s="17"/>
      <c r="HT202" s="17"/>
      <c r="HU202" s="17"/>
      <c r="II202" s="42"/>
      <c r="IJ202" s="42"/>
      <c r="IK202" s="42"/>
      <c r="IL202" s="42"/>
      <c r="IM202" s="42"/>
      <c r="IN202" s="42"/>
      <c r="IO202" s="42"/>
      <c r="IP202" s="42"/>
      <c r="IQ202" s="42"/>
      <c r="IR202" s="42"/>
      <c r="IS202" s="42"/>
      <c r="IT202" s="42"/>
      <c r="IU202" s="42"/>
      <c r="IV202" s="42"/>
      <c r="IW202" s="42"/>
      <c r="IX202" s="42"/>
      <c r="IY202" s="42"/>
      <c r="IZ202" s="42"/>
      <c r="JA202" s="42"/>
      <c r="JB202" s="42"/>
      <c r="JC202" s="42"/>
      <c r="JD202" s="42"/>
      <c r="JE202" s="42"/>
      <c r="JF202" s="42"/>
      <c r="JG202" s="42"/>
      <c r="JH202" s="42"/>
      <c r="JI202" s="42"/>
      <c r="JJ202" s="42"/>
      <c r="JK202" s="42"/>
      <c r="JL202" s="42"/>
      <c r="JM202" s="42"/>
      <c r="JN202" s="42"/>
      <c r="JO202" s="42"/>
      <c r="JP202" s="42"/>
      <c r="JQ202" s="42"/>
      <c r="JR202" s="42"/>
      <c r="JS202" s="42"/>
      <c r="JT202" s="42"/>
      <c r="JU202" s="42"/>
      <c r="JV202" s="42"/>
      <c r="JW202" s="42"/>
      <c r="JX202" s="42"/>
      <c r="JY202" s="42"/>
      <c r="JZ202" s="42"/>
      <c r="KA202" s="42"/>
    </row>
    <row r="203" spans="1:287" ht="31.5">
      <c r="A203" s="35" t="s">
        <v>545</v>
      </c>
      <c r="B203" s="35" t="s">
        <v>528</v>
      </c>
      <c r="D203" s="59"/>
      <c r="J203" s="18"/>
      <c r="Q203" s="18"/>
      <c r="Y203" s="18"/>
      <c r="AF203" s="18"/>
      <c r="AH203" s="59"/>
      <c r="II203" s="42"/>
      <c r="IJ203" s="42"/>
      <c r="IK203" s="42"/>
      <c r="IL203" s="42"/>
      <c r="IM203" s="42"/>
      <c r="IN203" s="42"/>
      <c r="IO203" s="42"/>
      <c r="IP203" s="42"/>
      <c r="IQ203" s="42"/>
      <c r="IR203" s="42"/>
      <c r="IS203" s="42"/>
      <c r="IT203" s="42"/>
      <c r="IU203" s="42"/>
      <c r="IV203" s="42"/>
      <c r="IW203" s="42"/>
      <c r="IX203" s="42"/>
      <c r="IY203" s="42"/>
      <c r="IZ203" s="42"/>
      <c r="JA203" s="42"/>
      <c r="JB203" s="42"/>
      <c r="JC203" s="42"/>
      <c r="JD203" s="42"/>
      <c r="JE203" s="42"/>
      <c r="JF203" s="42"/>
      <c r="JG203" s="42"/>
      <c r="JH203" s="42"/>
      <c r="JI203" s="42"/>
      <c r="JJ203" s="42"/>
      <c r="JK203" s="42"/>
      <c r="JL203" s="42"/>
      <c r="JM203" s="42"/>
      <c r="JN203" s="42"/>
      <c r="JO203" s="42"/>
      <c r="JP203" s="42"/>
      <c r="JQ203" s="42"/>
      <c r="JR203" s="42"/>
      <c r="JS203" s="42"/>
      <c r="JT203" s="42"/>
      <c r="JU203" s="42"/>
      <c r="JV203" s="42"/>
      <c r="JW203" s="42"/>
      <c r="JX203" s="42"/>
      <c r="JY203" s="42"/>
      <c r="JZ203" s="42"/>
      <c r="KA203" s="42"/>
    </row>
    <row r="204" spans="1:287">
      <c r="A204" s="13" t="s">
        <v>546</v>
      </c>
      <c r="B204" s="13" t="s">
        <v>528</v>
      </c>
      <c r="C204" s="15">
        <v>24.544768999999999</v>
      </c>
      <c r="D204" s="15">
        <v>-81.810490000000001</v>
      </c>
      <c r="J204" s="19"/>
      <c r="Q204" s="18" t="s">
        <v>1395</v>
      </c>
      <c r="R204" s="15">
        <v>24.544922</v>
      </c>
      <c r="S204" s="15">
        <v>-81.811532999999997</v>
      </c>
      <c r="Y204" s="19"/>
      <c r="AF204" s="18" t="s">
        <v>1396</v>
      </c>
      <c r="AG204" s="17"/>
      <c r="AV204" s="17"/>
      <c r="BK204" s="17"/>
      <c r="BZ204" s="17"/>
      <c r="CO204" s="17"/>
      <c r="DD204" s="17"/>
      <c r="DE204" s="17"/>
      <c r="DS204" s="17"/>
      <c r="DT204" s="17"/>
      <c r="EH204" s="17"/>
      <c r="EI204" s="17"/>
      <c r="EW204" s="17"/>
      <c r="EX204" s="17"/>
      <c r="FL204" s="17"/>
      <c r="FM204" s="17"/>
      <c r="GA204" s="17"/>
      <c r="GB204" s="17"/>
      <c r="GP204" s="17"/>
      <c r="GQ204" s="17"/>
      <c r="HE204" s="17"/>
      <c r="HF204" s="17"/>
      <c r="HT204" s="17"/>
      <c r="HU204" s="17"/>
      <c r="II204" s="42"/>
      <c r="IJ204" s="42"/>
      <c r="IK204" s="42"/>
      <c r="IL204" s="42"/>
      <c r="IM204" s="42"/>
      <c r="IN204" s="42"/>
      <c r="IO204" s="42"/>
      <c r="IP204" s="42"/>
      <c r="IQ204" s="42"/>
      <c r="IR204" s="42"/>
      <c r="IS204" s="42"/>
      <c r="IT204" s="42"/>
      <c r="IU204" s="42"/>
      <c r="IV204" s="42"/>
      <c r="IW204" s="42"/>
      <c r="IX204" s="42"/>
      <c r="IY204" s="42"/>
      <c r="IZ204" s="42"/>
      <c r="JA204" s="42"/>
      <c r="JB204" s="42"/>
      <c r="JC204" s="42"/>
      <c r="JD204" s="42"/>
      <c r="JE204" s="42"/>
      <c r="JF204" s="42"/>
      <c r="JG204" s="42"/>
      <c r="JH204" s="42"/>
      <c r="JI204" s="42"/>
      <c r="JJ204" s="42"/>
      <c r="JK204" s="42"/>
      <c r="JL204" s="42"/>
      <c r="JM204" s="42"/>
      <c r="JN204" s="42"/>
      <c r="JO204" s="42"/>
      <c r="JP204" s="42"/>
      <c r="JQ204" s="42"/>
      <c r="JR204" s="42"/>
      <c r="JS204" s="42"/>
      <c r="JT204" s="42"/>
      <c r="JU204" s="42"/>
      <c r="JV204" s="42"/>
      <c r="JW204" s="42"/>
      <c r="JX204" s="42"/>
      <c r="JY204" s="42"/>
      <c r="JZ204" s="42"/>
      <c r="KA204" s="42"/>
    </row>
    <row r="205" spans="1:287" ht="39">
      <c r="A205" s="31" t="s">
        <v>547</v>
      </c>
      <c r="B205" s="31" t="s">
        <v>528</v>
      </c>
      <c r="C205" s="15">
        <v>24.758648999999998</v>
      </c>
      <c r="D205" s="15">
        <v>-80.967045999999996</v>
      </c>
      <c r="E205" s="15">
        <v>0</v>
      </c>
      <c r="F205" s="51"/>
      <c r="G205" s="15">
        <v>0</v>
      </c>
      <c r="I205" s="15">
        <v>0</v>
      </c>
      <c r="J205" s="18"/>
      <c r="K205" s="15">
        <v>0</v>
      </c>
      <c r="M205" s="15">
        <v>0</v>
      </c>
      <c r="O205" s="15">
        <v>0</v>
      </c>
      <c r="Q205" s="18" t="s">
        <v>1397</v>
      </c>
      <c r="Y205" s="19"/>
      <c r="AF205" s="18"/>
      <c r="II205" s="42"/>
      <c r="IJ205" s="42"/>
      <c r="IK205" s="42"/>
      <c r="IL205" s="42"/>
      <c r="IM205" s="42"/>
      <c r="IN205" s="42"/>
      <c r="IO205" s="42"/>
      <c r="IP205" s="42"/>
      <c r="IQ205" s="42"/>
      <c r="IR205" s="42"/>
      <c r="IS205" s="42"/>
      <c r="IT205" s="42"/>
      <c r="IU205" s="42"/>
      <c r="IV205" s="42"/>
      <c r="IW205" s="42"/>
      <c r="IX205" s="42"/>
      <c r="IY205" s="42"/>
      <c r="IZ205" s="42"/>
      <c r="JA205" s="42"/>
      <c r="JB205" s="42"/>
      <c r="JC205" s="42"/>
      <c r="JD205" s="42"/>
      <c r="JE205" s="42"/>
      <c r="JF205" s="42"/>
      <c r="JG205" s="42"/>
      <c r="JH205" s="42"/>
      <c r="JI205" s="42"/>
      <c r="JJ205" s="42"/>
      <c r="JK205" s="42"/>
      <c r="JL205" s="42"/>
      <c r="JM205" s="42"/>
      <c r="JN205" s="42"/>
      <c r="JO205" s="42"/>
      <c r="JP205" s="42"/>
      <c r="JQ205" s="42"/>
      <c r="JR205" s="42"/>
      <c r="JS205" s="42"/>
      <c r="JT205" s="42"/>
      <c r="JU205" s="42"/>
      <c r="JV205" s="42"/>
      <c r="JW205" s="42"/>
      <c r="JX205" s="42"/>
      <c r="JY205" s="42"/>
      <c r="JZ205" s="42"/>
      <c r="KA205" s="42"/>
    </row>
    <row r="206" spans="1:287">
      <c r="A206" s="35" t="s">
        <v>548</v>
      </c>
      <c r="B206" s="35" t="s">
        <v>528</v>
      </c>
      <c r="J206" s="19"/>
      <c r="Q206" s="18"/>
      <c r="Y206" s="19"/>
      <c r="AF206" s="18"/>
      <c r="II206" s="42"/>
      <c r="IJ206" s="42"/>
      <c r="IK206" s="42"/>
      <c r="IL206" s="42"/>
      <c r="IM206" s="42"/>
      <c r="IN206" s="42"/>
      <c r="IO206" s="42"/>
      <c r="IP206" s="42"/>
      <c r="IQ206" s="42"/>
      <c r="IR206" s="42"/>
      <c r="IS206" s="42"/>
      <c r="IT206" s="42"/>
      <c r="IU206" s="42"/>
      <c r="IV206" s="42"/>
      <c r="IW206" s="42"/>
      <c r="IX206" s="42"/>
      <c r="IY206" s="42"/>
      <c r="IZ206" s="42"/>
      <c r="JA206" s="42"/>
      <c r="JB206" s="42"/>
      <c r="JC206" s="42"/>
      <c r="JD206" s="42"/>
      <c r="JE206" s="42"/>
      <c r="JF206" s="42"/>
      <c r="JG206" s="42"/>
      <c r="JH206" s="42"/>
      <c r="JI206" s="42"/>
      <c r="JJ206" s="42"/>
      <c r="JK206" s="42"/>
      <c r="JL206" s="42"/>
      <c r="JM206" s="42"/>
      <c r="JN206" s="42"/>
      <c r="JO206" s="42"/>
      <c r="JP206" s="42"/>
      <c r="JQ206" s="42"/>
      <c r="JR206" s="42"/>
      <c r="JS206" s="42"/>
      <c r="JT206" s="42"/>
      <c r="JU206" s="42"/>
      <c r="JV206" s="42"/>
      <c r="JW206" s="42"/>
      <c r="JX206" s="42"/>
      <c r="JY206" s="42"/>
      <c r="JZ206" s="42"/>
      <c r="KA206" s="42"/>
    </row>
    <row r="207" spans="1:287" ht="31.5">
      <c r="A207" s="35" t="s">
        <v>549</v>
      </c>
      <c r="B207" s="35" t="s">
        <v>528</v>
      </c>
      <c r="J207" s="19"/>
      <c r="Q207" s="19"/>
      <c r="Y207" s="19"/>
      <c r="AF207" s="19"/>
      <c r="II207" s="42"/>
      <c r="IJ207" s="42"/>
      <c r="IK207" s="42"/>
      <c r="IL207" s="42"/>
      <c r="IM207" s="42"/>
      <c r="IN207" s="42"/>
      <c r="IO207" s="42"/>
      <c r="IP207" s="42"/>
      <c r="IQ207" s="42"/>
      <c r="IR207" s="42"/>
      <c r="IS207" s="42"/>
      <c r="IT207" s="42"/>
      <c r="IU207" s="42"/>
      <c r="IV207" s="42"/>
      <c r="IW207" s="42"/>
      <c r="IX207" s="42"/>
      <c r="IY207" s="42"/>
      <c r="IZ207" s="42"/>
      <c r="JA207" s="42"/>
      <c r="JB207" s="42"/>
      <c r="JC207" s="42"/>
      <c r="JD207" s="42"/>
      <c r="JE207" s="42"/>
      <c r="JF207" s="42"/>
      <c r="JG207" s="42"/>
      <c r="JH207" s="42"/>
      <c r="JI207" s="42"/>
      <c r="JJ207" s="42"/>
      <c r="JK207" s="42"/>
      <c r="JL207" s="42"/>
      <c r="JM207" s="42"/>
      <c r="JN207" s="42"/>
      <c r="JO207" s="42"/>
      <c r="JP207" s="42"/>
      <c r="JQ207" s="42"/>
      <c r="JR207" s="42"/>
      <c r="JS207" s="42"/>
      <c r="JT207" s="42"/>
      <c r="JU207" s="42"/>
      <c r="JV207" s="42"/>
      <c r="JW207" s="42"/>
      <c r="JX207" s="42"/>
      <c r="JY207" s="42"/>
      <c r="JZ207" s="42"/>
      <c r="KA207" s="42"/>
    </row>
    <row r="208" spans="1:287" ht="31.5">
      <c r="A208" s="13" t="s">
        <v>550</v>
      </c>
      <c r="B208" s="13" t="s">
        <v>528</v>
      </c>
      <c r="C208" s="17"/>
      <c r="H208" s="18"/>
      <c r="Q208" s="18"/>
      <c r="R208" s="17"/>
      <c r="Y208" s="19"/>
      <c r="AF208" s="19"/>
      <c r="AG208" s="17"/>
      <c r="AV208" s="17"/>
      <c r="BK208" s="17"/>
      <c r="BZ208" s="17"/>
      <c r="CO208" s="17"/>
      <c r="DD208" s="17"/>
      <c r="DE208" s="17"/>
      <c r="DS208" s="17"/>
      <c r="DT208" s="17"/>
      <c r="EH208" s="17"/>
      <c r="EI208" s="17"/>
      <c r="EW208" s="17"/>
      <c r="EX208" s="17"/>
      <c r="FL208" s="17"/>
      <c r="FM208" s="17"/>
      <c r="GA208" s="17"/>
      <c r="GB208" s="17"/>
      <c r="GP208" s="17"/>
      <c r="GQ208" s="17"/>
      <c r="HE208" s="17"/>
      <c r="HF208" s="17"/>
      <c r="HT208" s="17"/>
      <c r="HU208" s="17"/>
      <c r="II208" s="42"/>
      <c r="IJ208" s="42"/>
      <c r="IK208" s="42"/>
      <c r="IL208" s="42"/>
      <c r="IM208" s="42"/>
      <c r="IN208" s="42"/>
      <c r="IO208" s="42"/>
      <c r="IP208" s="42"/>
      <c r="IQ208" s="42"/>
      <c r="IR208" s="42"/>
      <c r="IS208" s="42"/>
      <c r="IT208" s="42"/>
      <c r="IU208" s="42"/>
      <c r="IV208" s="42"/>
      <c r="IW208" s="42"/>
      <c r="IX208" s="42"/>
      <c r="IY208" s="42"/>
      <c r="IZ208" s="42"/>
      <c r="JA208" s="42"/>
      <c r="JB208" s="42"/>
      <c r="JC208" s="42"/>
      <c r="JD208" s="42"/>
      <c r="JE208" s="42"/>
      <c r="JF208" s="42"/>
      <c r="JG208" s="42"/>
      <c r="JH208" s="42"/>
      <c r="JI208" s="42"/>
      <c r="JJ208" s="42"/>
      <c r="JK208" s="42"/>
      <c r="JL208" s="42"/>
      <c r="JM208" s="42"/>
      <c r="JN208" s="42"/>
      <c r="JO208" s="42"/>
      <c r="JP208" s="42"/>
      <c r="JQ208" s="42"/>
      <c r="JR208" s="42"/>
      <c r="JS208" s="42"/>
      <c r="JT208" s="42"/>
      <c r="JU208" s="42"/>
      <c r="JV208" s="42"/>
      <c r="JW208" s="42"/>
      <c r="JX208" s="42"/>
      <c r="JY208" s="42"/>
      <c r="JZ208" s="42"/>
      <c r="KA208" s="42"/>
    </row>
    <row r="209" spans="1:287" ht="77.25">
      <c r="A209" s="13" t="s">
        <v>551</v>
      </c>
      <c r="B209" s="13" t="s">
        <v>528</v>
      </c>
      <c r="C209" s="15">
        <v>24.525627</v>
      </c>
      <c r="D209" s="15">
        <v>-81.962604999999996</v>
      </c>
      <c r="I209" s="15">
        <v>6</v>
      </c>
      <c r="J209" s="18" t="s">
        <v>1308</v>
      </c>
      <c r="Q209" s="19"/>
      <c r="R209" s="15">
        <v>24.525836000000002</v>
      </c>
      <c r="S209" s="15">
        <v>-81.986842999999993</v>
      </c>
      <c r="Y209" s="19"/>
      <c r="AF209" s="18" t="s">
        <v>1398</v>
      </c>
      <c r="AG209" s="17"/>
      <c r="AV209" s="17"/>
      <c r="BK209" s="17"/>
      <c r="BZ209" s="17"/>
      <c r="CO209" s="17"/>
      <c r="DD209" s="17"/>
      <c r="DE209" s="17"/>
      <c r="DS209" s="17"/>
      <c r="DT209" s="17"/>
      <c r="EH209" s="17"/>
      <c r="EI209" s="17"/>
      <c r="EW209" s="17"/>
      <c r="EX209" s="17"/>
      <c r="FL209" s="17"/>
      <c r="FM209" s="17"/>
      <c r="GA209" s="17"/>
      <c r="GB209" s="17"/>
      <c r="GP209" s="17"/>
      <c r="GQ209" s="17"/>
      <c r="HE209" s="17"/>
      <c r="HF209" s="17"/>
      <c r="HT209" s="17"/>
      <c r="HU209" s="17"/>
      <c r="II209" s="42"/>
      <c r="IJ209" s="42"/>
      <c r="IK209" s="42"/>
      <c r="IL209" s="42"/>
      <c r="IM209" s="42"/>
      <c r="IN209" s="42"/>
      <c r="IO209" s="42"/>
      <c r="IP209" s="42"/>
      <c r="IQ209" s="42"/>
      <c r="IR209" s="42"/>
      <c r="IS209" s="42"/>
      <c r="IT209" s="42"/>
      <c r="IU209" s="42"/>
      <c r="IV209" s="42"/>
      <c r="IW209" s="42"/>
      <c r="IX209" s="42"/>
      <c r="IY209" s="42"/>
      <c r="IZ209" s="42"/>
      <c r="JA209" s="42"/>
      <c r="JB209" s="42"/>
      <c r="JC209" s="42"/>
      <c r="JD209" s="42"/>
      <c r="JE209" s="42"/>
      <c r="JF209" s="42"/>
      <c r="JG209" s="42"/>
      <c r="JH209" s="42"/>
      <c r="JI209" s="42"/>
      <c r="JJ209" s="42"/>
      <c r="JK209" s="42"/>
      <c r="JL209" s="42"/>
      <c r="JM209" s="42"/>
      <c r="JN209" s="42"/>
      <c r="JO209" s="42"/>
      <c r="JP209" s="42"/>
      <c r="JQ209" s="42"/>
      <c r="JR209" s="42"/>
      <c r="JS209" s="42"/>
      <c r="JT209" s="42"/>
      <c r="JU209" s="42"/>
      <c r="JV209" s="42"/>
      <c r="JW209" s="42"/>
      <c r="JX209" s="42"/>
      <c r="JY209" s="42"/>
      <c r="JZ209" s="42"/>
      <c r="KA209" s="42"/>
    </row>
    <row r="210" spans="1:287" ht="31.5">
      <c r="A210" s="13" t="s">
        <v>554</v>
      </c>
      <c r="B210" s="13" t="s">
        <v>528</v>
      </c>
      <c r="C210" s="17"/>
      <c r="J210" s="19"/>
      <c r="Q210" s="18"/>
      <c r="R210" s="17"/>
      <c r="Y210" s="19"/>
      <c r="AF210" s="18"/>
      <c r="AG210" s="17"/>
      <c r="AU210" s="18"/>
      <c r="AV210" s="17"/>
      <c r="BK210" s="17"/>
      <c r="BZ210" s="17"/>
      <c r="CO210" s="17"/>
      <c r="DD210" s="17"/>
      <c r="DE210" s="17"/>
      <c r="DS210" s="17"/>
      <c r="DT210" s="17"/>
      <c r="EH210" s="17"/>
      <c r="EI210" s="17"/>
      <c r="EW210" s="17"/>
      <c r="EX210" s="17"/>
      <c r="FL210" s="17"/>
      <c r="FM210" s="17"/>
      <c r="GA210" s="17"/>
      <c r="GB210" s="17"/>
      <c r="GP210" s="17"/>
      <c r="GQ210" s="17"/>
      <c r="HE210" s="17"/>
      <c r="HF210" s="17"/>
      <c r="HT210" s="17"/>
      <c r="HU210" s="17"/>
      <c r="II210" s="42"/>
      <c r="IJ210" s="42"/>
      <c r="IK210" s="42"/>
      <c r="IL210" s="42"/>
      <c r="IM210" s="42"/>
      <c r="IN210" s="42"/>
      <c r="IO210" s="42"/>
      <c r="IP210" s="42"/>
      <c r="IQ210" s="42"/>
      <c r="IR210" s="42"/>
      <c r="IS210" s="42"/>
      <c r="IT210" s="42"/>
      <c r="IU210" s="42"/>
      <c r="IV210" s="42"/>
      <c r="IW210" s="42"/>
      <c r="IX210" s="42"/>
      <c r="IY210" s="42"/>
      <c r="IZ210" s="42"/>
      <c r="JA210" s="42"/>
      <c r="JB210" s="42"/>
      <c r="JC210" s="42"/>
      <c r="JD210" s="42"/>
      <c r="JE210" s="42"/>
      <c r="JF210" s="42"/>
      <c r="JG210" s="42"/>
      <c r="JH210" s="42"/>
      <c r="JI210" s="42"/>
      <c r="JJ210" s="42"/>
      <c r="JK210" s="42"/>
      <c r="JL210" s="42"/>
      <c r="JM210" s="42"/>
      <c r="JN210" s="42"/>
      <c r="JO210" s="42"/>
      <c r="JP210" s="42"/>
      <c r="JQ210" s="42"/>
      <c r="JR210" s="42"/>
      <c r="JS210" s="42"/>
      <c r="JT210" s="42"/>
      <c r="JU210" s="42"/>
      <c r="JV210" s="42"/>
      <c r="JW210" s="42"/>
      <c r="JX210" s="42"/>
      <c r="JY210" s="42"/>
      <c r="JZ210" s="42"/>
      <c r="KA210" s="42"/>
    </row>
    <row r="211" spans="1:287" ht="31.5">
      <c r="A211" s="24" t="s">
        <v>555</v>
      </c>
      <c r="B211" s="24" t="s">
        <v>528</v>
      </c>
      <c r="C211" s="17"/>
      <c r="J211" s="19"/>
      <c r="Q211" s="19"/>
      <c r="R211" s="17"/>
      <c r="Y211" s="19"/>
      <c r="AF211" s="19"/>
      <c r="AG211" s="17"/>
      <c r="AV211" s="17"/>
      <c r="BK211" s="17"/>
      <c r="BZ211" s="17"/>
      <c r="CO211" s="17"/>
      <c r="DD211" s="17"/>
      <c r="DE211" s="17"/>
      <c r="DS211" s="17"/>
      <c r="DT211" s="17"/>
      <c r="EH211" s="17"/>
      <c r="EI211" s="17"/>
      <c r="EW211" s="17"/>
      <c r="EX211" s="17"/>
      <c r="FL211" s="17"/>
      <c r="FM211" s="17"/>
      <c r="GA211" s="17"/>
      <c r="GB211" s="17"/>
      <c r="GP211" s="17"/>
      <c r="GQ211" s="17"/>
      <c r="HE211" s="17"/>
      <c r="HF211" s="17"/>
      <c r="HT211" s="17"/>
      <c r="HU211" s="17"/>
      <c r="II211" s="42"/>
      <c r="IJ211" s="42"/>
      <c r="IK211" s="42"/>
      <c r="IL211" s="42"/>
      <c r="IM211" s="42"/>
      <c r="IN211" s="42"/>
      <c r="IO211" s="42"/>
      <c r="IP211" s="42"/>
      <c r="IQ211" s="42"/>
      <c r="IR211" s="42"/>
      <c r="IS211" s="42"/>
      <c r="IT211" s="42"/>
      <c r="IU211" s="42"/>
      <c r="IV211" s="42"/>
      <c r="IW211" s="42"/>
      <c r="IX211" s="42"/>
      <c r="IY211" s="42"/>
      <c r="IZ211" s="42"/>
      <c r="JA211" s="42"/>
      <c r="JB211" s="42"/>
      <c r="JC211" s="42"/>
      <c r="JD211" s="42"/>
      <c r="JE211" s="42"/>
      <c r="JF211" s="42"/>
      <c r="JG211" s="42"/>
      <c r="JH211" s="42"/>
      <c r="JI211" s="42"/>
      <c r="JJ211" s="42"/>
      <c r="JK211" s="42"/>
      <c r="JL211" s="42"/>
      <c r="JM211" s="42"/>
      <c r="JN211" s="42"/>
      <c r="JO211" s="42"/>
      <c r="JP211" s="42"/>
      <c r="JQ211" s="42"/>
      <c r="JR211" s="42"/>
      <c r="JS211" s="42"/>
      <c r="JT211" s="42"/>
      <c r="JU211" s="42"/>
      <c r="JV211" s="42"/>
      <c r="JW211" s="42"/>
      <c r="JX211" s="42"/>
      <c r="JY211" s="42"/>
      <c r="JZ211" s="42"/>
      <c r="KA211" s="42"/>
    </row>
    <row r="212" spans="1:287">
      <c r="A212" s="13" t="s">
        <v>557</v>
      </c>
      <c r="B212" s="13" t="s">
        <v>528</v>
      </c>
      <c r="C212" s="15">
        <v>24.807203000000001</v>
      </c>
      <c r="D212" s="15">
        <v>-80.837500000000006</v>
      </c>
      <c r="J212" s="18">
        <v>1</v>
      </c>
      <c r="Q212" s="19"/>
      <c r="R212" s="17"/>
      <c r="Y212" s="19"/>
      <c r="AF212" s="19"/>
      <c r="AG212" s="17"/>
      <c r="AV212" s="17"/>
      <c r="BK212" s="17"/>
      <c r="BZ212" s="17"/>
      <c r="CO212" s="17"/>
      <c r="DD212" s="17"/>
      <c r="DE212" s="17"/>
      <c r="DS212" s="17"/>
      <c r="DT212" s="17"/>
      <c r="EH212" s="17"/>
      <c r="EI212" s="17"/>
      <c r="EW212" s="17"/>
      <c r="EX212" s="17"/>
      <c r="FL212" s="17"/>
      <c r="FM212" s="17"/>
      <c r="GA212" s="17"/>
      <c r="GB212" s="17"/>
      <c r="GP212" s="17"/>
      <c r="GQ212" s="17"/>
      <c r="HE212" s="17"/>
      <c r="HF212" s="17"/>
      <c r="HT212" s="17"/>
      <c r="HU212" s="17"/>
      <c r="II212" s="42"/>
      <c r="IJ212" s="42"/>
      <c r="IK212" s="42"/>
      <c r="IL212" s="42"/>
      <c r="IM212" s="42"/>
      <c r="IN212" s="42"/>
      <c r="IO212" s="42"/>
      <c r="IP212" s="42"/>
      <c r="IQ212" s="42"/>
      <c r="IR212" s="42"/>
      <c r="IS212" s="42"/>
      <c r="IT212" s="42"/>
      <c r="IU212" s="42"/>
      <c r="IV212" s="42"/>
      <c r="IW212" s="42"/>
      <c r="IX212" s="42"/>
      <c r="IY212" s="42"/>
      <c r="IZ212" s="42"/>
      <c r="JA212" s="42"/>
      <c r="JB212" s="42"/>
      <c r="JC212" s="42"/>
      <c r="JD212" s="42"/>
      <c r="JE212" s="42"/>
      <c r="JF212" s="42"/>
      <c r="JG212" s="42"/>
      <c r="JH212" s="42"/>
      <c r="JI212" s="42"/>
      <c r="JJ212" s="42"/>
      <c r="JK212" s="42"/>
      <c r="JL212" s="42"/>
      <c r="JM212" s="42"/>
      <c r="JN212" s="42"/>
      <c r="JO212" s="42"/>
      <c r="JP212" s="42"/>
      <c r="JQ212" s="42"/>
      <c r="JR212" s="42"/>
      <c r="JS212" s="42"/>
      <c r="JT212" s="42"/>
      <c r="JU212" s="42"/>
      <c r="JV212" s="42"/>
      <c r="JW212" s="42"/>
      <c r="JX212" s="42"/>
      <c r="JY212" s="42"/>
      <c r="JZ212" s="42"/>
      <c r="KA212" s="42"/>
    </row>
    <row r="213" spans="1:287">
      <c r="A213" s="24" t="s">
        <v>559</v>
      </c>
      <c r="B213" s="24" t="s">
        <v>528</v>
      </c>
      <c r="C213" s="17"/>
      <c r="J213" s="19"/>
      <c r="Q213" s="19"/>
      <c r="R213" s="17"/>
      <c r="Y213" s="19"/>
      <c r="AF213" s="19"/>
      <c r="AG213" s="17"/>
      <c r="AV213" s="17"/>
      <c r="BK213" s="17"/>
      <c r="BZ213" s="17"/>
      <c r="CO213" s="17"/>
      <c r="DD213" s="17"/>
      <c r="DE213" s="17"/>
      <c r="DS213" s="17"/>
      <c r="DT213" s="17"/>
      <c r="EH213" s="17"/>
      <c r="EI213" s="17"/>
      <c r="EW213" s="17"/>
      <c r="EX213" s="17"/>
      <c r="FL213" s="17"/>
      <c r="FM213" s="17"/>
      <c r="GA213" s="17"/>
      <c r="GB213" s="17"/>
      <c r="GP213" s="17"/>
      <c r="GQ213" s="17"/>
      <c r="HE213" s="17"/>
      <c r="HF213" s="17"/>
      <c r="HT213" s="17"/>
      <c r="HU213" s="17"/>
      <c r="II213" s="42"/>
      <c r="IJ213" s="42"/>
      <c r="IK213" s="42"/>
      <c r="IL213" s="42"/>
      <c r="IM213" s="42"/>
      <c r="IN213" s="42"/>
      <c r="IO213" s="42"/>
      <c r="IP213" s="42"/>
      <c r="IQ213" s="42"/>
      <c r="IR213" s="42"/>
      <c r="IS213" s="42"/>
      <c r="IT213" s="42"/>
      <c r="IU213" s="42"/>
      <c r="IV213" s="42"/>
      <c r="IW213" s="42"/>
      <c r="IX213" s="42"/>
      <c r="IY213" s="42"/>
      <c r="IZ213" s="42"/>
      <c r="JA213" s="42"/>
      <c r="JB213" s="42"/>
      <c r="JC213" s="42"/>
      <c r="JD213" s="42"/>
      <c r="JE213" s="42"/>
      <c r="JF213" s="42"/>
      <c r="JG213" s="42"/>
      <c r="JH213" s="42"/>
      <c r="JI213" s="42"/>
      <c r="JJ213" s="42"/>
      <c r="JK213" s="42"/>
      <c r="JL213" s="42"/>
      <c r="JM213" s="42"/>
      <c r="JN213" s="42"/>
      <c r="JO213" s="42"/>
      <c r="JP213" s="42"/>
      <c r="JQ213" s="42"/>
      <c r="JR213" s="42"/>
      <c r="JS213" s="42"/>
      <c r="JT213" s="42"/>
      <c r="JU213" s="42"/>
      <c r="JV213" s="42"/>
      <c r="JW213" s="42"/>
      <c r="JX213" s="42"/>
      <c r="JY213" s="42"/>
      <c r="JZ213" s="42"/>
      <c r="KA213" s="42"/>
    </row>
    <row r="214" spans="1:287">
      <c r="A214" s="24" t="s">
        <v>560</v>
      </c>
      <c r="B214" s="24" t="s">
        <v>528</v>
      </c>
      <c r="C214" s="15">
        <v>24.668953999999999</v>
      </c>
      <c r="D214" s="15">
        <v>-81.417141000000001</v>
      </c>
      <c r="E214" s="15">
        <v>0</v>
      </c>
      <c r="G214" s="15">
        <v>0</v>
      </c>
      <c r="I214" s="15">
        <v>0</v>
      </c>
      <c r="J214" s="19"/>
      <c r="K214" s="15">
        <v>0</v>
      </c>
      <c r="M214" s="15">
        <v>0</v>
      </c>
      <c r="O214" s="15">
        <v>4</v>
      </c>
      <c r="P214" s="15" t="s">
        <v>1213</v>
      </c>
      <c r="Q214" s="18" t="s">
        <v>1399</v>
      </c>
      <c r="R214" s="17"/>
      <c r="Y214" s="19"/>
      <c r="AF214" s="18"/>
      <c r="AG214" s="17"/>
      <c r="AV214" s="17"/>
      <c r="BK214" s="17"/>
      <c r="BZ214" s="17"/>
      <c r="CO214" s="17"/>
      <c r="DD214" s="17"/>
      <c r="DE214" s="17"/>
      <c r="DS214" s="17"/>
      <c r="DT214" s="17"/>
      <c r="EH214" s="17"/>
      <c r="EI214" s="17"/>
      <c r="EW214" s="17"/>
      <c r="EX214" s="17"/>
      <c r="FL214" s="17"/>
      <c r="FM214" s="17"/>
      <c r="GA214" s="17"/>
      <c r="GB214" s="17"/>
      <c r="GP214" s="17"/>
      <c r="GQ214" s="17"/>
      <c r="HE214" s="17"/>
      <c r="HF214" s="17"/>
      <c r="HT214" s="17"/>
      <c r="HU214" s="17"/>
      <c r="II214" s="42"/>
      <c r="IJ214" s="42"/>
      <c r="IK214" s="42"/>
      <c r="IL214" s="42"/>
      <c r="IM214" s="42"/>
      <c r="IN214" s="42"/>
      <c r="IO214" s="42"/>
      <c r="IP214" s="42"/>
      <c r="IQ214" s="42"/>
      <c r="IR214" s="42"/>
      <c r="IS214" s="42"/>
      <c r="IT214" s="42"/>
      <c r="IU214" s="42"/>
      <c r="IV214" s="42"/>
      <c r="IW214" s="42"/>
      <c r="IX214" s="42"/>
      <c r="IY214" s="42"/>
      <c r="IZ214" s="42"/>
      <c r="JA214" s="42"/>
      <c r="JB214" s="42"/>
      <c r="JC214" s="42"/>
      <c r="JD214" s="42"/>
      <c r="JE214" s="42"/>
      <c r="JF214" s="42"/>
      <c r="JG214" s="42"/>
      <c r="JH214" s="42"/>
      <c r="JI214" s="42"/>
      <c r="JJ214" s="42"/>
      <c r="JK214" s="42"/>
      <c r="JL214" s="42"/>
      <c r="JM214" s="42"/>
      <c r="JN214" s="42"/>
      <c r="JO214" s="42"/>
      <c r="JP214" s="42"/>
      <c r="JQ214" s="42"/>
      <c r="JR214" s="42"/>
      <c r="JS214" s="42"/>
      <c r="JT214" s="42"/>
      <c r="JU214" s="42"/>
      <c r="JV214" s="42"/>
      <c r="JW214" s="42"/>
      <c r="JX214" s="42"/>
      <c r="JY214" s="42"/>
      <c r="JZ214" s="42"/>
      <c r="KA214" s="42"/>
    </row>
    <row r="215" spans="1:287" ht="141">
      <c r="A215" s="24" t="s">
        <v>562</v>
      </c>
      <c r="B215" s="24" t="s">
        <v>528</v>
      </c>
      <c r="C215" s="15">
        <v>24.670974999999999</v>
      </c>
      <c r="D215" s="15">
        <v>-81.244000999999997</v>
      </c>
      <c r="E215" s="15">
        <v>0</v>
      </c>
      <c r="G215" s="15">
        <v>0</v>
      </c>
      <c r="I215" s="15">
        <v>18</v>
      </c>
      <c r="J215" s="18" t="s">
        <v>1400</v>
      </c>
      <c r="K215" s="15">
        <v>0</v>
      </c>
      <c r="M215" s="15">
        <v>0</v>
      </c>
      <c r="O215" s="15">
        <v>0</v>
      </c>
      <c r="Q215" s="18" t="s">
        <v>1401</v>
      </c>
      <c r="R215" s="15">
        <v>24.670351</v>
      </c>
      <c r="S215" s="15">
        <v>-81.244243999999995</v>
      </c>
      <c r="T215" s="15">
        <v>0</v>
      </c>
      <c r="V215" s="15">
        <v>0</v>
      </c>
      <c r="X215" s="15">
        <v>0</v>
      </c>
      <c r="Y215" s="19"/>
      <c r="Z215" s="15">
        <v>0</v>
      </c>
      <c r="AB215" s="15">
        <v>0</v>
      </c>
      <c r="AD215" s="15">
        <v>0</v>
      </c>
      <c r="AF215" s="18" t="s">
        <v>1402</v>
      </c>
      <c r="AG215" s="17"/>
      <c r="AV215" s="17"/>
      <c r="BK215" s="17"/>
      <c r="BZ215" s="17"/>
      <c r="CO215" s="17"/>
      <c r="DD215" s="17"/>
      <c r="DE215" s="17"/>
      <c r="DS215" s="17"/>
      <c r="DT215" s="17"/>
      <c r="EH215" s="17"/>
      <c r="EI215" s="17"/>
      <c r="EW215" s="17"/>
      <c r="EX215" s="17"/>
      <c r="FL215" s="17"/>
      <c r="FM215" s="17"/>
      <c r="GA215" s="17"/>
      <c r="GB215" s="17"/>
      <c r="GP215" s="17"/>
      <c r="GQ215" s="17"/>
      <c r="HE215" s="17"/>
      <c r="HF215" s="17"/>
      <c r="HT215" s="17"/>
      <c r="HU215" s="17"/>
      <c r="II215" s="42"/>
      <c r="IJ215" s="42"/>
      <c r="IK215" s="42"/>
      <c r="IL215" s="42"/>
      <c r="IM215" s="42"/>
      <c r="IN215" s="42"/>
      <c r="IO215" s="42"/>
      <c r="IP215" s="42"/>
      <c r="IQ215" s="42"/>
      <c r="IR215" s="42"/>
      <c r="IS215" s="42"/>
      <c r="IT215" s="42"/>
      <c r="IU215" s="42"/>
      <c r="IV215" s="42"/>
      <c r="IW215" s="42"/>
      <c r="IX215" s="42"/>
      <c r="IY215" s="42"/>
      <c r="IZ215" s="42"/>
      <c r="JA215" s="42"/>
      <c r="JB215" s="42"/>
      <c r="JC215" s="42"/>
      <c r="JD215" s="42"/>
      <c r="JE215" s="42"/>
      <c r="JF215" s="42"/>
      <c r="JG215" s="42"/>
      <c r="JH215" s="42"/>
      <c r="JI215" s="42"/>
      <c r="JJ215" s="42"/>
      <c r="JK215" s="42"/>
      <c r="JL215" s="42"/>
      <c r="JM215" s="42"/>
      <c r="JN215" s="42"/>
      <c r="JO215" s="42"/>
      <c r="JP215" s="42"/>
      <c r="JQ215" s="42"/>
      <c r="JR215" s="42"/>
      <c r="JS215" s="42"/>
      <c r="JT215" s="42"/>
      <c r="JU215" s="42"/>
      <c r="JV215" s="42"/>
      <c r="JW215" s="42"/>
      <c r="JX215" s="42"/>
      <c r="JY215" s="42"/>
      <c r="JZ215" s="42"/>
      <c r="KA215" s="42"/>
    </row>
    <row r="216" spans="1:287" ht="31.5">
      <c r="A216" s="13" t="s">
        <v>564</v>
      </c>
      <c r="B216" s="13" t="s">
        <v>528</v>
      </c>
      <c r="C216" s="17"/>
      <c r="J216" s="19"/>
      <c r="Q216" s="19"/>
      <c r="R216" s="17"/>
      <c r="Y216" s="19"/>
      <c r="AF216" s="19"/>
      <c r="AG216" s="17"/>
      <c r="AV216" s="17"/>
      <c r="BK216" s="17"/>
      <c r="BZ216" s="17"/>
      <c r="CO216" s="17"/>
      <c r="DD216" s="17"/>
      <c r="DE216" s="17"/>
      <c r="DS216" s="17"/>
      <c r="DT216" s="17"/>
      <c r="EH216" s="17"/>
      <c r="EI216" s="17"/>
      <c r="EW216" s="17"/>
      <c r="EX216" s="17"/>
      <c r="FL216" s="17"/>
      <c r="FM216" s="17"/>
      <c r="GA216" s="17"/>
      <c r="GB216" s="17"/>
      <c r="GP216" s="17"/>
      <c r="GQ216" s="17"/>
      <c r="HE216" s="17"/>
      <c r="HF216" s="17"/>
      <c r="HT216" s="17"/>
      <c r="HU216" s="17"/>
      <c r="II216" s="42"/>
      <c r="IJ216" s="42"/>
      <c r="IK216" s="42"/>
      <c r="IL216" s="42"/>
      <c r="IM216" s="42"/>
      <c r="IN216" s="42"/>
      <c r="IO216" s="42"/>
      <c r="IP216" s="42"/>
      <c r="IQ216" s="42"/>
      <c r="IR216" s="42"/>
      <c r="IS216" s="42"/>
      <c r="IT216" s="42"/>
      <c r="IU216" s="42"/>
      <c r="IV216" s="42"/>
      <c r="IW216" s="42"/>
      <c r="IX216" s="42"/>
      <c r="IY216" s="42"/>
      <c r="IZ216" s="42"/>
      <c r="JA216" s="42"/>
      <c r="JB216" s="42"/>
      <c r="JC216" s="42"/>
      <c r="JD216" s="42"/>
      <c r="JE216" s="42"/>
      <c r="JF216" s="42"/>
      <c r="JG216" s="42"/>
      <c r="JH216" s="42"/>
      <c r="JI216" s="42"/>
      <c r="JJ216" s="42"/>
      <c r="JK216" s="42"/>
      <c r="JL216" s="42"/>
      <c r="JM216" s="42"/>
      <c r="JN216" s="42"/>
      <c r="JO216" s="42"/>
      <c r="JP216" s="42"/>
      <c r="JQ216" s="42"/>
      <c r="JR216" s="42"/>
      <c r="JS216" s="42"/>
      <c r="JT216" s="42"/>
      <c r="JU216" s="42"/>
      <c r="JV216" s="42"/>
      <c r="JW216" s="42"/>
      <c r="JX216" s="42"/>
      <c r="JY216" s="42"/>
      <c r="JZ216" s="42"/>
      <c r="KA216" s="42"/>
    </row>
    <row r="217" spans="1:287" ht="77.25">
      <c r="A217" s="13" t="s">
        <v>565</v>
      </c>
      <c r="B217" s="55" t="s">
        <v>566</v>
      </c>
      <c r="C217" s="15">
        <v>30.51512</v>
      </c>
      <c r="D217" s="15">
        <v>-81.437079999999995</v>
      </c>
      <c r="E217" s="15">
        <v>0</v>
      </c>
      <c r="G217" s="15">
        <v>0</v>
      </c>
      <c r="I217" s="15">
        <v>0</v>
      </c>
      <c r="J217" s="107"/>
      <c r="L217" s="15">
        <v>0</v>
      </c>
      <c r="N217" s="15">
        <v>0</v>
      </c>
      <c r="P217" s="15">
        <v>0</v>
      </c>
      <c r="Q217" s="18" t="s">
        <v>1403</v>
      </c>
      <c r="R217" s="15">
        <v>30.515409999999999</v>
      </c>
      <c r="S217" s="15">
        <v>-81.436800000000005</v>
      </c>
      <c r="T217" s="15">
        <v>0</v>
      </c>
      <c r="V217" s="15">
        <v>0</v>
      </c>
      <c r="X217" s="15">
        <v>6</v>
      </c>
      <c r="Y217" s="110" t="s">
        <v>1404</v>
      </c>
      <c r="Z217" s="15">
        <v>0</v>
      </c>
      <c r="AB217" s="15">
        <v>0</v>
      </c>
      <c r="AD217" s="15">
        <v>27</v>
      </c>
      <c r="AF217" s="18" t="s">
        <v>1405</v>
      </c>
      <c r="AG217" s="15">
        <v>30.519200000000001</v>
      </c>
      <c r="AH217" s="15">
        <v>-81.435329999999993</v>
      </c>
      <c r="AI217" s="15">
        <v>0</v>
      </c>
      <c r="AK217" s="15">
        <v>0</v>
      </c>
      <c r="AM217" s="15">
        <v>0</v>
      </c>
      <c r="AO217" s="15">
        <v>0</v>
      </c>
      <c r="AQ217" s="15">
        <v>0</v>
      </c>
      <c r="AS217" s="15">
        <v>1</v>
      </c>
      <c r="AT217" s="15" t="s">
        <v>1214</v>
      </c>
      <c r="AV217" s="15">
        <v>30.42202</v>
      </c>
      <c r="AW217" s="15">
        <v>-81.435630000000003</v>
      </c>
      <c r="AX217" s="15">
        <v>0</v>
      </c>
      <c r="AZ217" s="15">
        <v>0</v>
      </c>
      <c r="BB217" s="15">
        <v>0</v>
      </c>
      <c r="BD217" s="15">
        <v>0</v>
      </c>
      <c r="BF217" s="15">
        <v>0</v>
      </c>
      <c r="BH217" s="15">
        <v>1</v>
      </c>
      <c r="BI217" s="15" t="s">
        <v>1214</v>
      </c>
      <c r="BK217" s="15">
        <v>30.526630000000001</v>
      </c>
      <c r="BL217" s="15">
        <v>-81.435490000000001</v>
      </c>
      <c r="BM217" s="15">
        <v>0</v>
      </c>
      <c r="BO217" s="15">
        <v>0</v>
      </c>
      <c r="BQ217" s="15">
        <v>0</v>
      </c>
      <c r="BS217" s="15">
        <v>0</v>
      </c>
      <c r="BU217" s="15">
        <v>0</v>
      </c>
      <c r="BW217" s="15">
        <v>0</v>
      </c>
      <c r="BY217" s="15" t="s">
        <v>1406</v>
      </c>
      <c r="BZ217" s="17"/>
      <c r="CO217" s="17"/>
      <c r="DD217" s="17"/>
      <c r="DE217" s="17"/>
      <c r="DS217" s="17"/>
      <c r="DT217" s="17"/>
      <c r="EH217" s="17"/>
      <c r="EI217" s="17"/>
      <c r="EW217" s="17"/>
      <c r="EX217" s="17"/>
      <c r="FL217" s="17"/>
      <c r="FM217" s="17"/>
      <c r="GA217" s="17"/>
      <c r="GB217" s="17"/>
      <c r="GP217" s="17"/>
      <c r="GQ217" s="17"/>
      <c r="HE217" s="17"/>
      <c r="HF217" s="17"/>
      <c r="HT217" s="17"/>
      <c r="HU217" s="17"/>
      <c r="II217" s="42"/>
      <c r="IJ217" s="42"/>
      <c r="IK217" s="42"/>
      <c r="IL217" s="42"/>
      <c r="IM217" s="42"/>
      <c r="IN217" s="42"/>
      <c r="IO217" s="42"/>
      <c r="IP217" s="42"/>
      <c r="IQ217" s="42"/>
      <c r="IR217" s="42"/>
      <c r="IS217" s="42"/>
      <c r="IT217" s="42"/>
      <c r="IU217" s="42"/>
      <c r="IV217" s="42"/>
      <c r="IW217" s="42"/>
      <c r="IX217" s="42"/>
      <c r="IY217" s="42"/>
      <c r="IZ217" s="42"/>
      <c r="JA217" s="42"/>
      <c r="JB217" s="42"/>
      <c r="JC217" s="42"/>
      <c r="JD217" s="42"/>
      <c r="JE217" s="42"/>
      <c r="JF217" s="42"/>
      <c r="JG217" s="42"/>
      <c r="JH217" s="42"/>
      <c r="JI217" s="42"/>
      <c r="JJ217" s="42"/>
      <c r="JK217" s="42"/>
      <c r="JL217" s="42"/>
      <c r="JM217" s="42"/>
      <c r="JN217" s="42"/>
      <c r="JO217" s="42"/>
      <c r="JP217" s="42"/>
      <c r="JQ217" s="42"/>
      <c r="JR217" s="42"/>
      <c r="JS217" s="42"/>
      <c r="JT217" s="42"/>
      <c r="JU217" s="42"/>
      <c r="JV217" s="42"/>
      <c r="JW217" s="42"/>
      <c r="JX217" s="42"/>
      <c r="JY217" s="42"/>
      <c r="JZ217" s="42"/>
      <c r="KA217" s="42"/>
    </row>
    <row r="218" spans="1:287">
      <c r="A218" s="13" t="s">
        <v>568</v>
      </c>
      <c r="B218" s="55" t="s">
        <v>566</v>
      </c>
      <c r="C218" s="15">
        <v>30.578690000000002</v>
      </c>
      <c r="D218" s="15">
        <v>-81.461231999999995</v>
      </c>
      <c r="E218" s="15">
        <v>66</v>
      </c>
      <c r="F218" s="15" t="s">
        <v>1407</v>
      </c>
      <c r="J218" s="19"/>
      <c r="Q218" s="19"/>
      <c r="R218" s="15">
        <v>30.545635000000001</v>
      </c>
      <c r="S218" s="15">
        <v>-81.464938000000004</v>
      </c>
      <c r="T218" s="15">
        <v>2</v>
      </c>
      <c r="U218" s="15" t="s">
        <v>1408</v>
      </c>
      <c r="Y218" s="19"/>
      <c r="AF218" s="19"/>
      <c r="AG218" s="17"/>
      <c r="AV218" s="17"/>
      <c r="BK218" s="17"/>
      <c r="BZ218" s="17"/>
      <c r="CO218" s="17"/>
      <c r="DD218" s="17"/>
      <c r="DE218" s="17"/>
      <c r="DS218" s="17"/>
      <c r="DT218" s="17"/>
      <c r="EH218" s="17"/>
      <c r="EI218" s="17"/>
      <c r="EW218" s="17"/>
      <c r="EX218" s="17"/>
      <c r="FL218" s="17"/>
      <c r="FM218" s="17"/>
      <c r="GA218" s="17"/>
      <c r="GB218" s="17"/>
      <c r="GP218" s="17"/>
      <c r="GQ218" s="17"/>
      <c r="HE218" s="17"/>
      <c r="HF218" s="17"/>
      <c r="HT218" s="17"/>
      <c r="HU218" s="17"/>
      <c r="II218" s="42"/>
      <c r="IJ218" s="42"/>
      <c r="IK218" s="42"/>
      <c r="IL218" s="42"/>
      <c r="IM218" s="42"/>
      <c r="IN218" s="42"/>
      <c r="IO218" s="42"/>
      <c r="IP218" s="42"/>
      <c r="IQ218" s="42"/>
      <c r="IR218" s="42"/>
      <c r="IS218" s="42"/>
      <c r="IT218" s="42"/>
      <c r="IU218" s="42"/>
      <c r="IV218" s="42"/>
      <c r="IW218" s="42"/>
      <c r="IX218" s="42"/>
      <c r="IY218" s="42"/>
      <c r="IZ218" s="42"/>
      <c r="JA218" s="42"/>
      <c r="JB218" s="42"/>
      <c r="JC218" s="42"/>
      <c r="JD218" s="42"/>
      <c r="JE218" s="42"/>
      <c r="JF218" s="42"/>
      <c r="JG218" s="42"/>
      <c r="JH218" s="42"/>
      <c r="JI218" s="42"/>
      <c r="JJ218" s="42"/>
      <c r="JK218" s="42"/>
      <c r="JL218" s="42"/>
      <c r="JM218" s="42"/>
      <c r="JN218" s="42"/>
      <c r="JO218" s="42"/>
      <c r="JP218" s="42"/>
      <c r="JQ218" s="42"/>
      <c r="JR218" s="42"/>
      <c r="JS218" s="42"/>
      <c r="JT218" s="42"/>
      <c r="JU218" s="42"/>
      <c r="JV218" s="42"/>
      <c r="JW218" s="42"/>
      <c r="JX218" s="42"/>
      <c r="JY218" s="42"/>
      <c r="JZ218" s="42"/>
      <c r="KA218" s="42"/>
    </row>
    <row r="219" spans="1:287">
      <c r="A219" s="13" t="s">
        <v>570</v>
      </c>
      <c r="B219" s="13" t="s">
        <v>566</v>
      </c>
      <c r="C219" s="15">
        <v>30.7027</v>
      </c>
      <c r="D219" s="15">
        <v>81.426100000000005</v>
      </c>
      <c r="H219" s="15">
        <v>57</v>
      </c>
      <c r="J219" s="19"/>
      <c r="Q219" s="19"/>
      <c r="R219" s="17"/>
      <c r="Y219" s="19"/>
      <c r="AF219" s="19"/>
      <c r="AG219" s="17"/>
      <c r="AV219" s="17"/>
      <c r="BK219" s="17"/>
      <c r="BZ219" s="17"/>
      <c r="CO219" s="17"/>
      <c r="DD219" s="17"/>
      <c r="DE219" s="17"/>
      <c r="DS219" s="17"/>
      <c r="DT219" s="17"/>
      <c r="EH219" s="17"/>
      <c r="EI219" s="17"/>
      <c r="EW219" s="17"/>
      <c r="EX219" s="17"/>
      <c r="FL219" s="17"/>
      <c r="FM219" s="17"/>
      <c r="GA219" s="17"/>
      <c r="GB219" s="17"/>
      <c r="GP219" s="17"/>
      <c r="GQ219" s="17"/>
      <c r="HE219" s="17"/>
      <c r="HF219" s="17"/>
      <c r="HT219" s="17"/>
      <c r="HU219" s="17"/>
      <c r="II219" s="42"/>
      <c r="IJ219" s="42"/>
      <c r="IK219" s="42"/>
      <c r="IL219" s="42"/>
      <c r="IM219" s="42"/>
      <c r="IN219" s="42"/>
      <c r="IO219" s="42"/>
      <c r="IP219" s="42"/>
      <c r="IQ219" s="42"/>
      <c r="IR219" s="42"/>
      <c r="IS219" s="42"/>
      <c r="IT219" s="42"/>
      <c r="IU219" s="42"/>
      <c r="IV219" s="42"/>
      <c r="IW219" s="42"/>
      <c r="IX219" s="42"/>
      <c r="IY219" s="42"/>
      <c r="IZ219" s="42"/>
      <c r="JA219" s="42"/>
      <c r="JB219" s="42"/>
      <c r="JC219" s="42"/>
      <c r="JD219" s="42"/>
      <c r="JE219" s="42"/>
      <c r="JF219" s="42"/>
      <c r="JG219" s="42"/>
      <c r="JH219" s="42"/>
      <c r="JI219" s="42"/>
      <c r="JJ219" s="42"/>
      <c r="JK219" s="42"/>
      <c r="JL219" s="42"/>
      <c r="JM219" s="42"/>
      <c r="JN219" s="42"/>
      <c r="JO219" s="42"/>
      <c r="JP219" s="42"/>
      <c r="JQ219" s="42"/>
      <c r="JR219" s="42"/>
      <c r="JS219" s="42"/>
      <c r="JT219" s="42"/>
      <c r="JU219" s="42"/>
      <c r="JV219" s="42"/>
      <c r="JW219" s="42"/>
      <c r="JX219" s="42"/>
      <c r="JY219" s="42"/>
      <c r="JZ219" s="42"/>
      <c r="KA219" s="42"/>
    </row>
    <row r="220" spans="1:287">
      <c r="A220" s="13" t="s">
        <v>574</v>
      </c>
      <c r="B220" s="13" t="s">
        <v>566</v>
      </c>
      <c r="C220" s="15">
        <v>30.700700000000001</v>
      </c>
      <c r="D220" s="15">
        <v>81.427800000000005</v>
      </c>
      <c r="G220" s="15">
        <v>46</v>
      </c>
      <c r="J220" s="19"/>
      <c r="Q220" s="19"/>
      <c r="R220" s="17"/>
      <c r="Y220" s="19"/>
      <c r="AF220" s="19"/>
      <c r="AG220" s="17"/>
      <c r="AV220" s="17"/>
      <c r="BK220" s="17"/>
      <c r="BZ220" s="17"/>
      <c r="CO220" s="17"/>
      <c r="DD220" s="17"/>
      <c r="DE220" s="17"/>
      <c r="DS220" s="17"/>
      <c r="DT220" s="17"/>
      <c r="EH220" s="17"/>
      <c r="EI220" s="17"/>
      <c r="EW220" s="17"/>
      <c r="EX220" s="17"/>
      <c r="FL220" s="17"/>
      <c r="FM220" s="17"/>
      <c r="GA220" s="17"/>
      <c r="GB220" s="17"/>
      <c r="GP220" s="17"/>
      <c r="GQ220" s="17"/>
      <c r="HE220" s="17"/>
      <c r="HF220" s="17"/>
      <c r="HT220" s="17"/>
      <c r="HU220" s="17"/>
      <c r="II220" s="42"/>
      <c r="IJ220" s="42"/>
      <c r="IK220" s="42"/>
      <c r="IL220" s="42"/>
      <c r="IM220" s="42"/>
      <c r="IN220" s="42"/>
      <c r="IO220" s="42"/>
      <c r="IP220" s="42"/>
      <c r="IQ220" s="42"/>
      <c r="IR220" s="42"/>
      <c r="IS220" s="42"/>
      <c r="IT220" s="42"/>
      <c r="IU220" s="42"/>
      <c r="IV220" s="42"/>
      <c r="IW220" s="42"/>
      <c r="IX220" s="42"/>
      <c r="IY220" s="42"/>
      <c r="IZ220" s="42"/>
      <c r="JA220" s="42"/>
      <c r="JB220" s="42"/>
      <c r="JC220" s="42"/>
      <c r="JD220" s="42"/>
      <c r="JE220" s="42"/>
      <c r="JF220" s="42"/>
      <c r="JG220" s="42"/>
      <c r="JH220" s="42"/>
      <c r="JI220" s="42"/>
      <c r="JJ220" s="42"/>
      <c r="JK220" s="42"/>
      <c r="JL220" s="42"/>
      <c r="JM220" s="42"/>
      <c r="JN220" s="42"/>
      <c r="JO220" s="42"/>
      <c r="JP220" s="42"/>
      <c r="JQ220" s="42"/>
      <c r="JR220" s="42"/>
      <c r="JS220" s="42"/>
      <c r="JT220" s="42"/>
      <c r="JU220" s="42"/>
      <c r="JV220" s="42"/>
      <c r="JW220" s="42"/>
      <c r="JX220" s="42"/>
      <c r="JY220" s="42"/>
      <c r="JZ220" s="42"/>
      <c r="KA220" s="42"/>
    </row>
    <row r="221" spans="1:287" ht="47.25">
      <c r="A221" s="29" t="s">
        <v>577</v>
      </c>
      <c r="B221" s="24" t="s">
        <v>578</v>
      </c>
      <c r="C221" s="17"/>
      <c r="J221" s="19"/>
      <c r="Q221" s="19"/>
      <c r="R221" s="17"/>
      <c r="Y221" s="19"/>
      <c r="AF221" s="19"/>
      <c r="AG221" s="17"/>
      <c r="AV221" s="17"/>
      <c r="BK221" s="17"/>
      <c r="BZ221" s="17"/>
      <c r="CO221" s="17"/>
      <c r="DD221" s="17"/>
      <c r="DE221" s="17"/>
      <c r="DS221" s="17"/>
      <c r="DT221" s="17"/>
      <c r="EH221" s="17"/>
      <c r="EI221" s="17"/>
      <c r="EW221" s="17"/>
      <c r="EX221" s="17"/>
      <c r="FL221" s="17"/>
      <c r="FM221" s="17"/>
      <c r="GA221" s="17"/>
      <c r="GB221" s="17"/>
      <c r="GP221" s="17"/>
      <c r="GQ221" s="17"/>
      <c r="HE221" s="17"/>
      <c r="HF221" s="17"/>
      <c r="HT221" s="17"/>
      <c r="HU221" s="17"/>
      <c r="II221" s="42"/>
      <c r="IJ221" s="42"/>
      <c r="IK221" s="42"/>
      <c r="IL221" s="42"/>
      <c r="IM221" s="42"/>
      <c r="IN221" s="42"/>
      <c r="IO221" s="42"/>
      <c r="IP221" s="42"/>
      <c r="IQ221" s="42"/>
      <c r="IR221" s="42"/>
      <c r="IS221" s="42"/>
      <c r="IT221" s="42"/>
      <c r="IU221" s="42"/>
      <c r="IV221" s="42"/>
      <c r="IW221" s="42"/>
      <c r="IX221" s="42"/>
      <c r="IY221" s="42"/>
      <c r="IZ221" s="42"/>
      <c r="JA221" s="42"/>
      <c r="JB221" s="42"/>
      <c r="JC221" s="42"/>
      <c r="JD221" s="42"/>
      <c r="JE221" s="42"/>
      <c r="JF221" s="42"/>
      <c r="JG221" s="42"/>
      <c r="JH221" s="42"/>
      <c r="JI221" s="42"/>
      <c r="JJ221" s="42"/>
      <c r="JK221" s="42"/>
      <c r="JL221" s="42"/>
      <c r="JM221" s="42"/>
      <c r="JN221" s="42"/>
      <c r="JO221" s="42"/>
      <c r="JP221" s="42"/>
      <c r="JQ221" s="42"/>
      <c r="JR221" s="42"/>
      <c r="JS221" s="42"/>
      <c r="JT221" s="42"/>
      <c r="JU221" s="42"/>
      <c r="JV221" s="42"/>
      <c r="JW221" s="42"/>
      <c r="JX221" s="42"/>
      <c r="JY221" s="42"/>
      <c r="JZ221" s="42"/>
      <c r="KA221" s="42"/>
    </row>
    <row r="222" spans="1:287" ht="39">
      <c r="A222" s="13" t="s">
        <v>579</v>
      </c>
      <c r="B222" s="13" t="s">
        <v>580</v>
      </c>
      <c r="C222" s="15">
        <v>30.39686</v>
      </c>
      <c r="D222" s="15">
        <v>-86.638710000000003</v>
      </c>
      <c r="E222" s="15">
        <v>0</v>
      </c>
      <c r="G222" s="15">
        <v>0</v>
      </c>
      <c r="I222" s="15">
        <v>0</v>
      </c>
      <c r="J222" s="19"/>
      <c r="K222" s="15">
        <v>0</v>
      </c>
      <c r="M222" s="15">
        <v>8</v>
      </c>
      <c r="N222" s="15" t="s">
        <v>1409</v>
      </c>
      <c r="O222" s="15">
        <v>0</v>
      </c>
      <c r="Q222" s="18" t="s">
        <v>1410</v>
      </c>
      <c r="R222" s="15">
        <v>30.39659</v>
      </c>
      <c r="S222" s="15">
        <v>-86.661929999999998</v>
      </c>
      <c r="T222" s="15">
        <v>0</v>
      </c>
      <c r="V222" s="15">
        <v>0</v>
      </c>
      <c r="X222" s="15">
        <v>0</v>
      </c>
      <c r="Y222" s="19"/>
      <c r="Z222" s="15">
        <v>0</v>
      </c>
      <c r="AB222" s="15">
        <v>1</v>
      </c>
      <c r="AD222" s="15">
        <v>0</v>
      </c>
      <c r="AF222" s="18" t="s">
        <v>1411</v>
      </c>
      <c r="AG222" s="15">
        <v>30.396090000000001</v>
      </c>
      <c r="AH222" s="15">
        <v>-86.675839999999994</v>
      </c>
      <c r="AI222" s="15">
        <v>0</v>
      </c>
      <c r="AK222" s="15">
        <v>0</v>
      </c>
      <c r="AM222" s="15">
        <v>0</v>
      </c>
      <c r="AO222" s="15">
        <v>0</v>
      </c>
      <c r="AQ222" s="15">
        <v>2</v>
      </c>
      <c r="AR222" s="15" t="s">
        <v>1412</v>
      </c>
      <c r="AS222" s="15">
        <v>0</v>
      </c>
      <c r="AU222" s="15" t="s">
        <v>1413</v>
      </c>
      <c r="AV222" s="15">
        <v>30.39425</v>
      </c>
      <c r="AW222" s="15">
        <v>-86.720209999999994</v>
      </c>
      <c r="AX222" s="15">
        <v>0</v>
      </c>
      <c r="AZ222" s="15">
        <v>0</v>
      </c>
      <c r="BB222" s="15">
        <v>0</v>
      </c>
      <c r="BD222" s="15">
        <v>0</v>
      </c>
      <c r="BF222" s="15">
        <v>11</v>
      </c>
      <c r="BG222" s="15" t="s">
        <v>1414</v>
      </c>
      <c r="BH222" s="15">
        <v>0</v>
      </c>
      <c r="BJ222" s="15" t="s">
        <v>1415</v>
      </c>
      <c r="BK222" s="15">
        <v>30.393360000000001</v>
      </c>
      <c r="BL222" s="15">
        <v>-86.734870000000001</v>
      </c>
      <c r="BM222" s="15">
        <v>0</v>
      </c>
      <c r="BO222" s="15">
        <v>0</v>
      </c>
      <c r="BQ222" s="15">
        <v>0</v>
      </c>
      <c r="BS222" s="15">
        <v>0</v>
      </c>
      <c r="BU222" s="15">
        <v>2</v>
      </c>
      <c r="BW222" s="15">
        <v>0</v>
      </c>
      <c r="BY222" s="15" t="s">
        <v>1416</v>
      </c>
      <c r="BZ222" s="15">
        <v>30.39142</v>
      </c>
      <c r="CA222" s="15">
        <v>-86.758920000000003</v>
      </c>
      <c r="CB222" s="15">
        <v>0</v>
      </c>
      <c r="CD222" s="15">
        <v>0</v>
      </c>
      <c r="CF222" s="15">
        <v>0</v>
      </c>
      <c r="CH222" s="15">
        <v>0</v>
      </c>
      <c r="CJ222" s="15">
        <v>1</v>
      </c>
      <c r="CL222" s="15">
        <v>0</v>
      </c>
      <c r="CN222" s="15" t="s">
        <v>1417</v>
      </c>
      <c r="CO222" s="15">
        <v>30.390160000000002</v>
      </c>
      <c r="CP222" s="15">
        <v>-86.771460000000005</v>
      </c>
      <c r="CQ222" s="15">
        <v>0</v>
      </c>
      <c r="CS222" s="15">
        <v>0</v>
      </c>
      <c r="CU222" s="15">
        <v>0</v>
      </c>
      <c r="CW222" s="15">
        <v>0</v>
      </c>
      <c r="CY222" s="15">
        <v>1</v>
      </c>
      <c r="CZ222" s="15" t="s">
        <v>1418</v>
      </c>
      <c r="DA222" s="15">
        <v>0</v>
      </c>
      <c r="DD222" s="15">
        <v>30.384150000000002</v>
      </c>
      <c r="DE222" s="15">
        <v>-86.826189999999997</v>
      </c>
      <c r="DF222" s="15">
        <v>0</v>
      </c>
      <c r="DH222" s="15">
        <v>0</v>
      </c>
      <c r="DJ222" s="15">
        <v>0</v>
      </c>
      <c r="DL222" s="15">
        <v>0</v>
      </c>
      <c r="DN222" s="15">
        <v>8</v>
      </c>
      <c r="DO222" s="15" t="s">
        <v>1419</v>
      </c>
      <c r="DP222" s="15">
        <v>0</v>
      </c>
      <c r="DR222" s="15" t="s">
        <v>1420</v>
      </c>
      <c r="DS222" s="17"/>
      <c r="DT222" s="17"/>
      <c r="EH222" s="17"/>
      <c r="EI222" s="17"/>
      <c r="EW222" s="17"/>
      <c r="EX222" s="17"/>
      <c r="FL222" s="17"/>
      <c r="FM222" s="17"/>
      <c r="GA222" s="17"/>
      <c r="GB222" s="17"/>
      <c r="GP222" s="17"/>
      <c r="GQ222" s="17"/>
      <c r="HE222" s="17"/>
      <c r="HF222" s="17"/>
      <c r="HT222" s="17"/>
      <c r="HU222" s="17"/>
      <c r="II222" s="42"/>
      <c r="IJ222" s="42"/>
      <c r="IK222" s="42"/>
      <c r="IL222" s="42"/>
      <c r="IM222" s="42"/>
      <c r="IN222" s="42"/>
      <c r="IO222" s="42"/>
      <c r="IP222" s="42"/>
      <c r="IQ222" s="42"/>
      <c r="IR222" s="42"/>
      <c r="IS222" s="42"/>
      <c r="IT222" s="42"/>
      <c r="IU222" s="42"/>
      <c r="IV222" s="42"/>
      <c r="IW222" s="42"/>
      <c r="IX222" s="42"/>
      <c r="IY222" s="42"/>
      <c r="IZ222" s="42"/>
      <c r="JA222" s="42"/>
      <c r="JB222" s="42"/>
      <c r="JC222" s="42"/>
      <c r="JD222" s="42"/>
      <c r="JE222" s="42"/>
      <c r="JF222" s="42"/>
      <c r="JG222" s="42"/>
      <c r="JH222" s="42"/>
      <c r="JI222" s="42"/>
      <c r="JJ222" s="42"/>
      <c r="JK222" s="42"/>
      <c r="JL222" s="42"/>
      <c r="JM222" s="42"/>
      <c r="JN222" s="42"/>
      <c r="JO222" s="42"/>
      <c r="JP222" s="42"/>
      <c r="JQ222" s="42"/>
      <c r="JR222" s="42"/>
      <c r="JS222" s="42"/>
      <c r="JT222" s="42"/>
      <c r="JU222" s="42"/>
      <c r="JV222" s="42"/>
      <c r="JW222" s="42"/>
      <c r="JX222" s="42"/>
      <c r="JY222" s="42"/>
      <c r="JZ222" s="42"/>
      <c r="KA222" s="42"/>
    </row>
    <row r="223" spans="1:287" ht="128.25">
      <c r="A223" s="13" t="s">
        <v>583</v>
      </c>
      <c r="B223" s="13" t="s">
        <v>580</v>
      </c>
      <c r="C223" s="15">
        <v>30.389700000000001</v>
      </c>
      <c r="D223" s="15">
        <v>-86.551649999999995</v>
      </c>
      <c r="J223" s="19"/>
      <c r="M223" s="15">
        <v>12</v>
      </c>
      <c r="N223" s="15" t="s">
        <v>1421</v>
      </c>
      <c r="Q223" s="19"/>
      <c r="R223" s="15">
        <v>30.385629999999999</v>
      </c>
      <c r="S223" s="15">
        <v>-86.515219999999999</v>
      </c>
      <c r="Y223" s="19"/>
      <c r="AF223" s="18" t="s">
        <v>1422</v>
      </c>
      <c r="AG223" s="17"/>
      <c r="AV223" s="17"/>
      <c r="BK223" s="17"/>
      <c r="BZ223" s="17"/>
      <c r="CO223" s="17"/>
      <c r="DD223" s="17"/>
      <c r="DE223" s="17"/>
      <c r="DS223" s="17"/>
      <c r="DT223" s="17"/>
      <c r="EH223" s="17"/>
      <c r="EI223" s="17"/>
      <c r="EW223" s="17"/>
      <c r="EX223" s="17"/>
      <c r="FL223" s="17"/>
      <c r="FM223" s="17"/>
      <c r="GA223" s="17"/>
      <c r="GB223" s="17"/>
      <c r="GP223" s="17"/>
      <c r="GQ223" s="17"/>
      <c r="HE223" s="17"/>
      <c r="HF223" s="17"/>
      <c r="HT223" s="17"/>
      <c r="HU223" s="17"/>
      <c r="II223" s="42"/>
      <c r="IJ223" s="42"/>
      <c r="IK223" s="42"/>
      <c r="IL223" s="42"/>
      <c r="IM223" s="42"/>
      <c r="IN223" s="42"/>
      <c r="IO223" s="42"/>
      <c r="IP223" s="42"/>
      <c r="IQ223" s="42"/>
      <c r="IR223" s="42"/>
      <c r="IS223" s="42"/>
      <c r="IT223" s="42"/>
      <c r="IU223" s="42"/>
      <c r="IV223" s="42"/>
      <c r="IW223" s="42"/>
      <c r="IX223" s="42"/>
      <c r="IY223" s="42"/>
      <c r="IZ223" s="42"/>
      <c r="JA223" s="42"/>
      <c r="JB223" s="42"/>
      <c r="JC223" s="42"/>
      <c r="JD223" s="42"/>
      <c r="JE223" s="42"/>
      <c r="JF223" s="42"/>
      <c r="JG223" s="42"/>
      <c r="JH223" s="42"/>
      <c r="JI223" s="42"/>
      <c r="JJ223" s="42"/>
      <c r="JK223" s="42"/>
      <c r="JL223" s="42"/>
      <c r="JM223" s="42"/>
      <c r="JN223" s="42"/>
      <c r="JO223" s="42"/>
      <c r="JP223" s="42"/>
      <c r="JQ223" s="42"/>
      <c r="JR223" s="42"/>
      <c r="JS223" s="42"/>
      <c r="JT223" s="42"/>
      <c r="JU223" s="42"/>
      <c r="JV223" s="42"/>
      <c r="JW223" s="42"/>
      <c r="JX223" s="42"/>
      <c r="JY223" s="42"/>
      <c r="JZ223" s="42"/>
      <c r="KA223" s="42"/>
    </row>
    <row r="224" spans="1:287" ht="26.25">
      <c r="A224" s="13" t="s">
        <v>586</v>
      </c>
      <c r="B224" s="13" t="s">
        <v>580</v>
      </c>
      <c r="C224" s="15">
        <v>30.38721</v>
      </c>
      <c r="D224" s="15">
        <v>-86.836820000000003</v>
      </c>
      <c r="I224" s="15">
        <v>1</v>
      </c>
      <c r="J224" s="18" t="s">
        <v>1423</v>
      </c>
      <c r="Q224" s="18"/>
      <c r="R224" s="17"/>
      <c r="Y224" s="19"/>
      <c r="AF224" s="19"/>
      <c r="AG224" s="17"/>
      <c r="AV224" s="17"/>
      <c r="BK224" s="17"/>
      <c r="BZ224" s="17"/>
      <c r="CO224" s="17"/>
      <c r="DD224" s="17"/>
      <c r="DE224" s="17"/>
      <c r="DS224" s="17"/>
      <c r="DT224" s="17"/>
      <c r="EH224" s="17"/>
      <c r="EI224" s="17"/>
      <c r="EW224" s="17"/>
      <c r="EX224" s="17"/>
      <c r="FL224" s="17"/>
      <c r="FM224" s="17"/>
      <c r="GA224" s="17"/>
      <c r="GB224" s="17"/>
      <c r="GP224" s="17"/>
      <c r="GQ224" s="17"/>
      <c r="HE224" s="17"/>
      <c r="HF224" s="17"/>
      <c r="HT224" s="17"/>
      <c r="HU224" s="17"/>
      <c r="II224" s="42"/>
      <c r="IJ224" s="42"/>
      <c r="IK224" s="42"/>
      <c r="IL224" s="42"/>
      <c r="IM224" s="42"/>
      <c r="IN224" s="42"/>
      <c r="IO224" s="42"/>
      <c r="IP224" s="42"/>
      <c r="IQ224" s="42"/>
      <c r="IR224" s="42"/>
      <c r="IS224" s="42"/>
      <c r="IT224" s="42"/>
      <c r="IU224" s="42"/>
      <c r="IV224" s="42"/>
      <c r="IW224" s="42"/>
      <c r="IX224" s="42"/>
      <c r="IY224" s="42"/>
      <c r="IZ224" s="42"/>
      <c r="JA224" s="42"/>
      <c r="JB224" s="42"/>
      <c r="JC224" s="42"/>
      <c r="JD224" s="42"/>
      <c r="JE224" s="42"/>
      <c r="JF224" s="42"/>
      <c r="JG224" s="42"/>
      <c r="JH224" s="42"/>
      <c r="JI224" s="42"/>
      <c r="JJ224" s="42"/>
      <c r="JK224" s="42"/>
      <c r="JL224" s="42"/>
      <c r="JM224" s="42"/>
      <c r="JN224" s="42"/>
      <c r="JO224" s="42"/>
      <c r="JP224" s="42"/>
      <c r="JQ224" s="42"/>
      <c r="JR224" s="42"/>
      <c r="JS224" s="42"/>
      <c r="JT224" s="42"/>
      <c r="JU224" s="42"/>
      <c r="JV224" s="42"/>
      <c r="JW224" s="42"/>
      <c r="JX224" s="42"/>
      <c r="JY224" s="42"/>
      <c r="JZ224" s="42"/>
      <c r="KA224" s="42"/>
    </row>
    <row r="225" spans="1:287">
      <c r="A225" s="13" t="s">
        <v>587</v>
      </c>
      <c r="B225" s="13" t="s">
        <v>580</v>
      </c>
      <c r="C225" s="17"/>
      <c r="J225" s="19"/>
      <c r="Q225" s="19"/>
      <c r="R225" s="17"/>
      <c r="Y225" s="19"/>
      <c r="AF225" s="19"/>
      <c r="AG225" s="17"/>
      <c r="AV225" s="17"/>
      <c r="BK225" s="17"/>
      <c r="BZ225" s="17"/>
      <c r="CO225" s="17"/>
      <c r="DD225" s="17"/>
      <c r="DE225" s="17"/>
      <c r="DS225" s="17"/>
      <c r="DT225" s="17"/>
      <c r="EH225" s="17"/>
      <c r="EI225" s="17"/>
      <c r="EW225" s="17"/>
      <c r="EX225" s="17"/>
      <c r="FL225" s="17"/>
      <c r="FM225" s="17"/>
      <c r="GA225" s="17"/>
      <c r="GB225" s="17"/>
      <c r="GP225" s="17"/>
      <c r="GQ225" s="17"/>
      <c r="HE225" s="17"/>
      <c r="HF225" s="17"/>
      <c r="HT225" s="17"/>
      <c r="HU225" s="17"/>
      <c r="II225" s="42"/>
      <c r="IJ225" s="42"/>
      <c r="IK225" s="42"/>
      <c r="IL225" s="42"/>
      <c r="IM225" s="42"/>
      <c r="IN225" s="42"/>
      <c r="IO225" s="42"/>
      <c r="IP225" s="42"/>
      <c r="IQ225" s="42"/>
      <c r="IR225" s="42"/>
      <c r="IS225" s="42"/>
      <c r="IT225" s="42"/>
      <c r="IU225" s="42"/>
      <c r="IV225" s="42"/>
      <c r="IW225" s="42"/>
      <c r="IX225" s="42"/>
      <c r="IY225" s="42"/>
      <c r="IZ225" s="42"/>
      <c r="JA225" s="42"/>
      <c r="JB225" s="42"/>
      <c r="JC225" s="42"/>
      <c r="JD225" s="42"/>
      <c r="JE225" s="42"/>
      <c r="JF225" s="42"/>
      <c r="JG225" s="42"/>
      <c r="JH225" s="42"/>
      <c r="JI225" s="42"/>
      <c r="JJ225" s="42"/>
      <c r="JK225" s="42"/>
      <c r="JL225" s="42"/>
      <c r="JM225" s="42"/>
      <c r="JN225" s="42"/>
      <c r="JO225" s="42"/>
      <c r="JP225" s="42"/>
      <c r="JQ225" s="42"/>
      <c r="JR225" s="42"/>
      <c r="JS225" s="42"/>
      <c r="JT225" s="42"/>
      <c r="JU225" s="42"/>
      <c r="JV225" s="42"/>
      <c r="JW225" s="42"/>
      <c r="JX225" s="42"/>
      <c r="JY225" s="42"/>
      <c r="JZ225" s="42"/>
      <c r="KA225" s="42"/>
    </row>
    <row r="226" spans="1:287">
      <c r="A226" s="56" t="s">
        <v>588</v>
      </c>
      <c r="B226" s="13" t="s">
        <v>589</v>
      </c>
      <c r="C226" s="15">
        <v>27.194722200000001</v>
      </c>
      <c r="D226" s="15">
        <v>80.832222000000002</v>
      </c>
      <c r="G226" s="15">
        <v>255</v>
      </c>
      <c r="J226" s="19"/>
      <c r="Q226" s="19"/>
      <c r="R226" s="17"/>
      <c r="Y226" s="19"/>
      <c r="AF226" s="19"/>
      <c r="AV226" s="17"/>
      <c r="BK226" s="17"/>
      <c r="BZ226" s="17"/>
      <c r="CO226" s="17"/>
      <c r="DD226" s="17"/>
      <c r="DE226" s="17"/>
      <c r="DS226" s="17"/>
      <c r="DT226" s="17"/>
      <c r="EH226" s="17"/>
      <c r="EI226" s="17"/>
      <c r="EW226" s="17"/>
      <c r="EX226" s="17"/>
      <c r="FL226" s="17"/>
      <c r="FM226" s="17"/>
      <c r="GA226" s="17"/>
      <c r="GB226" s="17"/>
      <c r="GP226" s="17"/>
      <c r="GQ226" s="17"/>
      <c r="HE226" s="17"/>
      <c r="HF226" s="17"/>
      <c r="HT226" s="17"/>
      <c r="HU226" s="17"/>
      <c r="II226" s="42"/>
      <c r="IJ226" s="42"/>
      <c r="IK226" s="42"/>
      <c r="IL226" s="42"/>
      <c r="IM226" s="42"/>
      <c r="IN226" s="42"/>
      <c r="IO226" s="42"/>
      <c r="IP226" s="42"/>
      <c r="IQ226" s="42"/>
      <c r="IR226" s="42"/>
      <c r="IS226" s="42"/>
      <c r="IT226" s="42"/>
      <c r="IU226" s="42"/>
      <c r="IV226" s="42"/>
      <c r="IW226" s="42"/>
      <c r="IX226" s="42"/>
      <c r="IY226" s="42"/>
      <c r="IZ226" s="42"/>
      <c r="JA226" s="42"/>
      <c r="JB226" s="42"/>
      <c r="JC226" s="42"/>
      <c r="JD226" s="42"/>
      <c r="JE226" s="42"/>
      <c r="JF226" s="42"/>
      <c r="JG226" s="42"/>
      <c r="JH226" s="42"/>
      <c r="JI226" s="42"/>
      <c r="JJ226" s="42"/>
      <c r="JK226" s="42"/>
      <c r="JL226" s="42"/>
      <c r="JM226" s="42"/>
      <c r="JN226" s="42"/>
      <c r="JO226" s="42"/>
      <c r="JP226" s="42"/>
      <c r="JQ226" s="42"/>
      <c r="JR226" s="42"/>
      <c r="JS226" s="42"/>
      <c r="JT226" s="42"/>
      <c r="JU226" s="42"/>
      <c r="JV226" s="42"/>
      <c r="JW226" s="42"/>
      <c r="JX226" s="42"/>
      <c r="JY226" s="42"/>
      <c r="JZ226" s="42"/>
      <c r="KA226" s="42"/>
    </row>
    <row r="227" spans="1:287" ht="47.25">
      <c r="A227" s="13" t="s">
        <v>591</v>
      </c>
      <c r="B227" s="13" t="s">
        <v>589</v>
      </c>
      <c r="C227" s="17"/>
      <c r="J227" s="19"/>
      <c r="Q227" s="19"/>
      <c r="R227" s="17"/>
      <c r="Y227" s="19"/>
      <c r="AF227" s="19"/>
      <c r="AG227" s="17"/>
      <c r="AV227" s="17"/>
      <c r="BK227" s="17"/>
      <c r="BZ227" s="17"/>
      <c r="CO227" s="17"/>
      <c r="DD227" s="17"/>
      <c r="DE227" s="17"/>
      <c r="DS227" s="17"/>
      <c r="DT227" s="17"/>
      <c r="EH227" s="17"/>
      <c r="EI227" s="17"/>
      <c r="EW227" s="17"/>
      <c r="EX227" s="17"/>
      <c r="FL227" s="17"/>
      <c r="FM227" s="17"/>
      <c r="GA227" s="17"/>
      <c r="GB227" s="17"/>
      <c r="GP227" s="17"/>
      <c r="GQ227" s="17"/>
      <c r="HE227" s="17"/>
      <c r="HF227" s="17"/>
      <c r="HT227" s="17"/>
      <c r="HU227" s="17"/>
      <c r="II227" s="42"/>
      <c r="IJ227" s="42"/>
      <c r="IK227" s="42"/>
      <c r="IL227" s="42"/>
      <c r="IM227" s="42"/>
      <c r="IN227" s="42"/>
      <c r="IO227" s="42"/>
      <c r="IP227" s="42"/>
      <c r="IQ227" s="42"/>
      <c r="IR227" s="42"/>
      <c r="IS227" s="42"/>
      <c r="IT227" s="42"/>
      <c r="IU227" s="42"/>
      <c r="IV227" s="42"/>
      <c r="IW227" s="42"/>
      <c r="IX227" s="42"/>
      <c r="IY227" s="42"/>
      <c r="IZ227" s="42"/>
      <c r="JA227" s="42"/>
      <c r="JB227" s="42"/>
      <c r="JC227" s="42"/>
      <c r="JD227" s="42"/>
      <c r="JE227" s="42"/>
      <c r="JF227" s="42"/>
      <c r="JG227" s="42"/>
      <c r="JH227" s="42"/>
      <c r="JI227" s="42"/>
      <c r="JJ227" s="42"/>
      <c r="JK227" s="42"/>
      <c r="JL227" s="42"/>
      <c r="JM227" s="42"/>
      <c r="JN227" s="42"/>
      <c r="JO227" s="42"/>
      <c r="JP227" s="42"/>
      <c r="JQ227" s="42"/>
      <c r="JR227" s="42"/>
      <c r="JS227" s="42"/>
      <c r="JT227" s="42"/>
      <c r="JU227" s="42"/>
      <c r="JV227" s="42"/>
      <c r="JW227" s="42"/>
      <c r="JX227" s="42"/>
      <c r="JY227" s="42"/>
      <c r="JZ227" s="42"/>
      <c r="KA227" s="42"/>
    </row>
    <row r="228" spans="1:287" ht="31.5">
      <c r="A228" s="13" t="s">
        <v>592</v>
      </c>
      <c r="B228" s="13" t="s">
        <v>589</v>
      </c>
      <c r="C228" s="17"/>
      <c r="J228" s="19"/>
      <c r="Q228" s="19"/>
      <c r="R228" s="17"/>
      <c r="Y228" s="19"/>
      <c r="AF228" s="19"/>
      <c r="AG228" s="17"/>
      <c r="AV228" s="17"/>
      <c r="BK228" s="17"/>
      <c r="BZ228" s="17"/>
      <c r="CO228" s="17"/>
      <c r="DD228" s="17"/>
      <c r="DE228" s="17"/>
      <c r="DS228" s="17"/>
      <c r="DT228" s="17"/>
      <c r="EH228" s="17"/>
      <c r="EI228" s="17"/>
      <c r="EW228" s="17"/>
      <c r="EX228" s="17"/>
      <c r="FL228" s="17"/>
      <c r="FM228" s="17"/>
      <c r="GA228" s="17"/>
      <c r="GB228" s="17"/>
      <c r="GP228" s="17"/>
      <c r="GQ228" s="17"/>
      <c r="HE228" s="17"/>
      <c r="HF228" s="17"/>
      <c r="HT228" s="17"/>
      <c r="HU228" s="17"/>
      <c r="II228" s="42"/>
      <c r="IJ228" s="42"/>
      <c r="IK228" s="42"/>
      <c r="IL228" s="42"/>
      <c r="IM228" s="42"/>
      <c r="IN228" s="42"/>
      <c r="IO228" s="42"/>
      <c r="IP228" s="42"/>
      <c r="IQ228" s="42"/>
      <c r="IR228" s="42"/>
      <c r="IS228" s="42"/>
      <c r="IT228" s="42"/>
      <c r="IU228" s="42"/>
      <c r="IV228" s="42"/>
      <c r="IW228" s="42"/>
      <c r="IX228" s="42"/>
      <c r="IY228" s="42"/>
      <c r="IZ228" s="42"/>
      <c r="JA228" s="42"/>
      <c r="JB228" s="42"/>
      <c r="JC228" s="42"/>
      <c r="JD228" s="42"/>
      <c r="JE228" s="42"/>
      <c r="JF228" s="42"/>
      <c r="JG228" s="42"/>
      <c r="JH228" s="42"/>
      <c r="JI228" s="42"/>
      <c r="JJ228" s="42"/>
      <c r="JK228" s="42"/>
      <c r="JL228" s="42"/>
      <c r="JM228" s="42"/>
      <c r="JN228" s="42"/>
      <c r="JO228" s="42"/>
      <c r="JP228" s="42"/>
      <c r="JQ228" s="42"/>
      <c r="JR228" s="42"/>
      <c r="JS228" s="42"/>
      <c r="JT228" s="42"/>
      <c r="JU228" s="42"/>
      <c r="JV228" s="42"/>
      <c r="JW228" s="42"/>
      <c r="JX228" s="42"/>
      <c r="JY228" s="42"/>
      <c r="JZ228" s="42"/>
      <c r="KA228" s="42"/>
    </row>
    <row r="229" spans="1:287">
      <c r="A229" s="13" t="s">
        <v>593</v>
      </c>
      <c r="B229" s="13" t="s">
        <v>589</v>
      </c>
      <c r="C229" s="17"/>
      <c r="J229" s="19"/>
      <c r="Q229" s="19"/>
      <c r="R229" s="17"/>
      <c r="Y229" s="19"/>
      <c r="AF229" s="19"/>
      <c r="AG229" s="17"/>
      <c r="AV229" s="17"/>
      <c r="BK229" s="17"/>
      <c r="BZ229" s="17"/>
      <c r="CO229" s="17"/>
      <c r="DD229" s="17"/>
      <c r="DE229" s="17"/>
      <c r="DS229" s="17"/>
      <c r="DT229" s="17"/>
      <c r="EH229" s="17"/>
      <c r="EI229" s="17"/>
      <c r="EW229" s="17"/>
      <c r="EX229" s="17"/>
      <c r="FL229" s="17"/>
      <c r="FM229" s="17"/>
      <c r="GA229" s="17"/>
      <c r="GB229" s="17"/>
      <c r="GP229" s="17"/>
      <c r="GQ229" s="17"/>
      <c r="HE229" s="17"/>
      <c r="HF229" s="17"/>
      <c r="HT229" s="17"/>
      <c r="HU229" s="17"/>
      <c r="II229" s="42"/>
      <c r="IJ229" s="42"/>
      <c r="IK229" s="42"/>
      <c r="IL229" s="42"/>
      <c r="IM229" s="42"/>
      <c r="IN229" s="42"/>
      <c r="IO229" s="42"/>
      <c r="IP229" s="42"/>
      <c r="IQ229" s="42"/>
      <c r="IR229" s="42"/>
      <c r="IS229" s="42"/>
      <c r="IT229" s="42"/>
      <c r="IU229" s="42"/>
      <c r="IV229" s="42"/>
      <c r="IW229" s="42"/>
      <c r="IX229" s="42"/>
      <c r="IY229" s="42"/>
      <c r="IZ229" s="42"/>
      <c r="JA229" s="42"/>
      <c r="JB229" s="42"/>
      <c r="JC229" s="42"/>
      <c r="JD229" s="42"/>
      <c r="JE229" s="42"/>
      <c r="JF229" s="42"/>
      <c r="JG229" s="42"/>
      <c r="JH229" s="42"/>
      <c r="JI229" s="42"/>
      <c r="JJ229" s="42"/>
      <c r="JK229" s="42"/>
      <c r="JL229" s="42"/>
      <c r="JM229" s="42"/>
      <c r="JN229" s="42"/>
      <c r="JO229" s="42"/>
      <c r="JP229" s="42"/>
      <c r="JQ229" s="42"/>
      <c r="JR229" s="42"/>
      <c r="JS229" s="42"/>
      <c r="JT229" s="42"/>
      <c r="JU229" s="42"/>
      <c r="JV229" s="42"/>
      <c r="JW229" s="42"/>
      <c r="JX229" s="42"/>
      <c r="JY229" s="42"/>
      <c r="JZ229" s="42"/>
      <c r="KA229" s="42"/>
    </row>
    <row r="230" spans="1:287">
      <c r="A230" s="13" t="s">
        <v>594</v>
      </c>
      <c r="B230" s="13" t="s">
        <v>589</v>
      </c>
      <c r="C230" s="17"/>
      <c r="J230" s="19"/>
      <c r="Q230" s="19"/>
      <c r="R230" s="17"/>
      <c r="Y230" s="19"/>
      <c r="AF230" s="19"/>
      <c r="AG230" s="17"/>
      <c r="AV230" s="17"/>
      <c r="BK230" s="17"/>
      <c r="BZ230" s="17"/>
      <c r="CO230" s="17"/>
      <c r="DD230" s="17"/>
      <c r="DE230" s="17"/>
      <c r="DS230" s="17"/>
      <c r="DT230" s="17"/>
      <c r="EH230" s="17"/>
      <c r="EI230" s="17"/>
      <c r="EW230" s="17"/>
      <c r="EX230" s="17"/>
      <c r="FL230" s="17"/>
      <c r="FM230" s="17"/>
      <c r="GA230" s="17"/>
      <c r="GB230" s="17"/>
      <c r="GP230" s="17"/>
      <c r="GQ230" s="17"/>
      <c r="HE230" s="17"/>
      <c r="HF230" s="17"/>
      <c r="HT230" s="17"/>
      <c r="HU230" s="17"/>
      <c r="II230" s="42"/>
      <c r="IJ230" s="42"/>
      <c r="IK230" s="42"/>
      <c r="IL230" s="42"/>
      <c r="IM230" s="42"/>
      <c r="IN230" s="42"/>
      <c r="IO230" s="42"/>
      <c r="IP230" s="42"/>
      <c r="IQ230" s="42"/>
      <c r="IR230" s="42"/>
      <c r="IS230" s="42"/>
      <c r="IT230" s="42"/>
      <c r="IU230" s="42"/>
      <c r="IV230" s="42"/>
      <c r="IW230" s="42"/>
      <c r="IX230" s="42"/>
      <c r="IY230" s="42"/>
      <c r="IZ230" s="42"/>
      <c r="JA230" s="42"/>
      <c r="JB230" s="42"/>
      <c r="JC230" s="42"/>
      <c r="JD230" s="42"/>
      <c r="JE230" s="42"/>
      <c r="JF230" s="42"/>
      <c r="JG230" s="42"/>
      <c r="JH230" s="42"/>
      <c r="JI230" s="42"/>
      <c r="JJ230" s="42"/>
      <c r="JK230" s="42"/>
      <c r="JL230" s="42"/>
      <c r="JM230" s="42"/>
      <c r="JN230" s="42"/>
      <c r="JO230" s="42"/>
      <c r="JP230" s="42"/>
      <c r="JQ230" s="42"/>
      <c r="JR230" s="42"/>
      <c r="JS230" s="42"/>
      <c r="JT230" s="42"/>
      <c r="JU230" s="42"/>
      <c r="JV230" s="42"/>
      <c r="JW230" s="42"/>
      <c r="JX230" s="42"/>
      <c r="JY230" s="42"/>
      <c r="JZ230" s="42"/>
      <c r="KA230" s="42"/>
    </row>
    <row r="231" spans="1:287">
      <c r="A231" s="13" t="s">
        <v>595</v>
      </c>
      <c r="B231" s="13" t="s">
        <v>596</v>
      </c>
      <c r="C231" s="17"/>
      <c r="J231" s="19"/>
      <c r="Q231" s="19"/>
      <c r="R231" s="17"/>
      <c r="Y231" s="19"/>
      <c r="AF231" s="19"/>
      <c r="AG231" s="17"/>
      <c r="AV231" s="17"/>
      <c r="BK231" s="17"/>
      <c r="BZ231" s="17"/>
      <c r="CO231" s="17"/>
      <c r="DD231" s="17"/>
      <c r="DE231" s="17"/>
      <c r="DS231" s="17"/>
      <c r="DT231" s="17"/>
      <c r="EH231" s="17"/>
      <c r="EI231" s="17"/>
      <c r="EW231" s="17"/>
      <c r="EX231" s="17"/>
      <c r="FL231" s="17"/>
      <c r="FM231" s="17"/>
      <c r="GA231" s="17"/>
      <c r="GB231" s="17"/>
      <c r="GP231" s="17"/>
      <c r="GQ231" s="17"/>
      <c r="HE231" s="17"/>
      <c r="HF231" s="17"/>
      <c r="HT231" s="17"/>
      <c r="HU231" s="17"/>
      <c r="II231" s="42"/>
      <c r="IJ231" s="42"/>
      <c r="IK231" s="42"/>
      <c r="IL231" s="42"/>
      <c r="IM231" s="42"/>
      <c r="IN231" s="42"/>
      <c r="IO231" s="42"/>
      <c r="IP231" s="42"/>
      <c r="IQ231" s="42"/>
      <c r="IR231" s="42"/>
      <c r="IS231" s="42"/>
      <c r="IT231" s="42"/>
      <c r="IU231" s="42"/>
      <c r="IV231" s="42"/>
      <c r="IW231" s="42"/>
      <c r="IX231" s="42"/>
      <c r="IY231" s="42"/>
      <c r="IZ231" s="42"/>
      <c r="JA231" s="42"/>
      <c r="JB231" s="42"/>
      <c r="JC231" s="42"/>
      <c r="JD231" s="42"/>
      <c r="JE231" s="42"/>
      <c r="JF231" s="42"/>
      <c r="JG231" s="42"/>
      <c r="JH231" s="42"/>
      <c r="JI231" s="42"/>
      <c r="JJ231" s="42"/>
      <c r="JK231" s="42"/>
      <c r="JL231" s="42"/>
      <c r="JM231" s="42"/>
      <c r="JN231" s="42"/>
      <c r="JO231" s="42"/>
      <c r="JP231" s="42"/>
      <c r="JQ231" s="42"/>
      <c r="JR231" s="42"/>
      <c r="JS231" s="42"/>
      <c r="JT231" s="42"/>
      <c r="JU231" s="42"/>
      <c r="JV231" s="42"/>
      <c r="JW231" s="42"/>
      <c r="JX231" s="42"/>
      <c r="JY231" s="42"/>
      <c r="JZ231" s="42"/>
      <c r="KA231" s="42"/>
    </row>
    <row r="232" spans="1:287" ht="31.5">
      <c r="A232" s="13" t="s">
        <v>597</v>
      </c>
      <c r="B232" s="13" t="s">
        <v>596</v>
      </c>
      <c r="C232" s="15">
        <v>26.529350000000001</v>
      </c>
      <c r="D232" s="15">
        <v>-80.046379999999999</v>
      </c>
      <c r="G232" s="15">
        <v>1</v>
      </c>
      <c r="J232" s="19"/>
      <c r="Q232" s="19"/>
      <c r="R232" s="15">
        <v>26.45711</v>
      </c>
      <c r="S232" s="15">
        <v>-80.058082999999996</v>
      </c>
      <c r="Y232" s="19"/>
      <c r="AF232" s="18" t="s">
        <v>1424</v>
      </c>
      <c r="AG232" s="15">
        <v>26.528639999999999</v>
      </c>
      <c r="AH232" s="15">
        <v>-80.046610000000001</v>
      </c>
      <c r="AU232" s="15" t="s">
        <v>1425</v>
      </c>
      <c r="AV232" s="15">
        <v>26.544689999999999</v>
      </c>
      <c r="AW232" s="15">
        <v>-80.04307</v>
      </c>
      <c r="BJ232" s="15" t="s">
        <v>1425</v>
      </c>
      <c r="BK232" s="17"/>
      <c r="BZ232" s="17"/>
      <c r="CO232" s="17"/>
      <c r="DD232" s="17"/>
      <c r="DE232" s="17"/>
      <c r="DS232" s="17"/>
      <c r="DT232" s="17"/>
      <c r="EH232" s="17"/>
      <c r="EI232" s="17"/>
      <c r="EW232" s="17"/>
      <c r="EX232" s="17"/>
      <c r="FL232" s="17"/>
      <c r="FM232" s="17"/>
      <c r="GA232" s="17"/>
      <c r="GB232" s="17"/>
      <c r="GP232" s="17"/>
      <c r="GQ232" s="17"/>
      <c r="HE232" s="17"/>
      <c r="HF232" s="17"/>
      <c r="HT232" s="17"/>
      <c r="HU232" s="17"/>
      <c r="II232" s="42"/>
      <c r="IJ232" s="42"/>
      <c r="IK232" s="42"/>
      <c r="IL232" s="42"/>
      <c r="IM232" s="42"/>
      <c r="IN232" s="42"/>
      <c r="IO232" s="42"/>
      <c r="IP232" s="42"/>
      <c r="IQ232" s="42"/>
      <c r="IR232" s="42"/>
      <c r="IS232" s="42"/>
      <c r="IT232" s="42"/>
      <c r="IU232" s="42"/>
      <c r="IV232" s="42"/>
      <c r="IW232" s="42"/>
      <c r="IX232" s="42"/>
      <c r="IY232" s="42"/>
      <c r="IZ232" s="42"/>
      <c r="JA232" s="42"/>
      <c r="JB232" s="42"/>
      <c r="JC232" s="42"/>
      <c r="JD232" s="42"/>
      <c r="JE232" s="42"/>
      <c r="JF232" s="42"/>
      <c r="JG232" s="42"/>
      <c r="JH232" s="42"/>
      <c r="JI232" s="42"/>
      <c r="JJ232" s="42"/>
      <c r="JK232" s="42"/>
      <c r="JL232" s="42"/>
      <c r="JM232" s="42"/>
      <c r="JN232" s="42"/>
      <c r="JO232" s="42"/>
      <c r="JP232" s="42"/>
      <c r="JQ232" s="42"/>
      <c r="JR232" s="42"/>
      <c r="JS232" s="42"/>
      <c r="JT232" s="42"/>
      <c r="JU232" s="42"/>
      <c r="JV232" s="42"/>
      <c r="JW232" s="42"/>
      <c r="JX232" s="42"/>
      <c r="JY232" s="42"/>
      <c r="JZ232" s="42"/>
      <c r="KA232" s="42"/>
    </row>
    <row r="233" spans="1:287" ht="31.5">
      <c r="A233" s="20" t="s">
        <v>600</v>
      </c>
      <c r="B233" s="24" t="s">
        <v>596</v>
      </c>
      <c r="C233" s="17"/>
      <c r="J233" s="19"/>
      <c r="Q233" s="19"/>
      <c r="R233" s="17"/>
      <c r="Y233" s="19"/>
      <c r="AF233" s="19"/>
      <c r="AG233" s="17"/>
      <c r="AV233" s="17"/>
      <c r="BK233" s="17"/>
      <c r="BZ233" s="17"/>
      <c r="CO233" s="17"/>
      <c r="DD233" s="17"/>
      <c r="DE233" s="17"/>
      <c r="DS233" s="17"/>
      <c r="DT233" s="17"/>
      <c r="EH233" s="17"/>
      <c r="EI233" s="17"/>
      <c r="EW233" s="17"/>
      <c r="EX233" s="17"/>
      <c r="FL233" s="17"/>
      <c r="FM233" s="17"/>
      <c r="GA233" s="17"/>
      <c r="GB233" s="17"/>
      <c r="GP233" s="17"/>
      <c r="GQ233" s="17"/>
      <c r="HE233" s="17"/>
      <c r="HF233" s="17"/>
      <c r="HT233" s="17"/>
      <c r="HU233" s="17"/>
      <c r="II233" s="42"/>
      <c r="IJ233" s="42"/>
      <c r="IK233" s="42"/>
      <c r="IL233" s="42"/>
      <c r="IM233" s="42"/>
      <c r="IN233" s="42"/>
      <c r="IO233" s="42"/>
      <c r="IP233" s="42"/>
      <c r="IQ233" s="42"/>
      <c r="IR233" s="42"/>
      <c r="IS233" s="42"/>
      <c r="IT233" s="42"/>
      <c r="IU233" s="42"/>
      <c r="IV233" s="42"/>
      <c r="IW233" s="42"/>
      <c r="IX233" s="42"/>
      <c r="IY233" s="42"/>
      <c r="IZ233" s="42"/>
      <c r="JA233" s="42"/>
      <c r="JB233" s="42"/>
      <c r="JC233" s="42"/>
      <c r="JD233" s="42"/>
      <c r="JE233" s="42"/>
      <c r="JF233" s="42"/>
      <c r="JG233" s="42"/>
      <c r="JH233" s="42"/>
      <c r="JI233" s="42"/>
      <c r="JJ233" s="42"/>
      <c r="JK233" s="42"/>
      <c r="JL233" s="42"/>
      <c r="JM233" s="42"/>
      <c r="JN233" s="42"/>
      <c r="JO233" s="42"/>
      <c r="JP233" s="42"/>
      <c r="JQ233" s="42"/>
      <c r="JR233" s="42"/>
      <c r="JS233" s="42"/>
      <c r="JT233" s="42"/>
      <c r="JU233" s="42"/>
      <c r="JV233" s="42"/>
      <c r="JW233" s="42"/>
      <c r="JX233" s="42"/>
      <c r="JY233" s="42"/>
      <c r="JZ233" s="42"/>
      <c r="KA233" s="42"/>
    </row>
    <row r="234" spans="1:287">
      <c r="A234" s="35" t="s">
        <v>601</v>
      </c>
      <c r="B234" s="35" t="s">
        <v>596</v>
      </c>
      <c r="J234" s="18"/>
      <c r="Q234" s="18"/>
      <c r="Y234" s="18"/>
      <c r="AF234" s="19"/>
      <c r="II234" s="42"/>
      <c r="IJ234" s="42"/>
      <c r="IK234" s="42"/>
      <c r="IL234" s="42"/>
      <c r="IM234" s="42"/>
      <c r="IN234" s="42"/>
      <c r="IO234" s="42"/>
      <c r="IP234" s="42"/>
      <c r="IQ234" s="42"/>
      <c r="IR234" s="42"/>
      <c r="IS234" s="42"/>
      <c r="IT234" s="42"/>
      <c r="IU234" s="42"/>
      <c r="IV234" s="42"/>
      <c r="IW234" s="42"/>
      <c r="IX234" s="42"/>
      <c r="IY234" s="42"/>
      <c r="IZ234" s="42"/>
      <c r="JA234" s="42"/>
      <c r="JB234" s="42"/>
      <c r="JC234" s="42"/>
      <c r="JD234" s="42"/>
      <c r="JE234" s="42"/>
      <c r="JF234" s="42"/>
      <c r="JG234" s="42"/>
      <c r="JH234" s="42"/>
      <c r="JI234" s="42"/>
      <c r="JJ234" s="42"/>
      <c r="JK234" s="42"/>
      <c r="JL234" s="42"/>
      <c r="JM234" s="42"/>
      <c r="JN234" s="42"/>
      <c r="JO234" s="42"/>
      <c r="JP234" s="42"/>
      <c r="JQ234" s="42"/>
      <c r="JR234" s="42"/>
      <c r="JS234" s="42"/>
      <c r="JT234" s="42"/>
      <c r="JU234" s="42"/>
      <c r="JV234" s="42"/>
      <c r="JW234" s="42"/>
      <c r="JX234" s="42"/>
      <c r="JY234" s="42"/>
      <c r="JZ234" s="42"/>
      <c r="KA234" s="42"/>
    </row>
    <row r="235" spans="1:287">
      <c r="A235" s="13" t="s">
        <v>604</v>
      </c>
      <c r="B235" s="13" t="s">
        <v>596</v>
      </c>
      <c r="C235" s="17"/>
      <c r="J235" s="19"/>
      <c r="Q235" s="19"/>
      <c r="R235" s="17"/>
      <c r="Y235" s="19"/>
      <c r="AF235" s="19"/>
      <c r="AG235" s="17"/>
      <c r="AV235" s="17"/>
      <c r="BK235" s="17"/>
      <c r="BZ235" s="17"/>
      <c r="CO235" s="17"/>
      <c r="DD235" s="17"/>
      <c r="DE235" s="17"/>
      <c r="DS235" s="17"/>
      <c r="DT235" s="17"/>
      <c r="EH235" s="17"/>
      <c r="EI235" s="17"/>
      <c r="EW235" s="17"/>
      <c r="EX235" s="17"/>
      <c r="FL235" s="17"/>
      <c r="FM235" s="17"/>
      <c r="GA235" s="17"/>
      <c r="GB235" s="17"/>
      <c r="GP235" s="17"/>
      <c r="GQ235" s="17"/>
      <c r="HE235" s="17"/>
      <c r="HF235" s="17"/>
      <c r="HT235" s="17"/>
      <c r="HU235" s="17"/>
      <c r="II235" s="42"/>
      <c r="IJ235" s="42"/>
      <c r="IK235" s="42"/>
      <c r="IL235" s="42"/>
      <c r="IM235" s="42"/>
      <c r="IN235" s="42"/>
      <c r="IO235" s="42"/>
      <c r="IP235" s="42"/>
      <c r="IQ235" s="42"/>
      <c r="IR235" s="42"/>
      <c r="IS235" s="42"/>
      <c r="IT235" s="42"/>
      <c r="IU235" s="42"/>
      <c r="IV235" s="42"/>
      <c r="IW235" s="42"/>
      <c r="IX235" s="42"/>
      <c r="IY235" s="42"/>
      <c r="IZ235" s="42"/>
      <c r="JA235" s="42"/>
      <c r="JB235" s="42"/>
      <c r="JC235" s="42"/>
      <c r="JD235" s="42"/>
      <c r="JE235" s="42"/>
      <c r="JF235" s="42"/>
      <c r="JG235" s="42"/>
      <c r="JH235" s="42"/>
      <c r="JI235" s="42"/>
      <c r="JJ235" s="42"/>
      <c r="JK235" s="42"/>
      <c r="JL235" s="42"/>
      <c r="JM235" s="42"/>
      <c r="JN235" s="42"/>
      <c r="JO235" s="42"/>
      <c r="JP235" s="42"/>
      <c r="JQ235" s="42"/>
      <c r="JR235" s="42"/>
      <c r="JS235" s="42"/>
      <c r="JT235" s="42"/>
      <c r="JU235" s="42"/>
      <c r="JV235" s="42"/>
      <c r="JW235" s="42"/>
      <c r="JX235" s="42"/>
      <c r="JY235" s="42"/>
      <c r="JZ235" s="42"/>
      <c r="KA235" s="42"/>
    </row>
    <row r="236" spans="1:287" ht="31.5">
      <c r="A236" s="13" t="s">
        <v>605</v>
      </c>
      <c r="B236" s="13" t="s">
        <v>596</v>
      </c>
      <c r="C236" s="17"/>
      <c r="J236" s="19"/>
      <c r="Q236" s="19"/>
      <c r="R236" s="17"/>
      <c r="Y236" s="19"/>
      <c r="AF236" s="18"/>
      <c r="AG236" s="17"/>
      <c r="AV236" s="17"/>
      <c r="BK236" s="17"/>
      <c r="BZ236" s="17"/>
      <c r="CO236" s="17"/>
      <c r="DD236" s="17"/>
      <c r="DE236" s="17"/>
      <c r="DS236" s="17"/>
      <c r="DT236" s="17"/>
      <c r="EH236" s="17"/>
      <c r="EI236" s="17"/>
      <c r="EW236" s="17"/>
      <c r="EX236" s="17"/>
      <c r="FL236" s="17"/>
      <c r="FM236" s="17"/>
      <c r="GA236" s="17"/>
      <c r="GB236" s="17"/>
      <c r="GP236" s="17"/>
      <c r="GQ236" s="17"/>
      <c r="HE236" s="17"/>
      <c r="HF236" s="17"/>
      <c r="HT236" s="17"/>
      <c r="HU236" s="17"/>
      <c r="II236" s="42"/>
      <c r="IJ236" s="42"/>
      <c r="IK236" s="42"/>
      <c r="IL236" s="42"/>
      <c r="IM236" s="42"/>
      <c r="IN236" s="42"/>
      <c r="IO236" s="42"/>
      <c r="IP236" s="42"/>
      <c r="IQ236" s="42"/>
      <c r="IR236" s="42"/>
      <c r="IS236" s="42"/>
      <c r="IT236" s="42"/>
      <c r="IU236" s="42"/>
      <c r="IV236" s="42"/>
      <c r="IW236" s="42"/>
      <c r="IX236" s="42"/>
      <c r="IY236" s="42"/>
      <c r="IZ236" s="42"/>
      <c r="JA236" s="42"/>
      <c r="JB236" s="42"/>
      <c r="JC236" s="42"/>
      <c r="JD236" s="42"/>
      <c r="JE236" s="42"/>
      <c r="JF236" s="42"/>
      <c r="JG236" s="42"/>
      <c r="JH236" s="42"/>
      <c r="JI236" s="42"/>
      <c r="JJ236" s="42"/>
      <c r="JK236" s="42"/>
      <c r="JL236" s="42"/>
      <c r="JM236" s="42"/>
      <c r="JN236" s="42"/>
      <c r="JO236" s="42"/>
      <c r="JP236" s="42"/>
      <c r="JQ236" s="42"/>
      <c r="JR236" s="42"/>
      <c r="JS236" s="42"/>
      <c r="JT236" s="42"/>
      <c r="JU236" s="42"/>
      <c r="JV236" s="42"/>
      <c r="JW236" s="42"/>
      <c r="JX236" s="42"/>
      <c r="JY236" s="42"/>
      <c r="JZ236" s="42"/>
      <c r="KA236" s="42"/>
    </row>
    <row r="237" spans="1:287" ht="47.25">
      <c r="A237" s="31" t="s">
        <v>606</v>
      </c>
      <c r="B237" s="31" t="s">
        <v>596</v>
      </c>
      <c r="J237" s="19"/>
      <c r="Q237" s="19"/>
      <c r="Y237" s="19"/>
      <c r="AF237" s="19"/>
      <c r="II237" s="42"/>
      <c r="IJ237" s="42"/>
      <c r="IK237" s="42"/>
      <c r="IL237" s="42"/>
      <c r="IM237" s="42"/>
      <c r="IN237" s="42"/>
      <c r="IO237" s="42"/>
      <c r="IP237" s="42"/>
      <c r="IQ237" s="42"/>
      <c r="IR237" s="42"/>
      <c r="IS237" s="42"/>
      <c r="IT237" s="42"/>
      <c r="IU237" s="42"/>
      <c r="IV237" s="42"/>
      <c r="IW237" s="42"/>
      <c r="IX237" s="42"/>
      <c r="IY237" s="42"/>
      <c r="IZ237" s="42"/>
      <c r="JA237" s="42"/>
      <c r="JB237" s="42"/>
      <c r="JC237" s="42"/>
      <c r="JD237" s="42"/>
      <c r="JE237" s="42"/>
      <c r="JF237" s="42"/>
      <c r="JG237" s="42"/>
      <c r="JH237" s="42"/>
      <c r="JI237" s="42"/>
      <c r="JJ237" s="42"/>
      <c r="JK237" s="42"/>
      <c r="JL237" s="42"/>
      <c r="JM237" s="42"/>
      <c r="JN237" s="42"/>
      <c r="JO237" s="42"/>
      <c r="JP237" s="42"/>
      <c r="JQ237" s="42"/>
      <c r="JR237" s="42"/>
      <c r="JS237" s="42"/>
      <c r="JT237" s="42"/>
      <c r="JU237" s="42"/>
      <c r="JV237" s="42"/>
      <c r="JW237" s="42"/>
      <c r="JX237" s="42"/>
      <c r="JY237" s="42"/>
      <c r="JZ237" s="42"/>
      <c r="KA237" s="42"/>
    </row>
    <row r="238" spans="1:287" ht="31.5">
      <c r="A238" s="13" t="s">
        <v>607</v>
      </c>
      <c r="B238" s="13" t="s">
        <v>596</v>
      </c>
      <c r="C238" s="15">
        <v>26.644988000000001</v>
      </c>
      <c r="D238" s="15">
        <v>-80.040564000000003</v>
      </c>
      <c r="E238" s="15">
        <v>1</v>
      </c>
      <c r="F238" s="15" t="s">
        <v>1426</v>
      </c>
      <c r="J238" s="19"/>
      <c r="Q238" s="19"/>
      <c r="R238" s="15">
        <v>26.644907</v>
      </c>
      <c r="S238" s="15">
        <v>-80.040764999999993</v>
      </c>
      <c r="T238" s="15">
        <v>1</v>
      </c>
      <c r="U238" s="15" t="s">
        <v>1427</v>
      </c>
      <c r="Y238" s="19"/>
      <c r="AF238" s="19"/>
      <c r="AG238" s="15">
        <v>26.644846000000001</v>
      </c>
      <c r="AH238" s="15">
        <v>-80.040926999999996</v>
      </c>
      <c r="AJ238" s="15" t="s">
        <v>1428</v>
      </c>
      <c r="AV238" s="15">
        <v>26.631986999999999</v>
      </c>
      <c r="AW238" s="15">
        <v>-80.040229999999994</v>
      </c>
      <c r="AX238" s="15">
        <v>2</v>
      </c>
      <c r="AY238" s="15" t="s">
        <v>1429</v>
      </c>
      <c r="BK238" s="15">
        <v>26.646214000000001</v>
      </c>
      <c r="BL238" s="15">
        <v>-80.040937999999997</v>
      </c>
      <c r="BM238" s="15">
        <v>1</v>
      </c>
      <c r="BZ238" s="15">
        <v>26.645092000000002</v>
      </c>
      <c r="CA238" s="15">
        <v>-80.004071999999994</v>
      </c>
      <c r="CB238" s="15">
        <v>2</v>
      </c>
      <c r="CO238" s="15">
        <v>26.644676</v>
      </c>
      <c r="CP238" s="15">
        <v>-80.040267999999998</v>
      </c>
      <c r="CQ238" s="15">
        <v>1</v>
      </c>
      <c r="DD238" s="15">
        <v>26.643370999999998</v>
      </c>
      <c r="DE238" s="15">
        <v>-80.039556000000005</v>
      </c>
      <c r="DF238" s="15">
        <v>1</v>
      </c>
      <c r="DS238" s="17"/>
      <c r="DT238" s="17"/>
      <c r="EH238" s="17"/>
      <c r="EI238" s="17"/>
      <c r="EW238" s="17"/>
      <c r="EX238" s="17"/>
      <c r="FL238" s="17"/>
      <c r="FM238" s="17"/>
      <c r="GA238" s="17"/>
      <c r="GB238" s="17"/>
      <c r="GP238" s="17"/>
      <c r="GQ238" s="17"/>
      <c r="HE238" s="17"/>
      <c r="HF238" s="17"/>
      <c r="HT238" s="17"/>
      <c r="HU238" s="17"/>
      <c r="II238" s="42"/>
      <c r="IJ238" s="42"/>
      <c r="IK238" s="42"/>
      <c r="IL238" s="42"/>
      <c r="IM238" s="42"/>
      <c r="IN238" s="42"/>
      <c r="IO238" s="42"/>
      <c r="IP238" s="42"/>
      <c r="IQ238" s="42"/>
      <c r="IR238" s="42"/>
      <c r="IS238" s="42"/>
      <c r="IT238" s="42"/>
      <c r="IU238" s="42"/>
      <c r="IV238" s="42"/>
      <c r="IW238" s="42"/>
      <c r="IX238" s="42"/>
      <c r="IY238" s="42"/>
      <c r="IZ238" s="42"/>
      <c r="JA238" s="42"/>
      <c r="JB238" s="42"/>
      <c r="JC238" s="42"/>
      <c r="JD238" s="42"/>
      <c r="JE238" s="42"/>
      <c r="JF238" s="42"/>
      <c r="JG238" s="42"/>
      <c r="JH238" s="42"/>
      <c r="JI238" s="42"/>
      <c r="JJ238" s="42"/>
      <c r="JK238" s="42"/>
      <c r="JL238" s="42"/>
      <c r="JM238" s="42"/>
      <c r="JN238" s="42"/>
      <c r="JO238" s="42"/>
      <c r="JP238" s="42"/>
      <c r="JQ238" s="42"/>
      <c r="JR238" s="42"/>
      <c r="JS238" s="42"/>
      <c r="JT238" s="42"/>
      <c r="JU238" s="42"/>
      <c r="JV238" s="42"/>
      <c r="JW238" s="42"/>
      <c r="JX238" s="42"/>
      <c r="JY238" s="42"/>
      <c r="JZ238" s="42"/>
      <c r="KA238" s="42"/>
    </row>
    <row r="239" spans="1:287">
      <c r="A239" s="13" t="s">
        <v>609</v>
      </c>
      <c r="B239" s="13" t="s">
        <v>596</v>
      </c>
      <c r="C239" s="17"/>
      <c r="J239" s="19"/>
      <c r="Q239" s="19"/>
      <c r="R239" s="17"/>
      <c r="Y239" s="19"/>
      <c r="AF239" s="19"/>
      <c r="AG239" s="17"/>
      <c r="AV239" s="17"/>
      <c r="BK239" s="17"/>
      <c r="BZ239" s="17"/>
      <c r="CO239" s="17"/>
      <c r="DD239" s="17"/>
      <c r="DE239" s="17"/>
      <c r="DS239" s="17"/>
      <c r="DT239" s="17"/>
      <c r="EH239" s="17"/>
      <c r="EI239" s="17"/>
      <c r="EW239" s="17"/>
      <c r="EX239" s="17"/>
      <c r="FL239" s="17"/>
      <c r="FM239" s="17"/>
      <c r="GA239" s="17"/>
      <c r="GB239" s="17"/>
      <c r="GP239" s="17"/>
      <c r="GQ239" s="17"/>
      <c r="HE239" s="17"/>
      <c r="HF239" s="17"/>
      <c r="HT239" s="17"/>
      <c r="HU239" s="17"/>
      <c r="II239" s="42"/>
      <c r="IJ239" s="42"/>
      <c r="IK239" s="42"/>
      <c r="IL239" s="42"/>
      <c r="IM239" s="42"/>
      <c r="IN239" s="42"/>
      <c r="IO239" s="42"/>
      <c r="IP239" s="42"/>
      <c r="IQ239" s="42"/>
      <c r="IR239" s="42"/>
      <c r="IS239" s="42"/>
      <c r="IT239" s="42"/>
      <c r="IU239" s="42"/>
      <c r="IV239" s="42"/>
      <c r="IW239" s="42"/>
      <c r="IX239" s="42"/>
      <c r="IY239" s="42"/>
      <c r="IZ239" s="42"/>
      <c r="JA239" s="42"/>
      <c r="JB239" s="42"/>
      <c r="JC239" s="42"/>
      <c r="JD239" s="42"/>
      <c r="JE239" s="42"/>
      <c r="JF239" s="42"/>
      <c r="JG239" s="42"/>
      <c r="JH239" s="42"/>
      <c r="JI239" s="42"/>
      <c r="JJ239" s="42"/>
      <c r="JK239" s="42"/>
      <c r="JL239" s="42"/>
      <c r="JM239" s="42"/>
      <c r="JN239" s="42"/>
      <c r="JO239" s="42"/>
      <c r="JP239" s="42"/>
      <c r="JQ239" s="42"/>
      <c r="JR239" s="42"/>
      <c r="JS239" s="42"/>
      <c r="JT239" s="42"/>
      <c r="JU239" s="42"/>
      <c r="JV239" s="42"/>
      <c r="JW239" s="42"/>
      <c r="JX239" s="42"/>
      <c r="JY239" s="42"/>
      <c r="JZ239" s="42"/>
      <c r="KA239" s="42"/>
    </row>
    <row r="240" spans="1:287" ht="31.5">
      <c r="A240" s="13" t="s">
        <v>610</v>
      </c>
      <c r="B240" s="13" t="s">
        <v>596</v>
      </c>
      <c r="C240" s="17"/>
      <c r="J240" s="19"/>
      <c r="Q240" s="19"/>
      <c r="R240" s="17"/>
      <c r="Y240" s="19"/>
      <c r="AF240" s="19"/>
      <c r="AG240" s="17"/>
      <c r="AV240" s="17"/>
      <c r="BK240" s="17"/>
      <c r="BZ240" s="17"/>
      <c r="CO240" s="17"/>
      <c r="DD240" s="17"/>
      <c r="DE240" s="17"/>
      <c r="DS240" s="17"/>
      <c r="DT240" s="17"/>
      <c r="EH240" s="17"/>
      <c r="EI240" s="17"/>
      <c r="EW240" s="17"/>
      <c r="EX240" s="17"/>
      <c r="FL240" s="17"/>
      <c r="FM240" s="17"/>
      <c r="GA240" s="17"/>
      <c r="GB240" s="17"/>
      <c r="GP240" s="17"/>
      <c r="GQ240" s="17"/>
      <c r="HE240" s="17"/>
      <c r="HF240" s="17"/>
      <c r="HT240" s="17"/>
      <c r="HU240" s="17"/>
      <c r="II240" s="42"/>
      <c r="IJ240" s="42"/>
      <c r="IK240" s="42"/>
      <c r="IL240" s="42"/>
      <c r="IM240" s="42"/>
      <c r="IN240" s="42"/>
      <c r="IO240" s="42"/>
      <c r="IP240" s="42"/>
      <c r="IQ240" s="42"/>
      <c r="IR240" s="42"/>
      <c r="IS240" s="42"/>
      <c r="IT240" s="42"/>
      <c r="IU240" s="42"/>
      <c r="IV240" s="42"/>
      <c r="IW240" s="42"/>
      <c r="IX240" s="42"/>
      <c r="IY240" s="42"/>
      <c r="IZ240" s="42"/>
      <c r="JA240" s="42"/>
      <c r="JB240" s="42"/>
      <c r="JC240" s="42"/>
      <c r="JD240" s="42"/>
      <c r="JE240" s="42"/>
      <c r="JF240" s="42"/>
      <c r="JG240" s="42"/>
      <c r="JH240" s="42"/>
      <c r="JI240" s="42"/>
      <c r="JJ240" s="42"/>
      <c r="JK240" s="42"/>
      <c r="JL240" s="42"/>
      <c r="JM240" s="42"/>
      <c r="JN240" s="42"/>
      <c r="JO240" s="42"/>
      <c r="JP240" s="42"/>
      <c r="JQ240" s="42"/>
      <c r="JR240" s="42"/>
      <c r="JS240" s="42"/>
      <c r="JT240" s="42"/>
      <c r="JU240" s="42"/>
      <c r="JV240" s="42"/>
      <c r="JW240" s="42"/>
      <c r="JX240" s="42"/>
      <c r="JY240" s="42"/>
      <c r="JZ240" s="42"/>
      <c r="KA240" s="42"/>
    </row>
    <row r="241" spans="1:287" ht="63">
      <c r="A241" s="13" t="s">
        <v>612</v>
      </c>
      <c r="B241" s="13" t="s">
        <v>596</v>
      </c>
      <c r="C241" s="17"/>
      <c r="J241" s="18"/>
      <c r="Q241" s="18"/>
      <c r="R241" s="17"/>
      <c r="Y241" s="19"/>
      <c r="AF241" s="19"/>
      <c r="AG241" s="17"/>
      <c r="AV241" s="17"/>
      <c r="BK241" s="17"/>
      <c r="BZ241" s="17"/>
      <c r="CO241" s="17"/>
      <c r="DD241" s="17"/>
      <c r="DE241" s="17"/>
      <c r="DS241" s="17"/>
      <c r="DT241" s="17"/>
      <c r="EH241" s="17"/>
      <c r="EI241" s="17"/>
      <c r="EW241" s="17"/>
      <c r="EX241" s="17"/>
      <c r="FL241" s="17"/>
      <c r="FM241" s="17"/>
      <c r="GA241" s="17"/>
      <c r="GB241" s="17"/>
      <c r="GP241" s="17"/>
      <c r="GQ241" s="17"/>
      <c r="HE241" s="17"/>
      <c r="HF241" s="17"/>
      <c r="HT241" s="17"/>
      <c r="HU241" s="17"/>
      <c r="II241" s="42"/>
      <c r="IJ241" s="42"/>
      <c r="IK241" s="42"/>
      <c r="IL241" s="42"/>
      <c r="IM241" s="42"/>
      <c r="IN241" s="42"/>
      <c r="IO241" s="42"/>
      <c r="IP241" s="42"/>
      <c r="IQ241" s="42"/>
      <c r="IR241" s="42"/>
      <c r="IS241" s="42"/>
      <c r="IT241" s="42"/>
      <c r="IU241" s="42"/>
      <c r="IV241" s="42"/>
      <c r="IW241" s="42"/>
      <c r="IX241" s="42"/>
      <c r="IY241" s="42"/>
      <c r="IZ241" s="42"/>
      <c r="JA241" s="42"/>
      <c r="JB241" s="42"/>
      <c r="JC241" s="42"/>
      <c r="JD241" s="42"/>
      <c r="JE241" s="42"/>
      <c r="JF241" s="42"/>
      <c r="JG241" s="42"/>
      <c r="JH241" s="42"/>
      <c r="JI241" s="42"/>
      <c r="JJ241" s="42"/>
      <c r="JK241" s="42"/>
      <c r="JL241" s="42"/>
      <c r="JM241" s="42"/>
      <c r="JN241" s="42"/>
      <c r="JO241" s="42"/>
      <c r="JP241" s="42"/>
      <c r="JQ241" s="42"/>
      <c r="JR241" s="42"/>
      <c r="JS241" s="42"/>
      <c r="JT241" s="42"/>
      <c r="JU241" s="42"/>
      <c r="JV241" s="42"/>
      <c r="JW241" s="42"/>
      <c r="JX241" s="42"/>
      <c r="JY241" s="42"/>
      <c r="JZ241" s="42"/>
      <c r="KA241" s="42"/>
    </row>
    <row r="242" spans="1:287" ht="12.75">
      <c r="A242" s="61" t="s">
        <v>615</v>
      </c>
      <c r="B242" s="61" t="s">
        <v>596</v>
      </c>
      <c r="C242" s="17"/>
      <c r="J242" s="18"/>
      <c r="Q242" s="18"/>
      <c r="R242" s="17"/>
      <c r="Y242" s="18"/>
      <c r="AF242" s="18"/>
      <c r="AG242" s="17"/>
      <c r="AV242" s="17"/>
      <c r="BK242" s="17"/>
      <c r="BZ242" s="17"/>
      <c r="CO242" s="17"/>
      <c r="DD242" s="17"/>
      <c r="DE242" s="17"/>
      <c r="DS242" s="17"/>
      <c r="DT242" s="17"/>
      <c r="EH242" s="17"/>
      <c r="EI242" s="17"/>
      <c r="EW242" s="17"/>
      <c r="EX242" s="17"/>
      <c r="FL242" s="17"/>
      <c r="FM242" s="17"/>
      <c r="GA242" s="17"/>
      <c r="GB242" s="17"/>
      <c r="GP242" s="17"/>
      <c r="GQ242" s="17"/>
      <c r="HE242" s="17"/>
      <c r="HF242" s="17"/>
      <c r="HT242" s="17"/>
      <c r="HU242" s="17"/>
      <c r="II242" s="42"/>
      <c r="IJ242" s="42"/>
      <c r="IK242" s="42"/>
      <c r="IL242" s="42"/>
      <c r="IM242" s="42"/>
      <c r="IN242" s="42"/>
      <c r="IO242" s="42"/>
      <c r="IP242" s="42"/>
      <c r="IQ242" s="42"/>
      <c r="IR242" s="42"/>
      <c r="IS242" s="42"/>
      <c r="IT242" s="42"/>
      <c r="IU242" s="42"/>
      <c r="IV242" s="42"/>
      <c r="IW242" s="42"/>
      <c r="IX242" s="42"/>
      <c r="IY242" s="42"/>
      <c r="IZ242" s="42"/>
      <c r="JA242" s="42"/>
      <c r="JB242" s="42"/>
      <c r="JC242" s="42"/>
      <c r="JD242" s="42"/>
      <c r="JE242" s="42"/>
      <c r="JF242" s="42"/>
      <c r="JG242" s="42"/>
      <c r="JH242" s="42"/>
      <c r="JI242" s="42"/>
      <c r="JJ242" s="42"/>
      <c r="JK242" s="42"/>
      <c r="JL242" s="42"/>
      <c r="JM242" s="42"/>
      <c r="JN242" s="42"/>
      <c r="JO242" s="42"/>
      <c r="JP242" s="42"/>
      <c r="JQ242" s="42"/>
      <c r="JR242" s="42"/>
      <c r="JS242" s="42"/>
      <c r="JT242" s="42"/>
      <c r="JU242" s="42"/>
      <c r="JV242" s="42"/>
      <c r="JW242" s="42"/>
      <c r="JX242" s="42"/>
      <c r="JY242" s="42"/>
      <c r="JZ242" s="42"/>
      <c r="KA242" s="42"/>
    </row>
    <row r="243" spans="1:287" ht="31.5">
      <c r="A243" s="13" t="s">
        <v>616</v>
      </c>
      <c r="B243" s="13" t="s">
        <v>596</v>
      </c>
      <c r="C243" s="17"/>
      <c r="J243" s="18"/>
      <c r="Q243" s="18"/>
      <c r="R243" s="17"/>
      <c r="Y243" s="18"/>
      <c r="AF243" s="18"/>
      <c r="AG243" s="17"/>
      <c r="AV243" s="17"/>
      <c r="BK243" s="17"/>
      <c r="BZ243" s="17"/>
      <c r="CO243" s="17"/>
      <c r="DD243" s="17"/>
      <c r="DE243" s="17"/>
      <c r="DS243" s="17"/>
      <c r="DT243" s="17"/>
      <c r="EH243" s="17"/>
      <c r="EI243" s="17"/>
      <c r="EW243" s="17"/>
      <c r="EX243" s="17"/>
      <c r="FL243" s="17"/>
      <c r="FM243" s="17"/>
      <c r="GA243" s="17"/>
      <c r="GB243" s="17"/>
      <c r="GP243" s="17"/>
      <c r="GQ243" s="17"/>
      <c r="HE243" s="17"/>
      <c r="HF243" s="17"/>
      <c r="HT243" s="17"/>
      <c r="HU243" s="17"/>
      <c r="II243" s="42"/>
      <c r="IJ243" s="42"/>
      <c r="IK243" s="42"/>
      <c r="IL243" s="42"/>
      <c r="IM243" s="42"/>
      <c r="IN243" s="42"/>
      <c r="IO243" s="42"/>
      <c r="IP243" s="42"/>
      <c r="IQ243" s="42"/>
      <c r="IR243" s="42"/>
      <c r="IS243" s="42"/>
      <c r="IT243" s="42"/>
      <c r="IU243" s="42"/>
      <c r="IV243" s="42"/>
      <c r="IW243" s="42"/>
      <c r="IX243" s="42"/>
      <c r="IY243" s="42"/>
      <c r="IZ243" s="42"/>
      <c r="JA243" s="42"/>
      <c r="JB243" s="42"/>
      <c r="JC243" s="42"/>
      <c r="JD243" s="42"/>
      <c r="JE243" s="42"/>
      <c r="JF243" s="42"/>
      <c r="JG243" s="42"/>
      <c r="JH243" s="42"/>
      <c r="JI243" s="42"/>
      <c r="JJ243" s="42"/>
      <c r="JK243" s="42"/>
      <c r="JL243" s="42"/>
      <c r="JM243" s="42"/>
      <c r="JN243" s="42"/>
      <c r="JO243" s="42"/>
      <c r="JP243" s="42"/>
      <c r="JQ243" s="42"/>
      <c r="JR243" s="42"/>
      <c r="JS243" s="42"/>
      <c r="JT243" s="42"/>
      <c r="JU243" s="42"/>
      <c r="JV243" s="42"/>
      <c r="JW243" s="42"/>
      <c r="JX243" s="42"/>
      <c r="JY243" s="42"/>
      <c r="JZ243" s="42"/>
      <c r="KA243" s="42"/>
    </row>
    <row r="244" spans="1:287" ht="31.5">
      <c r="A244" s="13" t="s">
        <v>619</v>
      </c>
      <c r="B244" s="13" t="s">
        <v>596</v>
      </c>
      <c r="C244" s="17"/>
      <c r="J244" s="19"/>
      <c r="Q244" s="18"/>
      <c r="R244" s="17"/>
      <c r="Y244" s="19"/>
      <c r="AF244" s="18"/>
      <c r="AG244" s="17"/>
      <c r="AV244" s="17"/>
      <c r="BK244" s="17"/>
      <c r="BZ244" s="17"/>
      <c r="CO244" s="17"/>
      <c r="DD244" s="17"/>
      <c r="DE244" s="17"/>
      <c r="DS244" s="17"/>
      <c r="DT244" s="17"/>
      <c r="EH244" s="17"/>
      <c r="EI244" s="17"/>
      <c r="EW244" s="17"/>
      <c r="EX244" s="17"/>
      <c r="FL244" s="17"/>
      <c r="FM244" s="17"/>
      <c r="GA244" s="17"/>
      <c r="GB244" s="17"/>
      <c r="GP244" s="17"/>
      <c r="GQ244" s="17"/>
      <c r="HE244" s="17"/>
      <c r="HF244" s="17"/>
      <c r="HT244" s="17"/>
      <c r="HU244" s="17"/>
      <c r="II244" s="42"/>
      <c r="IJ244" s="42"/>
      <c r="IK244" s="42"/>
      <c r="IL244" s="42"/>
      <c r="IM244" s="42"/>
      <c r="IN244" s="42"/>
      <c r="IO244" s="42"/>
      <c r="IP244" s="42"/>
      <c r="IQ244" s="42"/>
      <c r="IR244" s="42"/>
      <c r="IS244" s="42"/>
      <c r="IT244" s="42"/>
      <c r="IU244" s="42"/>
      <c r="IV244" s="42"/>
      <c r="IW244" s="42"/>
      <c r="IX244" s="42"/>
      <c r="IY244" s="42"/>
      <c r="IZ244" s="42"/>
      <c r="JA244" s="42"/>
      <c r="JB244" s="42"/>
      <c r="JC244" s="42"/>
      <c r="JD244" s="42"/>
      <c r="JE244" s="42"/>
      <c r="JF244" s="42"/>
      <c r="JG244" s="42"/>
      <c r="JH244" s="42"/>
      <c r="JI244" s="42"/>
      <c r="JJ244" s="42"/>
      <c r="JK244" s="42"/>
      <c r="JL244" s="42"/>
      <c r="JM244" s="42"/>
      <c r="JN244" s="42"/>
      <c r="JO244" s="42"/>
      <c r="JP244" s="42"/>
      <c r="JQ244" s="42"/>
      <c r="JR244" s="42"/>
      <c r="JS244" s="42"/>
      <c r="JT244" s="42"/>
      <c r="JU244" s="42"/>
      <c r="JV244" s="42"/>
      <c r="JW244" s="42"/>
      <c r="JX244" s="42"/>
      <c r="JY244" s="42"/>
      <c r="JZ244" s="42"/>
      <c r="KA244" s="42"/>
    </row>
    <row r="245" spans="1:287" ht="31.5">
      <c r="A245" s="31" t="s">
        <v>620</v>
      </c>
      <c r="B245" s="31" t="s">
        <v>596</v>
      </c>
      <c r="J245" s="19"/>
      <c r="Q245" s="19"/>
      <c r="Y245" s="19"/>
      <c r="AF245" s="19"/>
      <c r="II245" s="42"/>
      <c r="IJ245" s="42"/>
      <c r="IK245" s="42"/>
      <c r="IL245" s="42"/>
      <c r="IM245" s="42"/>
      <c r="IN245" s="42"/>
      <c r="IO245" s="42"/>
      <c r="IP245" s="42"/>
      <c r="IQ245" s="42"/>
      <c r="IR245" s="42"/>
      <c r="IS245" s="42"/>
      <c r="IT245" s="42"/>
      <c r="IU245" s="42"/>
      <c r="IV245" s="42"/>
      <c r="IW245" s="42"/>
      <c r="IX245" s="42"/>
      <c r="IY245" s="42"/>
      <c r="IZ245" s="42"/>
      <c r="JA245" s="42"/>
      <c r="JB245" s="42"/>
      <c r="JC245" s="42"/>
      <c r="JD245" s="42"/>
      <c r="JE245" s="42"/>
      <c r="JF245" s="42"/>
      <c r="JG245" s="42"/>
      <c r="JH245" s="42"/>
      <c r="JI245" s="42"/>
      <c r="JJ245" s="42"/>
      <c r="JK245" s="42"/>
      <c r="JL245" s="42"/>
      <c r="JM245" s="42"/>
      <c r="JN245" s="42"/>
      <c r="JO245" s="42"/>
      <c r="JP245" s="42"/>
      <c r="JQ245" s="42"/>
      <c r="JR245" s="42"/>
      <c r="JS245" s="42"/>
      <c r="JT245" s="42"/>
      <c r="JU245" s="42"/>
      <c r="JV245" s="42"/>
      <c r="JW245" s="42"/>
      <c r="JX245" s="42"/>
      <c r="JY245" s="42"/>
      <c r="JZ245" s="42"/>
      <c r="KA245" s="42"/>
    </row>
    <row r="246" spans="1:287" ht="31.5">
      <c r="A246" s="13" t="s">
        <v>623</v>
      </c>
      <c r="B246" s="13" t="s">
        <v>596</v>
      </c>
      <c r="C246" s="17"/>
      <c r="J246" s="19"/>
      <c r="Q246" s="19"/>
      <c r="R246" s="17"/>
      <c r="Y246" s="19"/>
      <c r="AF246" s="19"/>
      <c r="AG246" s="17"/>
      <c r="AV246" s="17"/>
      <c r="BK246" s="17"/>
      <c r="BZ246" s="17"/>
      <c r="CO246" s="17"/>
      <c r="DD246" s="17"/>
      <c r="DE246" s="17"/>
      <c r="DS246" s="17"/>
      <c r="DT246" s="17"/>
      <c r="EH246" s="17"/>
      <c r="EI246" s="17"/>
      <c r="EW246" s="17"/>
      <c r="EX246" s="17"/>
      <c r="FL246" s="17"/>
      <c r="FM246" s="17"/>
      <c r="GA246" s="17"/>
      <c r="GB246" s="17"/>
      <c r="GP246" s="17"/>
      <c r="GQ246" s="17"/>
      <c r="HE246" s="17"/>
      <c r="HF246" s="17"/>
      <c r="HT246" s="17"/>
      <c r="HU246" s="17"/>
      <c r="II246" s="42"/>
      <c r="IJ246" s="42"/>
      <c r="IK246" s="42"/>
      <c r="IL246" s="42"/>
      <c r="IM246" s="42"/>
      <c r="IN246" s="42"/>
      <c r="IO246" s="42"/>
      <c r="IP246" s="42"/>
      <c r="IQ246" s="42"/>
      <c r="IR246" s="42"/>
      <c r="IS246" s="42"/>
      <c r="IT246" s="42"/>
      <c r="IU246" s="42"/>
      <c r="IV246" s="42"/>
      <c r="IW246" s="42"/>
      <c r="IX246" s="42"/>
      <c r="IY246" s="42"/>
      <c r="IZ246" s="42"/>
      <c r="JA246" s="42"/>
      <c r="JB246" s="42"/>
      <c r="JC246" s="42"/>
      <c r="JD246" s="42"/>
      <c r="JE246" s="42"/>
      <c r="JF246" s="42"/>
      <c r="JG246" s="42"/>
      <c r="JH246" s="42"/>
      <c r="JI246" s="42"/>
      <c r="JJ246" s="42"/>
      <c r="JK246" s="42"/>
      <c r="JL246" s="42"/>
      <c r="JM246" s="42"/>
      <c r="JN246" s="42"/>
      <c r="JO246" s="42"/>
      <c r="JP246" s="42"/>
      <c r="JQ246" s="42"/>
      <c r="JR246" s="42"/>
      <c r="JS246" s="42"/>
      <c r="JT246" s="42"/>
      <c r="JU246" s="42"/>
      <c r="JV246" s="42"/>
      <c r="JW246" s="42"/>
      <c r="JX246" s="42"/>
      <c r="JY246" s="42"/>
      <c r="JZ246" s="42"/>
      <c r="KA246" s="42"/>
    </row>
    <row r="247" spans="1:287" ht="63">
      <c r="A247" s="29" t="s">
        <v>625</v>
      </c>
      <c r="B247" s="13" t="s">
        <v>596</v>
      </c>
      <c r="C247" s="15">
        <v>26.783390000000001</v>
      </c>
      <c r="D247" s="15">
        <v>-80.031540000000007</v>
      </c>
      <c r="G247" s="15">
        <v>65</v>
      </c>
      <c r="J247" s="18"/>
      <c r="Q247" s="19"/>
      <c r="R247" s="17"/>
      <c r="Y247" s="19"/>
      <c r="AF247" s="19"/>
      <c r="AG247" s="17"/>
      <c r="AV247" s="17"/>
      <c r="BK247" s="17"/>
      <c r="BZ247" s="17"/>
      <c r="CO247" s="17"/>
      <c r="DD247" s="17"/>
      <c r="DE247" s="17"/>
      <c r="DS247" s="17"/>
      <c r="DT247" s="17"/>
      <c r="EH247" s="17"/>
      <c r="EI247" s="17"/>
      <c r="EW247" s="17"/>
      <c r="EX247" s="17"/>
      <c r="FL247" s="17"/>
      <c r="FM247" s="17"/>
      <c r="GA247" s="17"/>
      <c r="GB247" s="17"/>
      <c r="GP247" s="17"/>
      <c r="GQ247" s="17"/>
      <c r="HE247" s="17"/>
      <c r="HF247" s="17"/>
      <c r="HT247" s="17"/>
      <c r="HU247" s="17"/>
      <c r="II247" s="42"/>
      <c r="IJ247" s="42"/>
      <c r="IK247" s="42"/>
      <c r="IL247" s="42"/>
      <c r="IM247" s="42"/>
      <c r="IN247" s="42"/>
      <c r="IO247" s="42"/>
      <c r="IP247" s="42"/>
      <c r="IQ247" s="42"/>
      <c r="IR247" s="42"/>
      <c r="IS247" s="42"/>
      <c r="IT247" s="42"/>
      <c r="IU247" s="42"/>
      <c r="IV247" s="42"/>
      <c r="IW247" s="42"/>
      <c r="IX247" s="42"/>
      <c r="IY247" s="42"/>
      <c r="IZ247" s="42"/>
      <c r="JA247" s="42"/>
      <c r="JB247" s="42"/>
      <c r="JC247" s="42"/>
      <c r="JD247" s="42"/>
      <c r="JE247" s="42"/>
      <c r="JF247" s="42"/>
      <c r="JG247" s="42"/>
      <c r="JH247" s="42"/>
      <c r="JI247" s="42"/>
      <c r="JJ247" s="42"/>
      <c r="JK247" s="42"/>
      <c r="JL247" s="42"/>
      <c r="JM247" s="42"/>
      <c r="JN247" s="42"/>
      <c r="JO247" s="42"/>
      <c r="JP247" s="42"/>
      <c r="JQ247" s="42"/>
      <c r="JR247" s="42"/>
      <c r="JS247" s="42"/>
      <c r="JT247" s="42"/>
      <c r="JU247" s="42"/>
      <c r="JV247" s="42"/>
      <c r="JW247" s="42"/>
      <c r="JX247" s="42"/>
      <c r="JY247" s="42"/>
      <c r="JZ247" s="42"/>
      <c r="KA247" s="42"/>
    </row>
    <row r="248" spans="1:287">
      <c r="A248" s="29" t="s">
        <v>626</v>
      </c>
      <c r="B248" s="24" t="s">
        <v>596</v>
      </c>
      <c r="C248" s="17"/>
      <c r="J248" s="18"/>
      <c r="Q248" s="18"/>
      <c r="R248" s="17"/>
      <c r="Y248" s="18"/>
      <c r="AF248" s="18"/>
      <c r="AG248" s="17"/>
      <c r="AV248" s="17"/>
      <c r="BK248" s="17"/>
      <c r="BZ248" s="17"/>
      <c r="CO248" s="17"/>
      <c r="DD248" s="17"/>
      <c r="DE248" s="17"/>
      <c r="DS248" s="17"/>
      <c r="DT248" s="17"/>
      <c r="EH248" s="17"/>
      <c r="EI248" s="17"/>
      <c r="EW248" s="17"/>
      <c r="EX248" s="17"/>
      <c r="FL248" s="17"/>
      <c r="FM248" s="17"/>
      <c r="GA248" s="17"/>
      <c r="GB248" s="17"/>
      <c r="GP248" s="17"/>
      <c r="GQ248" s="17"/>
      <c r="HE248" s="17"/>
      <c r="HF248" s="17"/>
      <c r="HT248" s="17"/>
      <c r="HU248" s="17"/>
      <c r="II248" s="42"/>
      <c r="IJ248" s="42"/>
      <c r="IK248" s="42"/>
      <c r="IL248" s="42"/>
      <c r="IM248" s="42"/>
      <c r="IN248" s="42"/>
      <c r="IO248" s="42"/>
      <c r="IP248" s="42"/>
      <c r="IQ248" s="42"/>
      <c r="IR248" s="42"/>
      <c r="IS248" s="42"/>
      <c r="IT248" s="42"/>
      <c r="IU248" s="42"/>
      <c r="IV248" s="42"/>
      <c r="IW248" s="42"/>
      <c r="IX248" s="42"/>
      <c r="IY248" s="42"/>
      <c r="IZ248" s="42"/>
      <c r="JA248" s="42"/>
      <c r="JB248" s="42"/>
      <c r="JC248" s="42"/>
      <c r="JD248" s="42"/>
      <c r="JE248" s="42"/>
      <c r="JF248" s="42"/>
      <c r="JG248" s="42"/>
      <c r="JH248" s="42"/>
      <c r="JI248" s="42"/>
      <c r="JJ248" s="42"/>
      <c r="JK248" s="42"/>
      <c r="JL248" s="42"/>
      <c r="JM248" s="42"/>
      <c r="JN248" s="42"/>
      <c r="JO248" s="42"/>
      <c r="JP248" s="42"/>
      <c r="JQ248" s="42"/>
      <c r="JR248" s="42"/>
      <c r="JS248" s="42"/>
      <c r="JT248" s="42"/>
      <c r="JU248" s="42"/>
      <c r="JV248" s="42"/>
      <c r="JW248" s="42"/>
      <c r="JX248" s="42"/>
      <c r="JY248" s="42"/>
      <c r="JZ248" s="42"/>
      <c r="KA248" s="42"/>
    </row>
    <row r="249" spans="1:287">
      <c r="A249" s="20" t="s">
        <v>628</v>
      </c>
      <c r="B249" s="24" t="s">
        <v>596</v>
      </c>
      <c r="C249" s="17"/>
      <c r="J249" s="19"/>
      <c r="Q249" s="19"/>
      <c r="R249" s="17"/>
      <c r="Y249" s="19"/>
      <c r="AF249" s="19"/>
      <c r="AG249" s="17"/>
      <c r="AV249" s="17"/>
      <c r="BK249" s="17"/>
      <c r="BZ249" s="17"/>
      <c r="CO249" s="17"/>
      <c r="DD249" s="17"/>
      <c r="DE249" s="17"/>
      <c r="DS249" s="17"/>
      <c r="DT249" s="17"/>
      <c r="EH249" s="17"/>
      <c r="EI249" s="17"/>
      <c r="EW249" s="17"/>
      <c r="EX249" s="17"/>
      <c r="FL249" s="17"/>
      <c r="FM249" s="17"/>
      <c r="GA249" s="17"/>
      <c r="GB249" s="17"/>
      <c r="GP249" s="17"/>
      <c r="GQ249" s="17"/>
      <c r="HE249" s="17"/>
      <c r="HF249" s="17"/>
      <c r="HT249" s="17"/>
      <c r="HU249" s="17"/>
      <c r="II249" s="42"/>
      <c r="IJ249" s="42"/>
      <c r="IK249" s="42"/>
      <c r="IL249" s="42"/>
      <c r="IM249" s="42"/>
      <c r="IN249" s="42"/>
      <c r="IO249" s="42"/>
      <c r="IP249" s="42"/>
      <c r="IQ249" s="42"/>
      <c r="IR249" s="42"/>
      <c r="IS249" s="42"/>
      <c r="IT249" s="42"/>
      <c r="IU249" s="42"/>
      <c r="IV249" s="42"/>
      <c r="IW249" s="42"/>
      <c r="IX249" s="42"/>
      <c r="IY249" s="42"/>
      <c r="IZ249" s="42"/>
      <c r="JA249" s="42"/>
      <c r="JB249" s="42"/>
      <c r="JC249" s="42"/>
      <c r="JD249" s="42"/>
      <c r="JE249" s="42"/>
      <c r="JF249" s="42"/>
      <c r="JG249" s="42"/>
      <c r="JH249" s="42"/>
      <c r="JI249" s="42"/>
      <c r="JJ249" s="42"/>
      <c r="JK249" s="42"/>
      <c r="JL249" s="42"/>
      <c r="JM249" s="42"/>
      <c r="JN249" s="42"/>
      <c r="JO249" s="42"/>
      <c r="JP249" s="42"/>
      <c r="JQ249" s="42"/>
      <c r="JR249" s="42"/>
      <c r="JS249" s="42"/>
      <c r="JT249" s="42"/>
      <c r="JU249" s="42"/>
      <c r="JV249" s="42"/>
      <c r="JW249" s="42"/>
      <c r="JX249" s="42"/>
      <c r="JY249" s="42"/>
      <c r="JZ249" s="42"/>
      <c r="KA249" s="42"/>
    </row>
    <row r="250" spans="1:287" ht="26.25">
      <c r="A250" s="13" t="s">
        <v>629</v>
      </c>
      <c r="B250" s="13" t="s">
        <v>596</v>
      </c>
      <c r="C250" s="15">
        <v>26.650395</v>
      </c>
      <c r="D250" s="15">
        <v>-80.303201999999999</v>
      </c>
      <c r="J250" s="19"/>
      <c r="Q250" s="18" t="s">
        <v>1430</v>
      </c>
      <c r="R250" s="15">
        <v>26.66</v>
      </c>
      <c r="S250" s="15">
        <v>-80.299813999999998</v>
      </c>
      <c r="Y250" s="18"/>
      <c r="AF250" s="18" t="s">
        <v>1431</v>
      </c>
      <c r="AG250" s="15">
        <v>26.663435</v>
      </c>
      <c r="AH250" s="15">
        <v>-80.301962000000003</v>
      </c>
      <c r="AK250" s="15">
        <v>26</v>
      </c>
      <c r="AV250" s="15">
        <v>26.66356</v>
      </c>
      <c r="AW250" s="15">
        <v>-80.353296999999998</v>
      </c>
      <c r="BJ250" s="15" t="s">
        <v>1432</v>
      </c>
      <c r="BK250" s="15">
        <v>26.663589000000002</v>
      </c>
      <c r="BL250" s="15">
        <v>-80.351506999999998</v>
      </c>
      <c r="BY250" s="15" t="s">
        <v>1433</v>
      </c>
      <c r="BZ250" s="15">
        <v>26.663568999999999</v>
      </c>
      <c r="CA250" s="15">
        <v>-80.350516999999996</v>
      </c>
      <c r="CD250" s="15">
        <v>74</v>
      </c>
      <c r="CN250" s="15" t="s">
        <v>1434</v>
      </c>
      <c r="CO250" s="17"/>
      <c r="DD250" s="17"/>
      <c r="DE250" s="17"/>
      <c r="DS250" s="17"/>
      <c r="DT250" s="17"/>
      <c r="EH250" s="17"/>
      <c r="EI250" s="17"/>
      <c r="EW250" s="17"/>
      <c r="EX250" s="17"/>
      <c r="FL250" s="17"/>
      <c r="FM250" s="17"/>
      <c r="GA250" s="17"/>
      <c r="GB250" s="17"/>
      <c r="GP250" s="17"/>
      <c r="GQ250" s="17"/>
      <c r="HE250" s="17"/>
      <c r="HF250" s="17"/>
      <c r="HT250" s="17"/>
      <c r="HU250" s="17"/>
      <c r="II250" s="42"/>
      <c r="IJ250" s="42"/>
      <c r="IK250" s="42"/>
      <c r="IL250" s="42"/>
      <c r="IM250" s="42"/>
      <c r="IN250" s="42"/>
      <c r="IO250" s="42"/>
      <c r="IP250" s="42"/>
      <c r="IQ250" s="42"/>
      <c r="IR250" s="42"/>
      <c r="IS250" s="42"/>
      <c r="IT250" s="42"/>
      <c r="IU250" s="42"/>
      <c r="IV250" s="42"/>
      <c r="IW250" s="42"/>
      <c r="IX250" s="42"/>
      <c r="IY250" s="42"/>
      <c r="IZ250" s="42"/>
      <c r="JA250" s="42"/>
      <c r="JB250" s="42"/>
      <c r="JC250" s="42"/>
      <c r="JD250" s="42"/>
      <c r="JE250" s="42"/>
      <c r="JF250" s="42"/>
      <c r="JG250" s="42"/>
      <c r="JH250" s="42"/>
      <c r="JI250" s="42"/>
      <c r="JJ250" s="42"/>
      <c r="JK250" s="42"/>
      <c r="JL250" s="42"/>
      <c r="JM250" s="42"/>
      <c r="JN250" s="42"/>
      <c r="JO250" s="42"/>
      <c r="JP250" s="42"/>
      <c r="JQ250" s="42"/>
      <c r="JR250" s="42"/>
      <c r="JS250" s="42"/>
      <c r="JT250" s="42"/>
      <c r="JU250" s="42"/>
      <c r="JV250" s="42"/>
      <c r="JW250" s="42"/>
      <c r="JX250" s="42"/>
      <c r="JY250" s="42"/>
      <c r="JZ250" s="42"/>
      <c r="KA250" s="42"/>
    </row>
    <row r="251" spans="1:287">
      <c r="A251" s="13" t="s">
        <v>630</v>
      </c>
      <c r="B251" s="13" t="s">
        <v>596</v>
      </c>
      <c r="C251" s="15">
        <v>26.641817</v>
      </c>
      <c r="D251" s="15">
        <v>-80.412992000000003</v>
      </c>
      <c r="G251" s="15">
        <v>59</v>
      </c>
      <c r="J251" s="18"/>
      <c r="Q251" s="111" t="s">
        <v>1435</v>
      </c>
      <c r="R251" s="17"/>
      <c r="Y251" s="18"/>
      <c r="AF251" s="111"/>
      <c r="AG251" s="17"/>
      <c r="AU251" s="111"/>
      <c r="AV251" s="17"/>
      <c r="BK251" s="17"/>
      <c r="BZ251" s="17"/>
      <c r="CO251" s="17"/>
      <c r="DD251" s="17"/>
      <c r="DE251" s="17"/>
      <c r="DS251" s="17"/>
      <c r="DT251" s="17"/>
      <c r="EH251" s="17"/>
      <c r="EI251" s="17"/>
      <c r="EW251" s="17"/>
      <c r="EX251" s="17"/>
      <c r="FL251" s="17"/>
      <c r="FM251" s="17"/>
      <c r="GA251" s="17"/>
      <c r="GB251" s="17"/>
      <c r="GP251" s="17"/>
      <c r="GQ251" s="17"/>
      <c r="HE251" s="17"/>
      <c r="HF251" s="17"/>
      <c r="HT251" s="17"/>
      <c r="HU251" s="17"/>
      <c r="II251" s="42"/>
      <c r="IJ251" s="42"/>
      <c r="IK251" s="42"/>
      <c r="IL251" s="42"/>
      <c r="IM251" s="42"/>
      <c r="IN251" s="42"/>
      <c r="IO251" s="42"/>
      <c r="IP251" s="42"/>
      <c r="IQ251" s="42"/>
      <c r="IR251" s="42"/>
      <c r="IS251" s="42"/>
      <c r="IT251" s="42"/>
      <c r="IU251" s="42"/>
      <c r="IV251" s="42"/>
      <c r="IW251" s="42"/>
      <c r="IX251" s="42"/>
      <c r="IY251" s="42"/>
      <c r="IZ251" s="42"/>
      <c r="JA251" s="42"/>
      <c r="JB251" s="42"/>
      <c r="JC251" s="42"/>
      <c r="JD251" s="42"/>
      <c r="JE251" s="42"/>
      <c r="JF251" s="42"/>
      <c r="JG251" s="42"/>
      <c r="JH251" s="42"/>
      <c r="JI251" s="42"/>
      <c r="JJ251" s="42"/>
      <c r="JK251" s="42"/>
      <c r="JL251" s="42"/>
      <c r="JM251" s="42"/>
      <c r="JN251" s="42"/>
      <c r="JO251" s="42"/>
      <c r="JP251" s="42"/>
      <c r="JQ251" s="42"/>
      <c r="JR251" s="42"/>
      <c r="JS251" s="42"/>
      <c r="JT251" s="42"/>
      <c r="JU251" s="42"/>
      <c r="JV251" s="42"/>
      <c r="JW251" s="42"/>
      <c r="JX251" s="42"/>
      <c r="JY251" s="42"/>
      <c r="JZ251" s="42"/>
      <c r="KA251" s="42"/>
    </row>
    <row r="252" spans="1:287" ht="51.75">
      <c r="A252" s="13" t="s">
        <v>631</v>
      </c>
      <c r="B252" s="13" t="s">
        <v>596</v>
      </c>
      <c r="C252" s="15">
        <v>26.413582000000002</v>
      </c>
      <c r="D252" s="15">
        <v>-80.555170000000004</v>
      </c>
      <c r="G252" s="15">
        <v>92</v>
      </c>
      <c r="J252" s="19"/>
      <c r="Q252" s="18" t="s">
        <v>1436</v>
      </c>
      <c r="R252" s="15">
        <v>26.388226</v>
      </c>
      <c r="S252" s="15">
        <v>-80.555010999999993</v>
      </c>
      <c r="V252" s="15">
        <v>71</v>
      </c>
      <c r="Y252" s="19"/>
      <c r="AF252" s="18" t="s">
        <v>1437</v>
      </c>
      <c r="AG252" s="17"/>
      <c r="AV252" s="17"/>
      <c r="BK252" s="17"/>
      <c r="BZ252" s="17"/>
      <c r="CO252" s="17"/>
      <c r="DD252" s="17"/>
      <c r="DE252" s="17"/>
      <c r="DS252" s="17"/>
      <c r="DT252" s="17"/>
      <c r="EH252" s="17"/>
      <c r="EI252" s="17"/>
      <c r="EW252" s="17"/>
      <c r="EX252" s="17"/>
      <c r="FL252" s="17"/>
      <c r="FM252" s="17"/>
      <c r="GA252" s="17"/>
      <c r="GB252" s="17"/>
      <c r="GP252" s="17"/>
      <c r="GQ252" s="17"/>
      <c r="HE252" s="17"/>
      <c r="HF252" s="17"/>
      <c r="HT252" s="17"/>
      <c r="HU252" s="17"/>
      <c r="II252" s="42"/>
      <c r="IJ252" s="42"/>
      <c r="IK252" s="42"/>
      <c r="IL252" s="42"/>
      <c r="IM252" s="42"/>
      <c r="IN252" s="42"/>
      <c r="IO252" s="42"/>
      <c r="IP252" s="42"/>
      <c r="IQ252" s="42"/>
      <c r="IR252" s="42"/>
      <c r="IS252" s="42"/>
      <c r="IT252" s="42"/>
      <c r="IU252" s="42"/>
      <c r="IV252" s="42"/>
      <c r="IW252" s="42"/>
      <c r="IX252" s="42"/>
      <c r="IY252" s="42"/>
      <c r="IZ252" s="42"/>
      <c r="JA252" s="42"/>
      <c r="JB252" s="42"/>
      <c r="JC252" s="42"/>
      <c r="JD252" s="42"/>
      <c r="JE252" s="42"/>
      <c r="JF252" s="42"/>
      <c r="JG252" s="42"/>
      <c r="JH252" s="42"/>
      <c r="JI252" s="42"/>
      <c r="JJ252" s="42"/>
      <c r="JK252" s="42"/>
      <c r="JL252" s="42"/>
      <c r="JM252" s="42"/>
      <c r="JN252" s="42"/>
      <c r="JO252" s="42"/>
      <c r="JP252" s="42"/>
      <c r="JQ252" s="42"/>
      <c r="JR252" s="42"/>
      <c r="JS252" s="42"/>
      <c r="JT252" s="42"/>
      <c r="JU252" s="42"/>
      <c r="JV252" s="42"/>
      <c r="JW252" s="42"/>
      <c r="JX252" s="42"/>
      <c r="JY252" s="42"/>
      <c r="JZ252" s="42"/>
      <c r="KA252" s="42"/>
    </row>
    <row r="253" spans="1:287" ht="39">
      <c r="A253" s="13" t="s">
        <v>632</v>
      </c>
      <c r="B253" s="13" t="s">
        <v>596</v>
      </c>
      <c r="C253" s="15">
        <v>26.385451</v>
      </c>
      <c r="D253" s="15">
        <v>-80.609898999999999</v>
      </c>
      <c r="G253" s="15">
        <v>4</v>
      </c>
      <c r="J253" s="19"/>
      <c r="Q253" s="18" t="s">
        <v>1438</v>
      </c>
      <c r="R253" s="15">
        <v>26.387474000000001</v>
      </c>
      <c r="S253" s="15">
        <v>-80.579110999999997</v>
      </c>
      <c r="Y253" s="19"/>
      <c r="AF253" s="18" t="s">
        <v>1439</v>
      </c>
      <c r="AG253" s="15">
        <v>26.417134999999998</v>
      </c>
      <c r="AH253" s="15">
        <v>-80.534999999999997</v>
      </c>
      <c r="AU253" s="15" t="s">
        <v>1440</v>
      </c>
      <c r="AV253" s="17"/>
      <c r="BK253" s="17"/>
      <c r="BZ253" s="17"/>
      <c r="CO253" s="17"/>
      <c r="DD253" s="17"/>
      <c r="DE253" s="17"/>
      <c r="DS253" s="17"/>
      <c r="DT253" s="17"/>
      <c r="EH253" s="17"/>
      <c r="EI253" s="17"/>
      <c r="EW253" s="17"/>
      <c r="EX253" s="17"/>
      <c r="FL253" s="17"/>
      <c r="FM253" s="17"/>
      <c r="GA253" s="17"/>
      <c r="GB253" s="17"/>
      <c r="GP253" s="17"/>
      <c r="GQ253" s="17"/>
      <c r="HE253" s="17"/>
      <c r="HF253" s="17"/>
      <c r="HT253" s="17"/>
      <c r="HU253" s="17"/>
      <c r="II253" s="42"/>
      <c r="IJ253" s="42"/>
      <c r="IK253" s="42"/>
      <c r="IL253" s="42"/>
      <c r="IM253" s="42"/>
      <c r="IN253" s="42"/>
      <c r="IO253" s="42"/>
      <c r="IP253" s="42"/>
      <c r="IQ253" s="42"/>
      <c r="IR253" s="42"/>
      <c r="IS253" s="42"/>
      <c r="IT253" s="42"/>
      <c r="IU253" s="42"/>
      <c r="IV253" s="42"/>
      <c r="IW253" s="42"/>
      <c r="IX253" s="42"/>
      <c r="IY253" s="42"/>
      <c r="IZ253" s="42"/>
      <c r="JA253" s="42"/>
      <c r="JB253" s="42"/>
      <c r="JC253" s="42"/>
      <c r="JD253" s="42"/>
      <c r="JE253" s="42"/>
      <c r="JF253" s="42"/>
      <c r="JG253" s="42"/>
      <c r="JH253" s="42"/>
      <c r="JI253" s="42"/>
      <c r="JJ253" s="42"/>
      <c r="JK253" s="42"/>
      <c r="JL253" s="42"/>
      <c r="JM253" s="42"/>
      <c r="JN253" s="42"/>
      <c r="JO253" s="42"/>
      <c r="JP253" s="42"/>
      <c r="JQ253" s="42"/>
      <c r="JR253" s="42"/>
      <c r="JS253" s="42"/>
      <c r="JT253" s="42"/>
      <c r="JU253" s="42"/>
      <c r="JV253" s="42"/>
      <c r="JW253" s="42"/>
      <c r="JX253" s="42"/>
      <c r="JY253" s="42"/>
      <c r="JZ253" s="42"/>
      <c r="KA253" s="42"/>
    </row>
    <row r="254" spans="1:287" ht="31.5">
      <c r="A254" s="29" t="s">
        <v>633</v>
      </c>
      <c r="B254" s="24" t="s">
        <v>596</v>
      </c>
      <c r="C254" s="17"/>
      <c r="J254" s="19"/>
      <c r="Q254" s="19"/>
      <c r="R254" s="17"/>
      <c r="Y254" s="19"/>
      <c r="AF254" s="19"/>
      <c r="AG254" s="17"/>
      <c r="AV254" s="17"/>
      <c r="BK254" s="17"/>
      <c r="BZ254" s="17"/>
      <c r="CO254" s="17"/>
      <c r="DD254" s="17"/>
      <c r="DE254" s="17"/>
      <c r="DS254" s="17"/>
      <c r="DT254" s="17"/>
      <c r="EH254" s="17"/>
      <c r="EI254" s="17"/>
      <c r="EW254" s="17"/>
      <c r="EX254" s="17"/>
      <c r="FL254" s="17"/>
      <c r="FM254" s="17"/>
      <c r="GA254" s="17"/>
      <c r="GB254" s="17"/>
      <c r="GP254" s="17"/>
      <c r="GQ254" s="17"/>
      <c r="HE254" s="17"/>
      <c r="HF254" s="17"/>
      <c r="HT254" s="17"/>
      <c r="HU254" s="17"/>
      <c r="II254" s="42"/>
      <c r="IJ254" s="42"/>
      <c r="IK254" s="42"/>
      <c r="IL254" s="42"/>
      <c r="IM254" s="42"/>
      <c r="IN254" s="42"/>
      <c r="IO254" s="42"/>
      <c r="IP254" s="42"/>
      <c r="IQ254" s="42"/>
      <c r="IR254" s="42"/>
      <c r="IS254" s="42"/>
      <c r="IT254" s="42"/>
      <c r="IU254" s="42"/>
      <c r="IV254" s="42"/>
      <c r="IW254" s="42"/>
      <c r="IX254" s="42"/>
      <c r="IY254" s="42"/>
      <c r="IZ254" s="42"/>
      <c r="JA254" s="42"/>
      <c r="JB254" s="42"/>
      <c r="JC254" s="42"/>
      <c r="JD254" s="42"/>
      <c r="JE254" s="42"/>
      <c r="JF254" s="42"/>
      <c r="JG254" s="42"/>
      <c r="JH254" s="42"/>
      <c r="JI254" s="42"/>
      <c r="JJ254" s="42"/>
      <c r="JK254" s="42"/>
      <c r="JL254" s="42"/>
      <c r="JM254" s="42"/>
      <c r="JN254" s="42"/>
      <c r="JO254" s="42"/>
      <c r="JP254" s="42"/>
      <c r="JQ254" s="42"/>
      <c r="JR254" s="42"/>
      <c r="JS254" s="42"/>
      <c r="JT254" s="42"/>
      <c r="JU254" s="42"/>
      <c r="JV254" s="42"/>
      <c r="JW254" s="42"/>
      <c r="JX254" s="42"/>
      <c r="JY254" s="42"/>
      <c r="JZ254" s="42"/>
      <c r="KA254" s="42"/>
    </row>
    <row r="255" spans="1:287">
      <c r="A255" s="13" t="s">
        <v>634</v>
      </c>
      <c r="B255" s="13" t="s">
        <v>635</v>
      </c>
      <c r="C255" s="15">
        <v>28.214400000000001</v>
      </c>
      <c r="D255" s="15">
        <v>-82.846800000000002</v>
      </c>
      <c r="E255" s="15">
        <v>0</v>
      </c>
      <c r="F255" s="15">
        <v>0</v>
      </c>
      <c r="G255" s="15">
        <v>0</v>
      </c>
      <c r="H255" s="15">
        <v>0</v>
      </c>
      <c r="I255" s="15">
        <v>0</v>
      </c>
      <c r="J255" s="18">
        <v>0</v>
      </c>
      <c r="K255" s="15">
        <v>0</v>
      </c>
      <c r="L255" s="15">
        <v>0</v>
      </c>
      <c r="M255" s="15">
        <v>0</v>
      </c>
      <c r="N255" s="15">
        <v>0</v>
      </c>
      <c r="O255" s="15">
        <v>2</v>
      </c>
      <c r="P255" s="15">
        <v>0</v>
      </c>
      <c r="Q255" s="112"/>
      <c r="R255" s="15">
        <v>28.215800000000002</v>
      </c>
      <c r="S255" s="15">
        <v>-82.847700000000003</v>
      </c>
      <c r="T255" s="15">
        <v>0</v>
      </c>
      <c r="U255" s="15">
        <v>0</v>
      </c>
      <c r="V255" s="15">
        <v>0</v>
      </c>
      <c r="W255" s="15">
        <v>0</v>
      </c>
      <c r="X255" s="15">
        <v>0</v>
      </c>
      <c r="Y255" s="18">
        <v>0</v>
      </c>
      <c r="Z255" s="15">
        <v>0</v>
      </c>
      <c r="AA255" s="15">
        <v>0</v>
      </c>
      <c r="AB255" s="15">
        <v>4</v>
      </c>
      <c r="AC255" s="15" t="s">
        <v>1441</v>
      </c>
      <c r="AD255" s="15">
        <v>0</v>
      </c>
      <c r="AE255" s="15">
        <v>0</v>
      </c>
      <c r="AF255" s="112"/>
      <c r="AG255" s="15">
        <v>28.179600000000001</v>
      </c>
      <c r="AH255" s="15">
        <v>-82.850399999999993</v>
      </c>
      <c r="AI255" s="15">
        <v>0</v>
      </c>
      <c r="AJ255" s="15">
        <v>0</v>
      </c>
      <c r="AK255" s="15">
        <v>0</v>
      </c>
      <c r="AL255" s="15">
        <v>0</v>
      </c>
      <c r="AM255" s="15">
        <v>0</v>
      </c>
      <c r="AN255" s="15">
        <v>0</v>
      </c>
      <c r="AO255" s="15">
        <v>0</v>
      </c>
      <c r="AP255" s="15">
        <v>0</v>
      </c>
      <c r="AQ255" s="15">
        <v>2</v>
      </c>
      <c r="AR255" s="15">
        <v>0</v>
      </c>
      <c r="AS255" s="15">
        <v>0</v>
      </c>
      <c r="AT255" s="15">
        <v>0</v>
      </c>
      <c r="AU255" s="112"/>
      <c r="AV255" s="15">
        <v>28.183700000000002</v>
      </c>
      <c r="AW255" s="15">
        <v>-82.850899999999996</v>
      </c>
      <c r="AX255" s="15">
        <v>0</v>
      </c>
      <c r="AY255" s="15">
        <v>0</v>
      </c>
      <c r="AZ255" s="15">
        <v>0</v>
      </c>
      <c r="BA255" s="15">
        <v>0</v>
      </c>
      <c r="BB255" s="15">
        <v>0</v>
      </c>
      <c r="BC255" s="15">
        <v>0</v>
      </c>
      <c r="BD255" s="15">
        <v>0</v>
      </c>
      <c r="BE255" s="15">
        <v>0</v>
      </c>
      <c r="BF255" s="15">
        <v>1</v>
      </c>
      <c r="BG255" s="15">
        <v>0</v>
      </c>
      <c r="BH255" s="15">
        <v>0</v>
      </c>
      <c r="BI255" s="15">
        <v>0</v>
      </c>
      <c r="BJ255" s="112"/>
      <c r="BK255" s="15">
        <v>28.176500000000001</v>
      </c>
      <c r="BL255" s="15">
        <v>-82.850499999999997</v>
      </c>
      <c r="BM255" s="15">
        <v>0</v>
      </c>
      <c r="BN255" s="15">
        <v>0</v>
      </c>
      <c r="BO255" s="15">
        <v>0</v>
      </c>
      <c r="BP255" s="15">
        <v>0</v>
      </c>
      <c r="BQ255" s="15">
        <v>0</v>
      </c>
      <c r="BR255" s="15">
        <v>0</v>
      </c>
      <c r="BS255" s="15">
        <v>0</v>
      </c>
      <c r="BT255" s="15">
        <v>0</v>
      </c>
      <c r="BU255" s="15">
        <v>3</v>
      </c>
      <c r="BV255" s="15">
        <v>0</v>
      </c>
      <c r="BW255" s="15">
        <v>0</v>
      </c>
      <c r="BX255" s="15">
        <v>0</v>
      </c>
      <c r="BY255" s="112"/>
      <c r="BZ255" s="17"/>
      <c r="CN255" s="112"/>
      <c r="CO255" s="17"/>
      <c r="DC255" s="112"/>
      <c r="DD255" s="17"/>
      <c r="DE255" s="17"/>
      <c r="DR255" s="112"/>
      <c r="DS255" s="17"/>
      <c r="DT255" s="17"/>
      <c r="EG255" s="112"/>
      <c r="EH255" s="17"/>
      <c r="EI255" s="17"/>
      <c r="EV255" s="112"/>
      <c r="EW255" s="17"/>
      <c r="EX255" s="17"/>
      <c r="FK255" s="112"/>
      <c r="FL255" s="17"/>
      <c r="FM255" s="17"/>
      <c r="FZ255" s="112"/>
      <c r="GA255" s="17"/>
      <c r="GB255" s="17"/>
      <c r="GP255" s="17"/>
      <c r="GQ255" s="17"/>
      <c r="HE255" s="17"/>
      <c r="HF255" s="17"/>
      <c r="HT255" s="17"/>
      <c r="HU255" s="17"/>
      <c r="II255" s="42"/>
      <c r="IJ255" s="42"/>
      <c r="IK255" s="42"/>
      <c r="IL255" s="42"/>
      <c r="IM255" s="42"/>
      <c r="IN255" s="42"/>
      <c r="IO255" s="42"/>
      <c r="IP255" s="42"/>
      <c r="IQ255" s="42"/>
      <c r="IR255" s="42"/>
      <c r="IS255" s="42"/>
      <c r="IT255" s="42"/>
      <c r="IU255" s="42"/>
      <c r="IV255" s="42"/>
      <c r="IW255" s="42"/>
      <c r="IX255" s="42"/>
      <c r="IY255" s="42"/>
      <c r="IZ255" s="42"/>
      <c r="JA255" s="42"/>
      <c r="JB255" s="42"/>
      <c r="JC255" s="42"/>
      <c r="JD255" s="42"/>
      <c r="JE255" s="42"/>
      <c r="JF255" s="42"/>
      <c r="JG255" s="42"/>
      <c r="JH255" s="42"/>
      <c r="JI255" s="42"/>
      <c r="JJ255" s="42"/>
      <c r="JK255" s="42"/>
      <c r="JL255" s="42"/>
      <c r="JM255" s="42"/>
      <c r="JN255" s="42"/>
      <c r="JO255" s="42"/>
      <c r="JP255" s="42"/>
      <c r="JQ255" s="42"/>
      <c r="JR255" s="42"/>
      <c r="JS255" s="42"/>
      <c r="JT255" s="42"/>
      <c r="JU255" s="42"/>
      <c r="JV255" s="42"/>
      <c r="JW255" s="42"/>
      <c r="JX255" s="42"/>
      <c r="JY255" s="42"/>
      <c r="JZ255" s="42"/>
      <c r="KA255" s="42"/>
    </row>
    <row r="256" spans="1:287">
      <c r="A256" s="13" t="s">
        <v>638</v>
      </c>
      <c r="B256" s="24" t="s">
        <v>635</v>
      </c>
      <c r="C256" s="17"/>
      <c r="J256" s="18"/>
      <c r="Q256" s="18"/>
      <c r="R256" s="17"/>
      <c r="Y256" s="18"/>
      <c r="AF256" s="18"/>
      <c r="AG256" s="17"/>
      <c r="AV256" s="17"/>
      <c r="BK256" s="17"/>
      <c r="BZ256" s="17"/>
      <c r="CO256" s="17"/>
      <c r="DD256" s="17"/>
      <c r="DE256" s="17"/>
      <c r="DS256" s="17"/>
      <c r="DT256" s="17"/>
      <c r="EH256" s="17"/>
      <c r="EI256" s="17"/>
      <c r="EW256" s="17"/>
      <c r="EX256" s="17"/>
      <c r="FL256" s="17"/>
      <c r="FM256" s="17"/>
      <c r="GA256" s="17"/>
      <c r="GB256" s="17"/>
      <c r="GP256" s="17"/>
      <c r="GQ256" s="17"/>
      <c r="HE256" s="17"/>
      <c r="HF256" s="17"/>
      <c r="HT256" s="17"/>
      <c r="HU256" s="17"/>
      <c r="II256" s="42"/>
      <c r="IJ256" s="42"/>
      <c r="IK256" s="42"/>
      <c r="IL256" s="42"/>
      <c r="IM256" s="42"/>
      <c r="IN256" s="42"/>
      <c r="IO256" s="42"/>
      <c r="IP256" s="42"/>
      <c r="IQ256" s="42"/>
      <c r="IR256" s="42"/>
      <c r="IS256" s="42"/>
      <c r="IT256" s="42"/>
      <c r="IU256" s="42"/>
      <c r="IV256" s="42"/>
      <c r="IW256" s="42"/>
      <c r="IX256" s="42"/>
      <c r="IY256" s="42"/>
      <c r="IZ256" s="42"/>
      <c r="JA256" s="42"/>
      <c r="JB256" s="42"/>
      <c r="JC256" s="42"/>
      <c r="JD256" s="42"/>
      <c r="JE256" s="42"/>
      <c r="JF256" s="42"/>
      <c r="JG256" s="42"/>
      <c r="JH256" s="42"/>
      <c r="JI256" s="42"/>
      <c r="JJ256" s="42"/>
      <c r="JK256" s="42"/>
      <c r="JL256" s="42"/>
      <c r="JM256" s="42"/>
      <c r="JN256" s="42"/>
      <c r="JO256" s="42"/>
      <c r="JP256" s="42"/>
      <c r="JQ256" s="42"/>
      <c r="JR256" s="42"/>
      <c r="JS256" s="42"/>
      <c r="JT256" s="42"/>
      <c r="JU256" s="42"/>
      <c r="JV256" s="42"/>
      <c r="JW256" s="42"/>
      <c r="JX256" s="42"/>
      <c r="JY256" s="42"/>
      <c r="JZ256" s="42"/>
      <c r="KA256" s="42"/>
    </row>
    <row r="257" spans="1:287">
      <c r="A257" s="13" t="s">
        <v>639</v>
      </c>
      <c r="B257" s="24" t="s">
        <v>635</v>
      </c>
      <c r="C257" s="17"/>
      <c r="J257" s="18"/>
      <c r="Q257" s="18"/>
      <c r="R257" s="17"/>
      <c r="Y257" s="18"/>
      <c r="AF257" s="18"/>
      <c r="AG257" s="17"/>
      <c r="AV257" s="17"/>
      <c r="BK257" s="17"/>
      <c r="BZ257" s="17"/>
      <c r="CO257" s="17"/>
      <c r="DD257" s="17"/>
      <c r="DE257" s="17"/>
      <c r="DS257" s="17"/>
      <c r="DT257" s="17"/>
      <c r="EH257" s="17"/>
      <c r="EI257" s="17"/>
      <c r="EW257" s="17"/>
      <c r="EX257" s="17"/>
      <c r="FL257" s="17"/>
      <c r="FM257" s="17"/>
      <c r="GA257" s="17"/>
      <c r="GB257" s="17"/>
      <c r="GP257" s="17"/>
      <c r="GQ257" s="17"/>
      <c r="HE257" s="17"/>
      <c r="HF257" s="17"/>
      <c r="HT257" s="17"/>
      <c r="HU257" s="17"/>
      <c r="II257" s="42"/>
      <c r="IJ257" s="42"/>
      <c r="IK257" s="42"/>
      <c r="IL257" s="42"/>
      <c r="IM257" s="42"/>
      <c r="IN257" s="42"/>
      <c r="IO257" s="42"/>
      <c r="IP257" s="42"/>
      <c r="IQ257" s="42"/>
      <c r="IR257" s="42"/>
      <c r="IS257" s="42"/>
      <c r="IT257" s="42"/>
      <c r="IU257" s="42"/>
      <c r="IV257" s="42"/>
      <c r="IW257" s="42"/>
      <c r="IX257" s="42"/>
      <c r="IY257" s="42"/>
      <c r="IZ257" s="42"/>
      <c r="JA257" s="42"/>
      <c r="JB257" s="42"/>
      <c r="JC257" s="42"/>
      <c r="JD257" s="42"/>
      <c r="JE257" s="42"/>
      <c r="JF257" s="42"/>
      <c r="JG257" s="42"/>
      <c r="JH257" s="42"/>
      <c r="JI257" s="42"/>
      <c r="JJ257" s="42"/>
      <c r="JK257" s="42"/>
      <c r="JL257" s="42"/>
      <c r="JM257" s="42"/>
      <c r="JN257" s="42"/>
      <c r="JO257" s="42"/>
      <c r="JP257" s="42"/>
      <c r="JQ257" s="42"/>
      <c r="JR257" s="42"/>
      <c r="JS257" s="42"/>
      <c r="JT257" s="42"/>
      <c r="JU257" s="42"/>
      <c r="JV257" s="42"/>
      <c r="JW257" s="42"/>
      <c r="JX257" s="42"/>
      <c r="JY257" s="42"/>
      <c r="JZ257" s="42"/>
      <c r="KA257" s="42"/>
    </row>
    <row r="258" spans="1:287">
      <c r="A258" s="13" t="s">
        <v>640</v>
      </c>
      <c r="B258" s="13" t="s">
        <v>635</v>
      </c>
      <c r="C258" s="17"/>
      <c r="J258" s="18"/>
      <c r="Q258" s="18"/>
      <c r="R258" s="17"/>
      <c r="Y258" s="19"/>
      <c r="AF258" s="18"/>
      <c r="AG258" s="17"/>
      <c r="AV258" s="17"/>
      <c r="BK258" s="17"/>
      <c r="BZ258" s="17"/>
      <c r="CO258" s="17"/>
      <c r="DD258" s="17"/>
      <c r="DE258" s="17"/>
      <c r="DS258" s="17"/>
      <c r="DT258" s="17"/>
      <c r="EH258" s="17"/>
      <c r="EI258" s="17"/>
      <c r="EW258" s="17"/>
      <c r="EX258" s="17"/>
      <c r="FL258" s="17"/>
      <c r="FM258" s="17"/>
      <c r="GA258" s="17"/>
      <c r="GB258" s="17"/>
      <c r="GP258" s="17"/>
      <c r="GQ258" s="17"/>
      <c r="HE258" s="17"/>
      <c r="HF258" s="17"/>
      <c r="HT258" s="17"/>
      <c r="HU258" s="17"/>
      <c r="II258" s="42"/>
      <c r="IJ258" s="42"/>
      <c r="IK258" s="42"/>
      <c r="IL258" s="42"/>
      <c r="IM258" s="42"/>
      <c r="IN258" s="42"/>
      <c r="IO258" s="42"/>
      <c r="IP258" s="42"/>
      <c r="IQ258" s="42"/>
      <c r="IR258" s="42"/>
      <c r="IS258" s="42"/>
      <c r="IT258" s="42"/>
      <c r="IU258" s="42"/>
      <c r="IV258" s="42"/>
      <c r="IW258" s="42"/>
      <c r="IX258" s="42"/>
      <c r="IY258" s="42"/>
      <c r="IZ258" s="42"/>
      <c r="JA258" s="42"/>
      <c r="JB258" s="42"/>
      <c r="JC258" s="42"/>
      <c r="JD258" s="42"/>
      <c r="JE258" s="42"/>
      <c r="JF258" s="42"/>
      <c r="JG258" s="42"/>
      <c r="JH258" s="42"/>
      <c r="JI258" s="42"/>
      <c r="JJ258" s="42"/>
      <c r="JK258" s="42"/>
      <c r="JL258" s="42"/>
      <c r="JM258" s="42"/>
      <c r="JN258" s="42"/>
      <c r="JO258" s="42"/>
      <c r="JP258" s="42"/>
      <c r="JQ258" s="42"/>
      <c r="JR258" s="42"/>
      <c r="JS258" s="42"/>
      <c r="JT258" s="42"/>
      <c r="JU258" s="42"/>
      <c r="JV258" s="42"/>
      <c r="JW258" s="42"/>
      <c r="JX258" s="42"/>
      <c r="JY258" s="42"/>
      <c r="JZ258" s="42"/>
      <c r="KA258" s="42"/>
    </row>
    <row r="259" spans="1:287" ht="31.5">
      <c r="A259" s="13" t="s">
        <v>642</v>
      </c>
      <c r="B259" s="24" t="s">
        <v>635</v>
      </c>
      <c r="AF259" s="19"/>
      <c r="AG259" s="17"/>
      <c r="AV259" s="17"/>
      <c r="BK259" s="17"/>
      <c r="BZ259" s="17"/>
      <c r="CO259" s="17"/>
      <c r="DD259" s="17"/>
      <c r="DE259" s="17"/>
      <c r="DS259" s="17"/>
      <c r="DT259" s="17"/>
      <c r="EH259" s="17"/>
      <c r="EI259" s="17"/>
      <c r="EW259" s="17"/>
      <c r="EX259" s="17"/>
      <c r="FL259" s="17"/>
      <c r="FM259" s="17"/>
      <c r="GA259" s="17"/>
      <c r="GB259" s="17"/>
      <c r="GP259" s="17"/>
      <c r="GQ259" s="17"/>
      <c r="HE259" s="17"/>
      <c r="HF259" s="17"/>
      <c r="HT259" s="17"/>
      <c r="HU259" s="17"/>
      <c r="II259" s="42"/>
      <c r="IJ259" s="42"/>
      <c r="IK259" s="42"/>
      <c r="IL259" s="42"/>
      <c r="IM259" s="42"/>
      <c r="IN259" s="42"/>
      <c r="IO259" s="42"/>
      <c r="IP259" s="42"/>
      <c r="IQ259" s="42"/>
      <c r="IR259" s="42"/>
      <c r="IS259" s="42"/>
      <c r="IT259" s="42"/>
      <c r="IU259" s="42"/>
      <c r="IV259" s="42"/>
      <c r="IW259" s="42"/>
      <c r="IX259" s="42"/>
      <c r="IY259" s="42"/>
      <c r="IZ259" s="42"/>
      <c r="JA259" s="42"/>
      <c r="JB259" s="42"/>
      <c r="JC259" s="42"/>
      <c r="JD259" s="42"/>
      <c r="JE259" s="42"/>
      <c r="JF259" s="42"/>
      <c r="JG259" s="42"/>
      <c r="JH259" s="42"/>
      <c r="JI259" s="42"/>
      <c r="JJ259" s="42"/>
      <c r="JK259" s="42"/>
      <c r="JL259" s="42"/>
      <c r="JM259" s="42"/>
      <c r="JN259" s="42"/>
      <c r="JO259" s="42"/>
      <c r="JP259" s="42"/>
      <c r="JQ259" s="42"/>
      <c r="JR259" s="42"/>
      <c r="JS259" s="42"/>
      <c r="JT259" s="42"/>
      <c r="JU259" s="42"/>
      <c r="JV259" s="42"/>
      <c r="JW259" s="42"/>
      <c r="JX259" s="42"/>
      <c r="JY259" s="42"/>
      <c r="JZ259" s="42"/>
      <c r="KA259" s="42"/>
    </row>
    <row r="260" spans="1:287">
      <c r="A260" s="13" t="s">
        <v>645</v>
      </c>
      <c r="B260" s="24" t="s">
        <v>635</v>
      </c>
      <c r="C260" s="17"/>
      <c r="J260" s="18"/>
      <c r="Q260" s="18"/>
      <c r="R260" s="18"/>
      <c r="Y260" s="18"/>
      <c r="AF260" s="19"/>
      <c r="AG260" s="17"/>
      <c r="AV260" s="17"/>
      <c r="BK260" s="17"/>
      <c r="BZ260" s="17"/>
      <c r="CO260" s="17"/>
      <c r="DD260" s="17"/>
      <c r="DE260" s="17"/>
      <c r="DS260" s="17"/>
      <c r="DT260" s="17"/>
      <c r="EH260" s="17"/>
      <c r="EI260" s="17"/>
      <c r="EW260" s="17"/>
      <c r="EX260" s="17"/>
      <c r="FL260" s="17"/>
      <c r="FM260" s="17"/>
      <c r="GA260" s="17"/>
      <c r="GB260" s="17"/>
      <c r="GP260" s="17"/>
      <c r="GQ260" s="17"/>
      <c r="HE260" s="17"/>
      <c r="HF260" s="17"/>
      <c r="HT260" s="17"/>
      <c r="HU260" s="17"/>
      <c r="II260" s="42"/>
      <c r="IJ260" s="42"/>
      <c r="IK260" s="42"/>
      <c r="IL260" s="42"/>
      <c r="IM260" s="42"/>
      <c r="IN260" s="42"/>
      <c r="IO260" s="42"/>
      <c r="IP260" s="42"/>
      <c r="IQ260" s="42"/>
      <c r="IR260" s="42"/>
      <c r="IS260" s="42"/>
      <c r="IT260" s="42"/>
      <c r="IU260" s="42"/>
      <c r="IV260" s="42"/>
      <c r="IW260" s="42"/>
      <c r="IX260" s="42"/>
      <c r="IY260" s="42"/>
      <c r="IZ260" s="42"/>
      <c r="JA260" s="42"/>
      <c r="JB260" s="42"/>
      <c r="JC260" s="42"/>
      <c r="JD260" s="42"/>
      <c r="JE260" s="42"/>
      <c r="JF260" s="42"/>
      <c r="JG260" s="42"/>
      <c r="JH260" s="42"/>
      <c r="JI260" s="42"/>
      <c r="JJ260" s="42"/>
      <c r="JK260" s="42"/>
      <c r="JL260" s="42"/>
      <c r="JM260" s="42"/>
      <c r="JN260" s="42"/>
      <c r="JO260" s="42"/>
      <c r="JP260" s="42"/>
      <c r="JQ260" s="42"/>
      <c r="JR260" s="42"/>
      <c r="JS260" s="42"/>
      <c r="JT260" s="42"/>
      <c r="JU260" s="42"/>
      <c r="JV260" s="42"/>
      <c r="JW260" s="42"/>
      <c r="JX260" s="42"/>
      <c r="JY260" s="42"/>
      <c r="JZ260" s="42"/>
      <c r="KA260" s="42"/>
    </row>
    <row r="261" spans="1:287">
      <c r="A261" s="13" t="s">
        <v>646</v>
      </c>
      <c r="B261" s="24" t="s">
        <v>635</v>
      </c>
      <c r="C261" s="17"/>
      <c r="J261" s="19"/>
      <c r="Q261" s="19"/>
      <c r="R261" s="17"/>
      <c r="Y261" s="19"/>
      <c r="AF261" s="19"/>
      <c r="AG261" s="17"/>
      <c r="AV261" s="17"/>
      <c r="BK261" s="17"/>
      <c r="BZ261" s="17"/>
      <c r="CO261" s="17"/>
      <c r="DD261" s="17"/>
      <c r="DE261" s="17"/>
      <c r="DS261" s="17"/>
      <c r="DT261" s="17"/>
      <c r="EH261" s="17"/>
      <c r="EI261" s="17"/>
      <c r="EW261" s="17"/>
      <c r="EX261" s="17"/>
      <c r="FL261" s="17"/>
      <c r="FM261" s="17"/>
      <c r="GA261" s="17"/>
      <c r="GB261" s="17"/>
      <c r="GP261" s="17"/>
      <c r="GQ261" s="17"/>
      <c r="HE261" s="17"/>
      <c r="HF261" s="17"/>
      <c r="HT261" s="17"/>
      <c r="HU261" s="17"/>
      <c r="II261" s="42"/>
      <c r="IJ261" s="42"/>
      <c r="IK261" s="42"/>
      <c r="IL261" s="42"/>
      <c r="IM261" s="42"/>
      <c r="IN261" s="42"/>
      <c r="IO261" s="42"/>
      <c r="IP261" s="42"/>
      <c r="IQ261" s="42"/>
      <c r="IR261" s="42"/>
      <c r="IS261" s="42"/>
      <c r="IT261" s="42"/>
      <c r="IU261" s="42"/>
      <c r="IV261" s="42"/>
      <c r="IW261" s="42"/>
      <c r="IX261" s="42"/>
      <c r="IY261" s="42"/>
      <c r="IZ261" s="42"/>
      <c r="JA261" s="42"/>
      <c r="JB261" s="42"/>
      <c r="JC261" s="42"/>
      <c r="JD261" s="42"/>
      <c r="JE261" s="42"/>
      <c r="JF261" s="42"/>
      <c r="JG261" s="42"/>
      <c r="JH261" s="42"/>
      <c r="JI261" s="42"/>
      <c r="JJ261" s="42"/>
      <c r="JK261" s="42"/>
      <c r="JL261" s="42"/>
      <c r="JM261" s="42"/>
      <c r="JN261" s="42"/>
      <c r="JO261" s="42"/>
      <c r="JP261" s="42"/>
      <c r="JQ261" s="42"/>
      <c r="JR261" s="42"/>
      <c r="JS261" s="42"/>
      <c r="JT261" s="42"/>
      <c r="JU261" s="42"/>
      <c r="JV261" s="42"/>
      <c r="JW261" s="42"/>
      <c r="JX261" s="42"/>
      <c r="JY261" s="42"/>
      <c r="JZ261" s="42"/>
      <c r="KA261" s="42"/>
    </row>
    <row r="262" spans="1:287">
      <c r="A262" s="13" t="s">
        <v>648</v>
      </c>
      <c r="B262" s="13" t="s">
        <v>649</v>
      </c>
      <c r="C262" s="15">
        <v>28.157399999999999</v>
      </c>
      <c r="D262" s="15">
        <v>-82.8369</v>
      </c>
      <c r="E262" s="15">
        <v>0</v>
      </c>
      <c r="F262" s="15">
        <v>0</v>
      </c>
      <c r="G262" s="15">
        <v>0</v>
      </c>
      <c r="H262" s="15">
        <v>0</v>
      </c>
      <c r="I262" s="15">
        <v>9</v>
      </c>
      <c r="J262" s="18">
        <v>0</v>
      </c>
      <c r="K262" s="15">
        <v>0</v>
      </c>
      <c r="L262" s="15">
        <v>0</v>
      </c>
      <c r="M262" s="15">
        <v>0</v>
      </c>
      <c r="N262" s="15">
        <v>0</v>
      </c>
      <c r="O262" s="15">
        <v>0</v>
      </c>
      <c r="P262" s="15">
        <v>0</v>
      </c>
      <c r="Q262" s="18"/>
      <c r="R262" s="15">
        <v>28.158999999999999</v>
      </c>
      <c r="S262" s="15">
        <v>-82.839200000000005</v>
      </c>
      <c r="T262" s="15">
        <v>1</v>
      </c>
      <c r="U262" s="15">
        <v>0</v>
      </c>
      <c r="V262" s="15">
        <v>0</v>
      </c>
      <c r="W262" s="15">
        <v>0</v>
      </c>
      <c r="X262" s="15">
        <v>2</v>
      </c>
      <c r="Y262" s="18">
        <v>0</v>
      </c>
      <c r="Z262" s="15">
        <v>3</v>
      </c>
      <c r="AA262" s="15">
        <v>0</v>
      </c>
      <c r="AB262" s="15">
        <v>0</v>
      </c>
      <c r="AC262" s="15">
        <v>0</v>
      </c>
      <c r="AD262" s="15">
        <v>0</v>
      </c>
      <c r="AE262" s="15">
        <v>0</v>
      </c>
      <c r="AF262" s="18"/>
      <c r="AG262" s="15">
        <v>28.155799999999999</v>
      </c>
      <c r="AH262" s="15">
        <v>-82.840400000000002</v>
      </c>
      <c r="AI262" s="15">
        <v>0</v>
      </c>
      <c r="AJ262" s="15">
        <v>0</v>
      </c>
      <c r="AK262" s="15">
        <v>0</v>
      </c>
      <c r="AL262" s="15">
        <v>0</v>
      </c>
      <c r="AM262" s="15">
        <v>1</v>
      </c>
      <c r="AN262" s="15">
        <v>0</v>
      </c>
      <c r="AO262" s="15">
        <v>45</v>
      </c>
      <c r="AP262" s="15">
        <v>0</v>
      </c>
      <c r="AQ262" s="15">
        <v>0</v>
      </c>
      <c r="AR262" s="15">
        <v>0</v>
      </c>
      <c r="AS262" s="15">
        <v>0</v>
      </c>
      <c r="AT262" s="15">
        <v>0</v>
      </c>
      <c r="AV262" s="15">
        <v>28.16</v>
      </c>
      <c r="AW262" s="15">
        <v>-82.845500000000001</v>
      </c>
      <c r="AX262" s="15">
        <v>0</v>
      </c>
      <c r="AY262" s="15">
        <v>0</v>
      </c>
      <c r="AZ262" s="15">
        <v>0</v>
      </c>
      <c r="BA262" s="15">
        <v>0</v>
      </c>
      <c r="BB262" s="15">
        <v>1</v>
      </c>
      <c r="BC262" s="15" t="s">
        <v>1442</v>
      </c>
      <c r="BD262" s="15">
        <v>0</v>
      </c>
      <c r="BE262" s="15">
        <v>0</v>
      </c>
      <c r="BF262" s="15">
        <v>0</v>
      </c>
      <c r="BG262" s="15">
        <v>0</v>
      </c>
      <c r="BH262" s="15">
        <v>0</v>
      </c>
      <c r="BI262" s="15">
        <v>0</v>
      </c>
      <c r="BK262" s="15">
        <v>28.167400000000001</v>
      </c>
      <c r="BL262" s="15">
        <v>-82.848500000000001</v>
      </c>
      <c r="BM262" s="15">
        <v>0</v>
      </c>
      <c r="BN262" s="15">
        <v>0</v>
      </c>
      <c r="BO262" s="15">
        <v>0</v>
      </c>
      <c r="BP262" s="15">
        <v>0</v>
      </c>
      <c r="BQ262" s="15">
        <v>0</v>
      </c>
      <c r="BR262" s="15">
        <v>0</v>
      </c>
      <c r="BS262" s="15">
        <v>0</v>
      </c>
      <c r="BT262" s="15">
        <v>0</v>
      </c>
      <c r="BU262" s="15">
        <v>4</v>
      </c>
      <c r="BV262" s="15">
        <v>0</v>
      </c>
      <c r="BW262" s="15">
        <v>0</v>
      </c>
      <c r="BX262" s="15">
        <v>0</v>
      </c>
      <c r="BZ262" s="15">
        <v>28.168500000000002</v>
      </c>
      <c r="CA262" s="15">
        <v>-82.848799999999997</v>
      </c>
      <c r="CB262" s="15">
        <v>0</v>
      </c>
      <c r="CC262" s="15">
        <v>0</v>
      </c>
      <c r="CD262" s="15">
        <v>0</v>
      </c>
      <c r="CE262" s="15">
        <v>0</v>
      </c>
      <c r="CF262" s="15">
        <v>0</v>
      </c>
      <c r="CG262" s="15">
        <v>0</v>
      </c>
      <c r="CH262" s="15">
        <v>0</v>
      </c>
      <c r="CI262" s="15">
        <v>0</v>
      </c>
      <c r="CJ262" s="15">
        <v>3</v>
      </c>
      <c r="CK262" s="15">
        <v>0</v>
      </c>
      <c r="CL262" s="15">
        <v>0</v>
      </c>
      <c r="CM262" s="15">
        <v>0</v>
      </c>
      <c r="CO262" s="15">
        <v>28.164899999999999</v>
      </c>
      <c r="CP262" s="15">
        <v>-82.842600000000004</v>
      </c>
      <c r="CQ262" s="15">
        <v>0</v>
      </c>
      <c r="CR262" s="15">
        <v>0</v>
      </c>
      <c r="CS262" s="15">
        <v>36</v>
      </c>
      <c r="CT262" s="15">
        <v>0</v>
      </c>
      <c r="CU262" s="15">
        <v>2</v>
      </c>
      <c r="CV262" s="15" t="s">
        <v>1443</v>
      </c>
      <c r="CW262" s="15">
        <v>0</v>
      </c>
      <c r="CX262" s="15">
        <v>0</v>
      </c>
      <c r="CY262" s="15">
        <v>0</v>
      </c>
      <c r="CZ262" s="15">
        <v>0</v>
      </c>
      <c r="DA262" s="15">
        <v>0</v>
      </c>
      <c r="DB262" s="15">
        <v>0</v>
      </c>
      <c r="DD262" s="17"/>
      <c r="DE262" s="17"/>
      <c r="DS262" s="17"/>
      <c r="DT262" s="17"/>
      <c r="EH262" s="17"/>
      <c r="EI262" s="17"/>
      <c r="EW262" s="17"/>
      <c r="EX262" s="17"/>
      <c r="FL262" s="17"/>
      <c r="FM262" s="17"/>
      <c r="GA262" s="17"/>
      <c r="GB262" s="17"/>
      <c r="GP262" s="17"/>
      <c r="GQ262" s="17"/>
      <c r="HE262" s="17"/>
      <c r="HF262" s="17"/>
      <c r="HT262" s="17"/>
      <c r="HU262" s="17"/>
      <c r="II262" s="42"/>
      <c r="IJ262" s="42"/>
      <c r="IK262" s="42"/>
      <c r="IL262" s="42"/>
      <c r="IM262" s="42"/>
      <c r="IN262" s="42"/>
      <c r="IO262" s="42"/>
      <c r="IP262" s="42"/>
      <c r="IQ262" s="42"/>
      <c r="IR262" s="42"/>
      <c r="IS262" s="42"/>
      <c r="IT262" s="42"/>
      <c r="IU262" s="42"/>
      <c r="IV262" s="42"/>
      <c r="IW262" s="42"/>
      <c r="IX262" s="42"/>
      <c r="IY262" s="42"/>
      <c r="IZ262" s="42"/>
      <c r="JA262" s="42"/>
      <c r="JB262" s="42"/>
      <c r="JC262" s="42"/>
      <c r="JD262" s="42"/>
      <c r="JE262" s="42"/>
      <c r="JF262" s="42"/>
      <c r="JG262" s="42"/>
      <c r="JH262" s="42"/>
      <c r="JI262" s="42"/>
      <c r="JJ262" s="42"/>
      <c r="JK262" s="42"/>
      <c r="JL262" s="42"/>
      <c r="JM262" s="42"/>
      <c r="JN262" s="42"/>
      <c r="JO262" s="42"/>
      <c r="JP262" s="42"/>
      <c r="JQ262" s="42"/>
      <c r="JR262" s="42"/>
      <c r="JS262" s="42"/>
      <c r="JT262" s="42"/>
      <c r="JU262" s="42"/>
      <c r="JV262" s="42"/>
      <c r="JW262" s="42"/>
      <c r="JX262" s="42"/>
      <c r="JY262" s="42"/>
      <c r="JZ262" s="42"/>
      <c r="KA262" s="42"/>
    </row>
    <row r="263" spans="1:287" ht="64.5">
      <c r="A263" s="13" t="s">
        <v>651</v>
      </c>
      <c r="B263" s="13" t="s">
        <v>649</v>
      </c>
      <c r="C263" s="15">
        <v>28.026199999999999</v>
      </c>
      <c r="D263" s="15">
        <v>-82.8245</v>
      </c>
      <c r="E263" s="15">
        <v>3</v>
      </c>
      <c r="F263" s="15">
        <v>0</v>
      </c>
      <c r="G263" s="15">
        <v>0</v>
      </c>
      <c r="H263" s="15">
        <v>0</v>
      </c>
      <c r="I263" s="15">
        <v>0</v>
      </c>
      <c r="J263" s="18">
        <v>0</v>
      </c>
      <c r="K263" s="15">
        <v>0</v>
      </c>
      <c r="L263" s="15">
        <v>0</v>
      </c>
      <c r="M263" s="15">
        <v>0</v>
      </c>
      <c r="N263" s="15">
        <v>0</v>
      </c>
      <c r="O263" s="15">
        <v>0</v>
      </c>
      <c r="P263" s="15">
        <v>0</v>
      </c>
      <c r="Q263" s="18" t="s">
        <v>1444</v>
      </c>
      <c r="R263" s="15">
        <v>28.049008000000001</v>
      </c>
      <c r="S263" s="15">
        <v>-82.820700000000002</v>
      </c>
      <c r="T263" s="15">
        <v>0</v>
      </c>
      <c r="U263" s="15">
        <v>0</v>
      </c>
      <c r="V263" s="15">
        <v>0</v>
      </c>
      <c r="W263" s="15">
        <v>0</v>
      </c>
      <c r="X263" s="15">
        <v>0</v>
      </c>
      <c r="Y263" s="18">
        <v>0</v>
      </c>
      <c r="Z263" s="15">
        <v>1</v>
      </c>
      <c r="AA263" s="15">
        <v>0</v>
      </c>
      <c r="AB263" s="15">
        <v>0</v>
      </c>
      <c r="AC263" s="15">
        <v>0</v>
      </c>
      <c r="AD263" s="15">
        <v>0</v>
      </c>
      <c r="AE263" s="15">
        <v>0</v>
      </c>
      <c r="AF263" s="18" t="s">
        <v>1445</v>
      </c>
      <c r="AG263" s="15">
        <v>28.051600000000001</v>
      </c>
      <c r="AH263" s="15">
        <v>-82.819400000000002</v>
      </c>
      <c r="AI263" s="15">
        <v>0</v>
      </c>
      <c r="AJ263" s="15">
        <v>0</v>
      </c>
      <c r="AK263" s="15">
        <v>0</v>
      </c>
      <c r="AL263" s="15">
        <v>0</v>
      </c>
      <c r="AM263" s="15">
        <v>15</v>
      </c>
      <c r="AN263" s="15" t="s">
        <v>1446</v>
      </c>
      <c r="AO263" s="15">
        <v>0</v>
      </c>
      <c r="AP263" s="15">
        <v>0</v>
      </c>
      <c r="AQ263" s="15">
        <v>1</v>
      </c>
      <c r="AR263" s="15">
        <v>0</v>
      </c>
      <c r="AS263" s="15">
        <v>0</v>
      </c>
      <c r="AT263" s="15">
        <v>0</v>
      </c>
      <c r="AU263" s="15" t="s">
        <v>1447</v>
      </c>
      <c r="AV263" s="15">
        <v>28.026199999999999</v>
      </c>
      <c r="AW263" s="15">
        <v>-82.8245</v>
      </c>
      <c r="AX263" s="15">
        <v>5</v>
      </c>
      <c r="AY263" s="15" t="s">
        <v>1448</v>
      </c>
      <c r="AZ263" s="15">
        <v>0</v>
      </c>
      <c r="BA263" s="15">
        <v>0</v>
      </c>
      <c r="BB263" s="15">
        <v>0</v>
      </c>
      <c r="BC263" s="15">
        <v>0</v>
      </c>
      <c r="BD263" s="15">
        <v>0</v>
      </c>
      <c r="BE263" s="15">
        <v>0</v>
      </c>
      <c r="BF263" s="15">
        <v>0</v>
      </c>
      <c r="BG263" s="15">
        <v>0</v>
      </c>
      <c r="BH263" s="15">
        <v>0</v>
      </c>
      <c r="BI263" s="15">
        <v>0</v>
      </c>
      <c r="BJ263" s="15" t="s">
        <v>1449</v>
      </c>
      <c r="BK263" s="17"/>
      <c r="BZ263" s="17"/>
      <c r="CO263" s="17"/>
      <c r="DD263" s="17"/>
      <c r="DE263" s="17"/>
      <c r="DS263" s="17"/>
      <c r="DT263" s="17"/>
      <c r="EH263" s="17"/>
      <c r="EI263" s="17"/>
      <c r="EW263" s="17"/>
      <c r="EX263" s="17"/>
      <c r="FL263" s="17"/>
      <c r="FM263" s="17"/>
      <c r="GA263" s="17"/>
      <c r="GB263" s="17"/>
      <c r="GP263" s="17"/>
      <c r="GQ263" s="17"/>
      <c r="HE263" s="17"/>
      <c r="HF263" s="17"/>
      <c r="HT263" s="17"/>
      <c r="HU263" s="17"/>
      <c r="II263" s="42"/>
      <c r="IJ263" s="42"/>
      <c r="IK263" s="42"/>
      <c r="IL263" s="42"/>
      <c r="IM263" s="42"/>
      <c r="IN263" s="42"/>
      <c r="IO263" s="42"/>
      <c r="IP263" s="42"/>
      <c r="IQ263" s="42"/>
      <c r="IR263" s="42"/>
      <c r="IS263" s="42"/>
      <c r="IT263" s="42"/>
      <c r="IU263" s="42"/>
      <c r="IV263" s="42"/>
      <c r="IW263" s="42"/>
      <c r="IX263" s="42"/>
      <c r="IY263" s="42"/>
      <c r="IZ263" s="42"/>
      <c r="JA263" s="42"/>
      <c r="JB263" s="42"/>
      <c r="JC263" s="42"/>
      <c r="JD263" s="42"/>
      <c r="JE263" s="42"/>
      <c r="JF263" s="42"/>
      <c r="JG263" s="42"/>
      <c r="JH263" s="42"/>
      <c r="JI263" s="42"/>
      <c r="JJ263" s="42"/>
      <c r="JK263" s="42"/>
      <c r="JL263" s="42"/>
      <c r="JM263" s="42"/>
      <c r="JN263" s="42"/>
      <c r="JO263" s="42"/>
      <c r="JP263" s="42"/>
      <c r="JQ263" s="42"/>
      <c r="JR263" s="42"/>
      <c r="JS263" s="42"/>
      <c r="JT263" s="42"/>
      <c r="JU263" s="42"/>
      <c r="JV263" s="42"/>
      <c r="JW263" s="42"/>
      <c r="JX263" s="42"/>
      <c r="JY263" s="42"/>
      <c r="JZ263" s="42"/>
      <c r="KA263" s="42"/>
    </row>
    <row r="264" spans="1:287" ht="39">
      <c r="A264" s="13" t="s">
        <v>654</v>
      </c>
      <c r="B264" s="13" t="s">
        <v>649</v>
      </c>
      <c r="C264" s="15">
        <v>28.002759999999999</v>
      </c>
      <c r="D264" s="15">
        <v>-82.828609999999998</v>
      </c>
      <c r="E264" s="15">
        <v>1</v>
      </c>
      <c r="F264" s="15">
        <v>0</v>
      </c>
      <c r="G264" s="15">
        <v>0</v>
      </c>
      <c r="I264" s="15">
        <v>0</v>
      </c>
      <c r="J264" s="19"/>
      <c r="K264" s="15">
        <v>0</v>
      </c>
      <c r="M264" s="15">
        <v>0</v>
      </c>
      <c r="O264" s="15">
        <v>0</v>
      </c>
      <c r="Q264" s="18"/>
      <c r="R264" s="15">
        <v>28.007380000000001</v>
      </c>
      <c r="S264" s="15">
        <v>-82.828410000000005</v>
      </c>
      <c r="T264" s="15">
        <v>2</v>
      </c>
      <c r="U264" s="15">
        <v>0</v>
      </c>
      <c r="V264" s="15">
        <v>0</v>
      </c>
      <c r="X264" s="15">
        <v>0</v>
      </c>
      <c r="Y264" s="19"/>
      <c r="Z264" s="15">
        <v>0</v>
      </c>
      <c r="AB264" s="15">
        <v>0</v>
      </c>
      <c r="AD264" s="15">
        <v>0</v>
      </c>
      <c r="AF264" s="18" t="s">
        <v>1450</v>
      </c>
      <c r="AG264" s="17"/>
      <c r="AV264" s="17"/>
      <c r="BK264" s="17"/>
      <c r="BZ264" s="17"/>
      <c r="CO264" s="17"/>
      <c r="DD264" s="17"/>
      <c r="DE264" s="17"/>
      <c r="DS264" s="17"/>
      <c r="DT264" s="17"/>
      <c r="EH264" s="17"/>
      <c r="EI264" s="17"/>
      <c r="EW264" s="17"/>
      <c r="EX264" s="17"/>
      <c r="FL264" s="17"/>
      <c r="FM264" s="17"/>
      <c r="GA264" s="17"/>
      <c r="GB264" s="17"/>
      <c r="GP264" s="17"/>
      <c r="GQ264" s="17"/>
      <c r="HE264" s="17"/>
      <c r="HF264" s="17"/>
      <c r="HT264" s="17"/>
      <c r="HU264" s="17"/>
      <c r="II264" s="42"/>
      <c r="IJ264" s="42"/>
      <c r="IK264" s="42"/>
      <c r="IL264" s="42"/>
      <c r="IM264" s="42"/>
      <c r="IN264" s="42"/>
      <c r="IO264" s="42"/>
      <c r="IP264" s="42"/>
      <c r="IQ264" s="42"/>
      <c r="IR264" s="42"/>
      <c r="IS264" s="42"/>
      <c r="IT264" s="42"/>
      <c r="IU264" s="42"/>
      <c r="IV264" s="42"/>
      <c r="IW264" s="42"/>
      <c r="IX264" s="42"/>
      <c r="IY264" s="42"/>
      <c r="IZ264" s="42"/>
      <c r="JA264" s="42"/>
      <c r="JB264" s="42"/>
      <c r="JC264" s="42"/>
      <c r="JD264" s="42"/>
      <c r="JE264" s="42"/>
      <c r="JF264" s="42"/>
      <c r="JG264" s="42"/>
      <c r="JH264" s="42"/>
      <c r="JI264" s="42"/>
      <c r="JJ264" s="42"/>
      <c r="JK264" s="42"/>
      <c r="JL264" s="42"/>
      <c r="JM264" s="42"/>
      <c r="JN264" s="42"/>
      <c r="JO264" s="42"/>
      <c r="JP264" s="42"/>
      <c r="JQ264" s="42"/>
      <c r="JR264" s="42"/>
      <c r="JS264" s="42"/>
      <c r="JT264" s="42"/>
      <c r="JU264" s="42"/>
      <c r="JV264" s="42"/>
      <c r="JW264" s="42"/>
      <c r="JX264" s="42"/>
      <c r="JY264" s="42"/>
      <c r="JZ264" s="42"/>
      <c r="KA264" s="42"/>
    </row>
    <row r="265" spans="1:287" ht="51.75">
      <c r="A265" s="13" t="s">
        <v>657</v>
      </c>
      <c r="B265" s="13" t="s">
        <v>649</v>
      </c>
      <c r="C265" s="15">
        <v>27.976410000000001</v>
      </c>
      <c r="D265" s="36">
        <v>-82.83023</v>
      </c>
      <c r="E265" s="15">
        <v>0</v>
      </c>
      <c r="G265" s="15">
        <v>0</v>
      </c>
      <c r="I265" s="15">
        <v>0</v>
      </c>
      <c r="J265" s="19"/>
      <c r="K265" s="15">
        <v>0</v>
      </c>
      <c r="M265" s="15">
        <v>0</v>
      </c>
      <c r="O265" s="15">
        <v>0</v>
      </c>
      <c r="Q265" s="18" t="s">
        <v>1451</v>
      </c>
      <c r="R265" s="15">
        <v>27.982759999999999</v>
      </c>
      <c r="S265" s="15">
        <v>-82.829610000000002</v>
      </c>
      <c r="T265" s="15">
        <v>0</v>
      </c>
      <c r="V265" s="15">
        <v>0</v>
      </c>
      <c r="X265" s="15">
        <v>0</v>
      </c>
      <c r="Y265" s="19"/>
      <c r="Z265" s="15">
        <v>0</v>
      </c>
      <c r="AB265" s="15">
        <v>0</v>
      </c>
      <c r="AD265" s="15">
        <v>0</v>
      </c>
      <c r="AF265" s="18" t="s">
        <v>1452</v>
      </c>
      <c r="AG265" s="15">
        <v>27.986329999999999</v>
      </c>
      <c r="AH265" s="15">
        <v>-82.829170000000005</v>
      </c>
      <c r="AI265" s="15">
        <v>0</v>
      </c>
      <c r="AK265" s="15">
        <v>0</v>
      </c>
      <c r="AM265" s="15">
        <v>0</v>
      </c>
      <c r="AO265" s="15">
        <v>0</v>
      </c>
      <c r="AQ265" s="15">
        <v>0</v>
      </c>
      <c r="AS265" s="15">
        <v>0</v>
      </c>
      <c r="AU265" s="15" t="s">
        <v>1453</v>
      </c>
      <c r="AV265" s="17"/>
      <c r="BK265" s="17"/>
      <c r="BZ265" s="17"/>
      <c r="CO265" s="17"/>
      <c r="DD265" s="17"/>
      <c r="DE265" s="17"/>
      <c r="DS265" s="17"/>
      <c r="DT265" s="17"/>
      <c r="EH265" s="17"/>
      <c r="EI265" s="17"/>
      <c r="EW265" s="17"/>
      <c r="EX265" s="17"/>
      <c r="FL265" s="17"/>
      <c r="FM265" s="17"/>
      <c r="GA265" s="17"/>
      <c r="GB265" s="17"/>
      <c r="GP265" s="17"/>
      <c r="GQ265" s="17"/>
      <c r="HE265" s="17"/>
      <c r="HF265" s="17"/>
      <c r="HT265" s="17"/>
      <c r="HU265" s="17"/>
      <c r="II265" s="42"/>
      <c r="IJ265" s="42"/>
      <c r="IK265" s="42"/>
      <c r="IL265" s="42"/>
      <c r="IM265" s="42"/>
      <c r="IN265" s="42"/>
      <c r="IO265" s="42"/>
      <c r="IP265" s="42"/>
      <c r="IQ265" s="42"/>
      <c r="IR265" s="42"/>
      <c r="IS265" s="42"/>
      <c r="IT265" s="42"/>
      <c r="IU265" s="42"/>
      <c r="IV265" s="42"/>
      <c r="IW265" s="42"/>
      <c r="IX265" s="42"/>
      <c r="IY265" s="42"/>
      <c r="IZ265" s="42"/>
      <c r="JA265" s="42"/>
      <c r="JB265" s="42"/>
      <c r="JC265" s="42"/>
      <c r="JD265" s="42"/>
      <c r="JE265" s="42"/>
      <c r="JF265" s="42"/>
      <c r="JG265" s="42"/>
      <c r="JH265" s="42"/>
      <c r="JI265" s="42"/>
      <c r="JJ265" s="42"/>
      <c r="JK265" s="42"/>
      <c r="JL265" s="42"/>
      <c r="JM265" s="42"/>
      <c r="JN265" s="42"/>
      <c r="JO265" s="42"/>
      <c r="JP265" s="42"/>
      <c r="JQ265" s="42"/>
      <c r="JR265" s="42"/>
      <c r="JS265" s="42"/>
      <c r="JT265" s="42"/>
      <c r="JU265" s="42"/>
      <c r="JV265" s="42"/>
      <c r="JW265" s="42"/>
      <c r="JX265" s="42"/>
      <c r="JY265" s="42"/>
      <c r="JZ265" s="42"/>
      <c r="KA265" s="42"/>
    </row>
    <row r="266" spans="1:287">
      <c r="A266" s="13" t="s">
        <v>658</v>
      </c>
      <c r="B266" s="13" t="s">
        <v>649</v>
      </c>
      <c r="C266" s="17"/>
      <c r="J266" s="19"/>
      <c r="Q266" s="19"/>
      <c r="R266" s="17"/>
      <c r="Y266" s="19"/>
      <c r="AF266" s="19"/>
      <c r="AG266" s="17"/>
      <c r="AV266" s="17"/>
      <c r="BK266" s="17"/>
      <c r="BZ266" s="17"/>
      <c r="CO266" s="17"/>
      <c r="DD266" s="17"/>
      <c r="DE266" s="17"/>
      <c r="DS266" s="17"/>
      <c r="DT266" s="17"/>
      <c r="EH266" s="17"/>
      <c r="EI266" s="17"/>
      <c r="EW266" s="17"/>
      <c r="EX266" s="17"/>
      <c r="FL266" s="17"/>
      <c r="FM266" s="17"/>
      <c r="GA266" s="17"/>
      <c r="GB266" s="17"/>
      <c r="GP266" s="17"/>
      <c r="GQ266" s="17"/>
      <c r="HE266" s="17"/>
      <c r="HF266" s="17"/>
      <c r="HT266" s="17"/>
      <c r="HU266" s="17"/>
      <c r="II266" s="42"/>
      <c r="IJ266" s="42"/>
      <c r="IK266" s="42"/>
      <c r="IL266" s="42"/>
      <c r="IM266" s="42"/>
      <c r="IN266" s="42"/>
      <c r="IO266" s="42"/>
      <c r="IP266" s="42"/>
      <c r="IQ266" s="42"/>
      <c r="IR266" s="42"/>
      <c r="IS266" s="42"/>
      <c r="IT266" s="42"/>
      <c r="IU266" s="42"/>
      <c r="IV266" s="42"/>
      <c r="IW266" s="42"/>
      <c r="IX266" s="42"/>
      <c r="IY266" s="42"/>
      <c r="IZ266" s="42"/>
      <c r="JA266" s="42"/>
      <c r="JB266" s="42"/>
      <c r="JC266" s="42"/>
      <c r="JD266" s="42"/>
      <c r="JE266" s="42"/>
      <c r="JF266" s="42"/>
      <c r="JG266" s="42"/>
      <c r="JH266" s="42"/>
      <c r="JI266" s="42"/>
      <c r="JJ266" s="42"/>
      <c r="JK266" s="42"/>
      <c r="JL266" s="42"/>
      <c r="JM266" s="42"/>
      <c r="JN266" s="42"/>
      <c r="JO266" s="42"/>
      <c r="JP266" s="42"/>
      <c r="JQ266" s="42"/>
      <c r="JR266" s="42"/>
      <c r="JS266" s="42"/>
      <c r="JT266" s="42"/>
      <c r="JU266" s="42"/>
      <c r="JV266" s="42"/>
      <c r="JW266" s="42"/>
      <c r="JX266" s="42"/>
      <c r="JY266" s="42"/>
      <c r="JZ266" s="42"/>
      <c r="KA266" s="42"/>
    </row>
    <row r="267" spans="1:287" ht="31.5">
      <c r="A267" s="13" t="s">
        <v>661</v>
      </c>
      <c r="B267" s="13" t="s">
        <v>649</v>
      </c>
      <c r="C267" s="15">
        <v>27.957018000000001</v>
      </c>
      <c r="D267" s="15">
        <v>-82.711084</v>
      </c>
      <c r="E267" s="15">
        <v>2</v>
      </c>
      <c r="F267" s="15">
        <v>0</v>
      </c>
      <c r="G267" s="15">
        <v>0</v>
      </c>
      <c r="I267" s="15">
        <v>0</v>
      </c>
      <c r="J267" s="18"/>
      <c r="K267" s="15">
        <v>0</v>
      </c>
      <c r="M267" s="15">
        <v>0</v>
      </c>
      <c r="O267" s="15">
        <v>0</v>
      </c>
      <c r="Q267" s="19"/>
      <c r="R267" s="15">
        <v>27.960732</v>
      </c>
      <c r="S267" s="15">
        <v>-82.698155</v>
      </c>
      <c r="T267" s="15">
        <v>0</v>
      </c>
      <c r="V267" s="15">
        <v>145</v>
      </c>
      <c r="W267" s="15">
        <v>0</v>
      </c>
      <c r="X267" s="15">
        <v>0</v>
      </c>
      <c r="Y267" s="18"/>
      <c r="Z267" s="15">
        <v>0</v>
      </c>
      <c r="AB267" s="15">
        <v>0</v>
      </c>
      <c r="AD267" s="15">
        <v>0</v>
      </c>
      <c r="AF267" s="19"/>
      <c r="AG267" s="15">
        <v>27.961126</v>
      </c>
      <c r="AH267" s="15">
        <v>-82.696230999999997</v>
      </c>
      <c r="AI267" s="15">
        <v>0</v>
      </c>
      <c r="AK267" s="15">
        <v>0</v>
      </c>
      <c r="AM267" s="15">
        <v>0</v>
      </c>
      <c r="AO267" s="15">
        <v>0</v>
      </c>
      <c r="AQ267" s="15">
        <v>0</v>
      </c>
      <c r="AS267" s="15">
        <v>4</v>
      </c>
      <c r="AT267" s="15">
        <v>0</v>
      </c>
      <c r="AV267" s="15">
        <v>27.963425999999998</v>
      </c>
      <c r="AW267" s="15">
        <v>-82.676938000000007</v>
      </c>
      <c r="AX267" s="15">
        <v>0</v>
      </c>
      <c r="AZ267" s="15">
        <v>0</v>
      </c>
      <c r="BB267" s="15">
        <v>0</v>
      </c>
      <c r="BD267" s="15">
        <v>0</v>
      </c>
      <c r="BF267" s="15">
        <v>0</v>
      </c>
      <c r="BH267" s="15">
        <v>4</v>
      </c>
      <c r="BK267" s="15">
        <v>27.964030000000001</v>
      </c>
      <c r="BL267" s="15">
        <v>-82.672308000000001</v>
      </c>
      <c r="BM267" s="15">
        <v>6</v>
      </c>
      <c r="BN267" s="15">
        <v>0</v>
      </c>
      <c r="BO267" s="15">
        <v>0</v>
      </c>
      <c r="BQ267" s="15">
        <v>0</v>
      </c>
      <c r="BS267" s="15">
        <v>0</v>
      </c>
      <c r="BU267" s="15">
        <v>0</v>
      </c>
      <c r="BW267" s="15">
        <v>0</v>
      </c>
      <c r="BZ267" s="15">
        <v>27.967772</v>
      </c>
      <c r="CA267" s="15">
        <v>-82.641681000000005</v>
      </c>
      <c r="CB267" s="15">
        <v>4</v>
      </c>
      <c r="CC267" s="15">
        <v>0</v>
      </c>
      <c r="CD267" s="15">
        <v>0</v>
      </c>
      <c r="CF267" s="15">
        <v>0</v>
      </c>
      <c r="CH267" s="15">
        <v>0</v>
      </c>
      <c r="CJ267" s="15">
        <v>0</v>
      </c>
      <c r="CL267" s="15">
        <v>0</v>
      </c>
      <c r="CO267" s="15">
        <v>27.968433000000001</v>
      </c>
      <c r="CP267" s="15">
        <v>-82.636135999999993</v>
      </c>
      <c r="CQ267" s="15">
        <v>38</v>
      </c>
      <c r="CR267" s="15" t="s">
        <v>1454</v>
      </c>
      <c r="CS267" s="15">
        <v>0</v>
      </c>
      <c r="CU267" s="15">
        <v>0</v>
      </c>
      <c r="CW267" s="15">
        <v>0</v>
      </c>
      <c r="CY267" s="15">
        <v>0</v>
      </c>
      <c r="DA267" s="15">
        <v>0</v>
      </c>
      <c r="DD267" s="15">
        <v>27.968833</v>
      </c>
      <c r="DE267" s="15">
        <v>-82.574245000000005</v>
      </c>
      <c r="DF267" s="15">
        <v>2</v>
      </c>
      <c r="DH267" s="15">
        <v>0</v>
      </c>
      <c r="DJ267" s="15">
        <v>0</v>
      </c>
      <c r="DL267" s="15">
        <v>0</v>
      </c>
      <c r="DN267" s="15">
        <v>0</v>
      </c>
      <c r="DP267" s="15">
        <v>0</v>
      </c>
      <c r="DS267" s="15">
        <v>27.968267000000001</v>
      </c>
      <c r="DT267" s="15">
        <v>-82.571864000000005</v>
      </c>
      <c r="DU267" s="15">
        <v>0</v>
      </c>
      <c r="DW267" s="15">
        <v>235</v>
      </c>
      <c r="DY267" s="15">
        <v>0</v>
      </c>
      <c r="EA267" s="15">
        <v>0</v>
      </c>
      <c r="EC267" s="15">
        <v>0</v>
      </c>
      <c r="EE267" s="15">
        <v>0</v>
      </c>
      <c r="EH267" s="15">
        <v>27.963450000000002</v>
      </c>
      <c r="EI267" s="15">
        <v>-82.567099999999996</v>
      </c>
      <c r="EJ267" s="15">
        <v>2</v>
      </c>
      <c r="EK267" s="15">
        <v>0</v>
      </c>
      <c r="EL267" s="15">
        <v>0</v>
      </c>
      <c r="EN267" s="15">
        <v>0</v>
      </c>
      <c r="EP267" s="15">
        <v>0</v>
      </c>
      <c r="ER267" s="15">
        <v>0</v>
      </c>
      <c r="ET267" s="15">
        <v>0</v>
      </c>
      <c r="EW267" s="17"/>
      <c r="EX267" s="17"/>
      <c r="FL267" s="17"/>
      <c r="FM267" s="17"/>
      <c r="GA267" s="17"/>
      <c r="GB267" s="17"/>
      <c r="GP267" s="17"/>
      <c r="GQ267" s="17"/>
      <c r="HE267" s="17"/>
      <c r="HF267" s="17"/>
      <c r="HT267" s="17"/>
      <c r="HU267" s="17"/>
      <c r="II267" s="42"/>
      <c r="IJ267" s="42"/>
      <c r="IK267" s="42"/>
      <c r="IL267" s="42"/>
      <c r="IM267" s="42"/>
      <c r="IN267" s="42"/>
      <c r="IO267" s="42"/>
      <c r="IP267" s="42"/>
      <c r="IQ267" s="42"/>
      <c r="IR267" s="42"/>
      <c r="IS267" s="42"/>
      <c r="IT267" s="42"/>
      <c r="IU267" s="42"/>
      <c r="IV267" s="42"/>
      <c r="IW267" s="42"/>
      <c r="IX267" s="42"/>
      <c r="IY267" s="42"/>
      <c r="IZ267" s="42"/>
      <c r="JA267" s="42"/>
      <c r="JB267" s="42"/>
      <c r="JC267" s="42"/>
      <c r="JD267" s="42"/>
      <c r="JE267" s="42"/>
      <c r="JF267" s="42"/>
      <c r="JG267" s="42"/>
      <c r="JH267" s="42"/>
      <c r="JI267" s="42"/>
      <c r="JJ267" s="42"/>
      <c r="JK267" s="42"/>
      <c r="JL267" s="42"/>
      <c r="JM267" s="42"/>
      <c r="JN267" s="42"/>
      <c r="JO267" s="42"/>
      <c r="JP267" s="42"/>
      <c r="JQ267" s="42"/>
      <c r="JR267" s="42"/>
      <c r="JS267" s="42"/>
      <c r="JT267" s="42"/>
      <c r="JU267" s="42"/>
      <c r="JV267" s="42"/>
      <c r="JW267" s="42"/>
      <c r="JX267" s="42"/>
      <c r="JY267" s="42"/>
      <c r="JZ267" s="42"/>
      <c r="KA267" s="42"/>
    </row>
    <row r="268" spans="1:287">
      <c r="A268" s="13" t="s">
        <v>665</v>
      </c>
      <c r="B268" s="13" t="s">
        <v>649</v>
      </c>
      <c r="C268" s="113"/>
      <c r="J268" s="18"/>
      <c r="Q268" s="18"/>
      <c r="R268" s="17"/>
      <c r="Y268" s="18"/>
      <c r="AF268" s="19"/>
      <c r="AG268" s="17"/>
      <c r="AV268" s="17"/>
      <c r="BK268" s="17"/>
      <c r="BZ268" s="17"/>
      <c r="CO268" s="15" t="s">
        <v>1455</v>
      </c>
      <c r="DD268" s="17"/>
      <c r="DE268" s="17"/>
      <c r="DS268" s="17"/>
      <c r="DT268" s="17"/>
      <c r="EH268" s="17"/>
      <c r="EI268" s="17"/>
      <c r="EW268" s="17"/>
      <c r="EX268" s="17"/>
      <c r="FL268" s="17"/>
      <c r="FM268" s="17"/>
      <c r="GA268" s="17"/>
      <c r="GB268" s="17"/>
      <c r="GP268" s="17"/>
      <c r="GQ268" s="17"/>
      <c r="HE268" s="17"/>
      <c r="HF268" s="17"/>
      <c r="HT268" s="17"/>
      <c r="HU268" s="17"/>
      <c r="II268" s="42"/>
      <c r="IJ268" s="42"/>
      <c r="IK268" s="42"/>
      <c r="IL268" s="42"/>
      <c r="IM268" s="42"/>
      <c r="IN268" s="42"/>
      <c r="IO268" s="42"/>
      <c r="IP268" s="42"/>
      <c r="IQ268" s="42"/>
      <c r="IR268" s="42"/>
      <c r="IS268" s="42"/>
      <c r="IT268" s="42"/>
      <c r="IU268" s="42"/>
      <c r="IV268" s="42"/>
      <c r="IW268" s="42"/>
      <c r="IX268" s="42"/>
      <c r="IY268" s="42"/>
      <c r="IZ268" s="42"/>
      <c r="JA268" s="42"/>
      <c r="JB268" s="42"/>
      <c r="JC268" s="42"/>
      <c r="JD268" s="42"/>
      <c r="JE268" s="42"/>
      <c r="JF268" s="42"/>
      <c r="JG268" s="42"/>
      <c r="JH268" s="42"/>
      <c r="JI268" s="42"/>
      <c r="JJ268" s="42"/>
      <c r="JK268" s="42"/>
      <c r="JL268" s="42"/>
      <c r="JM268" s="42"/>
      <c r="JN268" s="42"/>
      <c r="JO268" s="42"/>
      <c r="JP268" s="42"/>
      <c r="JQ268" s="42"/>
      <c r="JR268" s="42"/>
      <c r="JS268" s="42"/>
      <c r="JT268" s="42"/>
      <c r="JU268" s="42"/>
      <c r="JV268" s="42"/>
      <c r="JW268" s="42"/>
      <c r="JX268" s="42"/>
      <c r="JY268" s="42"/>
      <c r="JZ268" s="42"/>
      <c r="KA268" s="42"/>
    </row>
    <row r="269" spans="1:287">
      <c r="A269" s="62" t="s">
        <v>668</v>
      </c>
      <c r="B269" s="62" t="s">
        <v>649</v>
      </c>
      <c r="C269" s="17"/>
      <c r="J269" s="19"/>
      <c r="Q269" s="19"/>
      <c r="R269" s="17"/>
      <c r="Y269" s="19"/>
      <c r="AF269" s="19"/>
      <c r="AG269" s="17"/>
      <c r="AV269" s="17"/>
      <c r="BK269" s="17"/>
      <c r="BZ269" s="17"/>
      <c r="CO269" s="17"/>
      <c r="DD269" s="17"/>
      <c r="DE269" s="17"/>
      <c r="DS269" s="17"/>
      <c r="DT269" s="17"/>
      <c r="EH269" s="17"/>
      <c r="EI269" s="17"/>
      <c r="EW269" s="17"/>
      <c r="EX269" s="17"/>
      <c r="FL269" s="17"/>
      <c r="FM269" s="17"/>
      <c r="GA269" s="17"/>
      <c r="GB269" s="17"/>
      <c r="GP269" s="17"/>
      <c r="GQ269" s="17"/>
      <c r="HE269" s="17"/>
      <c r="HF269" s="17"/>
      <c r="HT269" s="17"/>
      <c r="HU269" s="17"/>
      <c r="II269" s="42"/>
      <c r="IJ269" s="42"/>
      <c r="IK269" s="42"/>
      <c r="IL269" s="42"/>
      <c r="IM269" s="42"/>
      <c r="IN269" s="42"/>
      <c r="IO269" s="42"/>
      <c r="IP269" s="42"/>
      <c r="IQ269" s="42"/>
      <c r="IR269" s="42"/>
      <c r="IS269" s="42"/>
      <c r="IT269" s="42"/>
      <c r="IU269" s="42"/>
      <c r="IV269" s="42"/>
      <c r="IW269" s="42"/>
      <c r="IX269" s="42"/>
      <c r="IY269" s="42"/>
      <c r="IZ269" s="42"/>
      <c r="JA269" s="42"/>
      <c r="JB269" s="42"/>
      <c r="JC269" s="42"/>
      <c r="JD269" s="42"/>
      <c r="JE269" s="42"/>
      <c r="JF269" s="42"/>
      <c r="JG269" s="42"/>
      <c r="JH269" s="42"/>
      <c r="JI269" s="42"/>
      <c r="JJ269" s="42"/>
      <c r="JK269" s="42"/>
      <c r="JL269" s="42"/>
      <c r="JM269" s="42"/>
      <c r="JN269" s="42"/>
      <c r="JO269" s="42"/>
      <c r="JP269" s="42"/>
      <c r="JQ269" s="42"/>
      <c r="JR269" s="42"/>
      <c r="JS269" s="42"/>
      <c r="JT269" s="42"/>
      <c r="JU269" s="42"/>
      <c r="JV269" s="42"/>
      <c r="JW269" s="42"/>
      <c r="JX269" s="42"/>
      <c r="JY269" s="42"/>
      <c r="JZ269" s="42"/>
      <c r="KA269" s="42"/>
    </row>
    <row r="270" spans="1:287" ht="31.5">
      <c r="A270" s="13" t="s">
        <v>671</v>
      </c>
      <c r="B270" s="13" t="s">
        <v>649</v>
      </c>
      <c r="C270" s="15">
        <v>27.3812</v>
      </c>
      <c r="D270" s="15">
        <v>82.415800000000004</v>
      </c>
      <c r="J270" s="19"/>
      <c r="O270" s="15">
        <v>4</v>
      </c>
      <c r="Q270" s="19"/>
      <c r="R270" s="15">
        <v>27.384</v>
      </c>
      <c r="S270" s="15">
        <v>82.421000000000006</v>
      </c>
      <c r="Y270" s="19"/>
      <c r="AD270" s="15">
        <v>3</v>
      </c>
      <c r="AF270" s="19"/>
      <c r="AG270" s="15">
        <v>27.372900000000001</v>
      </c>
      <c r="AH270" s="15">
        <v>82.422300000000007</v>
      </c>
      <c r="AU270" s="15" t="s">
        <v>1456</v>
      </c>
      <c r="AV270" s="17"/>
      <c r="BK270" s="17"/>
      <c r="BZ270" s="17"/>
      <c r="CO270" s="17"/>
      <c r="DD270" s="17"/>
      <c r="DE270" s="17"/>
      <c r="DS270" s="17"/>
      <c r="DT270" s="17"/>
      <c r="EH270" s="17"/>
      <c r="EI270" s="17"/>
      <c r="EW270" s="17"/>
      <c r="EX270" s="17"/>
      <c r="FL270" s="17"/>
      <c r="FM270" s="17"/>
      <c r="GA270" s="17"/>
      <c r="GB270" s="17"/>
      <c r="GP270" s="17"/>
      <c r="GQ270" s="17"/>
      <c r="HE270" s="17"/>
      <c r="HF270" s="17"/>
      <c r="HT270" s="17"/>
      <c r="HU270" s="17"/>
      <c r="II270" s="42"/>
      <c r="IJ270" s="42"/>
      <c r="IK270" s="42"/>
      <c r="IL270" s="42"/>
      <c r="IM270" s="42"/>
      <c r="IN270" s="42"/>
      <c r="IO270" s="42"/>
      <c r="IP270" s="42"/>
      <c r="IQ270" s="42"/>
      <c r="IR270" s="42"/>
      <c r="IS270" s="42"/>
      <c r="IT270" s="42"/>
      <c r="IU270" s="42"/>
      <c r="IV270" s="42"/>
      <c r="IW270" s="42"/>
      <c r="IX270" s="42"/>
      <c r="IY270" s="42"/>
      <c r="IZ270" s="42"/>
      <c r="JA270" s="42"/>
      <c r="JB270" s="42"/>
      <c r="JC270" s="42"/>
      <c r="JD270" s="42"/>
      <c r="JE270" s="42"/>
      <c r="JF270" s="42"/>
      <c r="JG270" s="42"/>
      <c r="JH270" s="42"/>
      <c r="JI270" s="42"/>
      <c r="JJ270" s="42"/>
      <c r="JK270" s="42"/>
      <c r="JL270" s="42"/>
      <c r="JM270" s="42"/>
      <c r="JN270" s="42"/>
      <c r="JO270" s="42"/>
      <c r="JP270" s="42"/>
      <c r="JQ270" s="42"/>
      <c r="JR270" s="42"/>
      <c r="JS270" s="42"/>
      <c r="JT270" s="42"/>
      <c r="JU270" s="42"/>
      <c r="JV270" s="42"/>
      <c r="JW270" s="42"/>
      <c r="JX270" s="42"/>
      <c r="JY270" s="42"/>
      <c r="JZ270" s="42"/>
      <c r="KA270" s="42"/>
    </row>
    <row r="271" spans="1:287" ht="39">
      <c r="A271" s="13" t="s">
        <v>675</v>
      </c>
      <c r="B271" s="13" t="s">
        <v>649</v>
      </c>
      <c r="C271" s="15">
        <v>27.611669899999999</v>
      </c>
      <c r="D271" s="15">
        <v>-82.734659899999997</v>
      </c>
      <c r="J271" s="19"/>
      <c r="Q271" s="18" t="s">
        <v>1457</v>
      </c>
      <c r="R271" s="17"/>
      <c r="Y271" s="19"/>
      <c r="AF271" s="18"/>
      <c r="AV271" s="17"/>
      <c r="BK271" s="17"/>
      <c r="BY271" s="114"/>
      <c r="BZ271" s="17"/>
      <c r="CN271" s="114"/>
      <c r="CO271" s="17"/>
      <c r="DD271" s="17"/>
      <c r="DE271" s="17"/>
      <c r="DR271" s="114"/>
      <c r="DS271" s="17"/>
      <c r="DT271" s="17"/>
      <c r="EH271" s="17"/>
      <c r="EI271" s="17"/>
      <c r="EW271" s="17"/>
      <c r="EX271" s="17"/>
      <c r="FL271" s="17"/>
      <c r="FM271" s="17"/>
      <c r="GA271" s="17"/>
      <c r="GB271" s="17"/>
      <c r="GP271" s="17"/>
      <c r="GQ271" s="17"/>
      <c r="HE271" s="17"/>
      <c r="HF271" s="17"/>
      <c r="HT271" s="17"/>
      <c r="HU271" s="17"/>
      <c r="II271" s="42"/>
      <c r="IJ271" s="42"/>
      <c r="IK271" s="42"/>
      <c r="IL271" s="42"/>
      <c r="IM271" s="42"/>
      <c r="IN271" s="42"/>
      <c r="IO271" s="42"/>
      <c r="IP271" s="42"/>
      <c r="IQ271" s="42"/>
      <c r="IR271" s="42"/>
      <c r="IS271" s="42"/>
      <c r="IT271" s="42"/>
      <c r="IU271" s="42"/>
      <c r="IV271" s="42"/>
      <c r="IW271" s="42"/>
      <c r="IX271" s="42"/>
      <c r="IY271" s="42"/>
      <c r="IZ271" s="42"/>
      <c r="JA271" s="42"/>
      <c r="JB271" s="42"/>
      <c r="JC271" s="42"/>
      <c r="JD271" s="42"/>
      <c r="JE271" s="42"/>
      <c r="JF271" s="42"/>
      <c r="JG271" s="42"/>
      <c r="JH271" s="42"/>
      <c r="JI271" s="42"/>
      <c r="JJ271" s="42"/>
      <c r="JK271" s="42"/>
      <c r="JL271" s="42"/>
      <c r="JM271" s="42"/>
      <c r="JN271" s="42"/>
      <c r="JO271" s="42"/>
      <c r="JP271" s="42"/>
      <c r="JQ271" s="42"/>
      <c r="JR271" s="42"/>
      <c r="JS271" s="42"/>
      <c r="JT271" s="42"/>
      <c r="JU271" s="42"/>
      <c r="JV271" s="42"/>
      <c r="JW271" s="42"/>
      <c r="JX271" s="42"/>
      <c r="JY271" s="42"/>
      <c r="JZ271" s="42"/>
      <c r="KA271" s="42"/>
    </row>
    <row r="272" spans="1:287">
      <c r="A272" s="13" t="s">
        <v>679</v>
      </c>
      <c r="B272" s="13" t="s">
        <v>649</v>
      </c>
      <c r="C272" s="15">
        <v>27.876560600000001</v>
      </c>
      <c r="D272" s="36">
        <v>-82.591652600000003</v>
      </c>
      <c r="G272" s="15">
        <v>22</v>
      </c>
      <c r="J272" s="19"/>
      <c r="Q272" s="19"/>
      <c r="R272" s="15">
        <v>27.876830999999999</v>
      </c>
      <c r="S272" s="36">
        <v>-82.59084</v>
      </c>
      <c r="V272" s="15">
        <v>80</v>
      </c>
      <c r="Y272" s="19"/>
      <c r="AF272" s="18"/>
      <c r="AG272" s="15">
        <v>27.876895999999999</v>
      </c>
      <c r="AH272" s="15">
        <v>-82.590961199999995</v>
      </c>
      <c r="AI272" s="15">
        <v>4</v>
      </c>
      <c r="AV272" s="17"/>
      <c r="BK272" s="17"/>
      <c r="BZ272" s="17"/>
      <c r="CO272" s="17"/>
      <c r="DD272" s="17"/>
      <c r="DE272" s="17"/>
      <c r="DS272" s="17"/>
      <c r="DT272" s="17"/>
      <c r="EH272" s="17"/>
      <c r="EI272" s="17"/>
      <c r="EW272" s="17"/>
      <c r="EX272" s="17"/>
      <c r="FL272" s="17"/>
      <c r="FM272" s="17"/>
      <c r="GA272" s="17"/>
      <c r="GB272" s="17"/>
      <c r="GP272" s="17"/>
      <c r="GQ272" s="17"/>
      <c r="HE272" s="17"/>
      <c r="HF272" s="17"/>
      <c r="HT272" s="17"/>
      <c r="HU272" s="17"/>
      <c r="II272" s="42"/>
      <c r="IJ272" s="42"/>
      <c r="IK272" s="42"/>
      <c r="IL272" s="42"/>
      <c r="IM272" s="42"/>
      <c r="IN272" s="42"/>
      <c r="IO272" s="42"/>
      <c r="IP272" s="42"/>
      <c r="IQ272" s="42"/>
      <c r="IR272" s="42"/>
      <c r="IS272" s="42"/>
      <c r="IT272" s="42"/>
      <c r="IU272" s="42"/>
      <c r="IV272" s="42"/>
      <c r="IW272" s="42"/>
      <c r="IX272" s="42"/>
      <c r="IY272" s="42"/>
      <c r="IZ272" s="42"/>
      <c r="JA272" s="42"/>
      <c r="JB272" s="42"/>
      <c r="JC272" s="42"/>
      <c r="JD272" s="42"/>
      <c r="JE272" s="42"/>
      <c r="JF272" s="42"/>
      <c r="JG272" s="42"/>
      <c r="JH272" s="42"/>
      <c r="JI272" s="42"/>
      <c r="JJ272" s="42"/>
      <c r="JK272" s="42"/>
      <c r="JL272" s="42"/>
      <c r="JM272" s="42"/>
      <c r="JN272" s="42"/>
      <c r="JO272" s="42"/>
      <c r="JP272" s="42"/>
      <c r="JQ272" s="42"/>
      <c r="JR272" s="42"/>
      <c r="JS272" s="42"/>
      <c r="JT272" s="42"/>
      <c r="JU272" s="42"/>
      <c r="JV272" s="42"/>
      <c r="JW272" s="42"/>
      <c r="JX272" s="42"/>
      <c r="JY272" s="42"/>
      <c r="JZ272" s="42"/>
      <c r="KA272" s="42"/>
    </row>
    <row r="273" spans="1:287">
      <c r="A273" s="13" t="s">
        <v>682</v>
      </c>
      <c r="B273" s="13" t="s">
        <v>649</v>
      </c>
      <c r="C273" s="15">
        <v>27.73686</v>
      </c>
      <c r="D273" s="15">
        <v>82.710300000000004</v>
      </c>
      <c r="G273" s="15">
        <v>22</v>
      </c>
      <c r="H273" s="15" t="s">
        <v>1458</v>
      </c>
      <c r="J273" s="18"/>
      <c r="Q273" s="19"/>
      <c r="R273" s="17"/>
      <c r="Y273" s="19"/>
      <c r="AF273" s="19"/>
      <c r="AG273" s="17"/>
      <c r="AV273" s="17"/>
      <c r="BK273" s="17"/>
      <c r="BZ273" s="17"/>
      <c r="CO273" s="17"/>
      <c r="DD273" s="17"/>
      <c r="DE273" s="17"/>
      <c r="DS273" s="17"/>
      <c r="DT273" s="17"/>
      <c r="EH273" s="17"/>
      <c r="EI273" s="17"/>
      <c r="EW273" s="17"/>
      <c r="EX273" s="17"/>
      <c r="FL273" s="17"/>
      <c r="FM273" s="17"/>
      <c r="GA273" s="17"/>
      <c r="GB273" s="17"/>
      <c r="GP273" s="17"/>
      <c r="GQ273" s="17"/>
      <c r="HE273" s="17"/>
      <c r="HF273" s="17"/>
      <c r="HT273" s="17"/>
      <c r="HU273" s="17"/>
      <c r="II273" s="42"/>
      <c r="IJ273" s="42"/>
      <c r="IK273" s="42"/>
      <c r="IL273" s="42"/>
      <c r="IM273" s="42"/>
      <c r="IN273" s="42"/>
      <c r="IO273" s="42"/>
      <c r="IP273" s="42"/>
      <c r="IQ273" s="42"/>
      <c r="IR273" s="42"/>
      <c r="IS273" s="42"/>
      <c r="IT273" s="42"/>
      <c r="IU273" s="42"/>
      <c r="IV273" s="42"/>
      <c r="IW273" s="42"/>
      <c r="IX273" s="42"/>
      <c r="IY273" s="42"/>
      <c r="IZ273" s="42"/>
      <c r="JA273" s="42"/>
      <c r="JB273" s="42"/>
      <c r="JC273" s="42"/>
      <c r="JD273" s="42"/>
      <c r="JE273" s="42"/>
      <c r="JF273" s="42"/>
      <c r="JG273" s="42"/>
      <c r="JH273" s="42"/>
      <c r="JI273" s="42"/>
      <c r="JJ273" s="42"/>
      <c r="JK273" s="42"/>
      <c r="JL273" s="42"/>
      <c r="JM273" s="42"/>
      <c r="JN273" s="42"/>
      <c r="JO273" s="42"/>
      <c r="JP273" s="42"/>
      <c r="JQ273" s="42"/>
      <c r="JR273" s="42"/>
      <c r="JS273" s="42"/>
      <c r="JT273" s="42"/>
      <c r="JU273" s="42"/>
      <c r="JV273" s="42"/>
      <c r="JW273" s="42"/>
      <c r="JX273" s="42"/>
      <c r="JY273" s="42"/>
      <c r="JZ273" s="42"/>
      <c r="KA273" s="42"/>
    </row>
    <row r="274" spans="1:287">
      <c r="A274" s="13" t="s">
        <v>683</v>
      </c>
      <c r="B274" s="13" t="s">
        <v>649</v>
      </c>
      <c r="C274" s="15">
        <v>28.05508</v>
      </c>
      <c r="D274" s="15">
        <v>-82.816299999999998</v>
      </c>
      <c r="E274" s="15">
        <v>0</v>
      </c>
      <c r="F274" s="15">
        <v>0</v>
      </c>
      <c r="G274" s="15">
        <v>0</v>
      </c>
      <c r="H274" s="15">
        <v>0</v>
      </c>
      <c r="I274" s="15">
        <v>3</v>
      </c>
      <c r="J274" s="18">
        <v>0</v>
      </c>
      <c r="K274" s="15">
        <v>0</v>
      </c>
      <c r="L274" s="15">
        <v>0</v>
      </c>
      <c r="M274" s="15">
        <v>0</v>
      </c>
      <c r="N274" s="15">
        <v>0</v>
      </c>
      <c r="O274" s="15">
        <v>0</v>
      </c>
      <c r="P274" s="15">
        <v>0</v>
      </c>
      <c r="Q274" s="19"/>
      <c r="R274" s="15">
        <v>28.054400000000001</v>
      </c>
      <c r="S274" s="15">
        <v>-82.816299999999998</v>
      </c>
      <c r="T274" s="15">
        <v>0</v>
      </c>
      <c r="U274" s="15">
        <v>0</v>
      </c>
      <c r="V274" s="15">
        <v>0</v>
      </c>
      <c r="W274" s="15">
        <v>0</v>
      </c>
      <c r="X274" s="15">
        <v>0</v>
      </c>
      <c r="Y274" s="18">
        <v>0</v>
      </c>
      <c r="Z274" s="15">
        <v>0</v>
      </c>
      <c r="AA274" s="15">
        <v>0</v>
      </c>
      <c r="AB274" s="15">
        <v>1</v>
      </c>
      <c r="AC274" s="15">
        <v>0</v>
      </c>
      <c r="AD274" s="15">
        <v>0</v>
      </c>
      <c r="AE274" s="15">
        <v>0</v>
      </c>
      <c r="AF274" s="19"/>
      <c r="AG274" s="15">
        <v>28.062799999999999</v>
      </c>
      <c r="AH274" s="15">
        <v>-82.832009999999997</v>
      </c>
      <c r="AI274" s="15">
        <v>0</v>
      </c>
      <c r="AJ274" s="15">
        <v>0</v>
      </c>
      <c r="AK274" s="15">
        <v>0</v>
      </c>
      <c r="AL274" s="15">
        <v>0</v>
      </c>
      <c r="AM274" s="15">
        <v>0</v>
      </c>
      <c r="AN274" s="15">
        <v>0</v>
      </c>
      <c r="AO274" s="15">
        <v>2</v>
      </c>
      <c r="AP274" s="15">
        <v>0</v>
      </c>
      <c r="AQ274" s="15">
        <v>0</v>
      </c>
      <c r="AR274" s="15">
        <v>0</v>
      </c>
      <c r="AS274" s="15">
        <v>0</v>
      </c>
      <c r="AT274" s="15">
        <v>0</v>
      </c>
      <c r="AV274" s="15">
        <v>28.068079999999998</v>
      </c>
      <c r="AW274" s="15">
        <v>-82.834400000000002</v>
      </c>
      <c r="AX274" s="15">
        <v>0</v>
      </c>
      <c r="AY274" s="15">
        <v>0</v>
      </c>
      <c r="AZ274" s="15">
        <v>0</v>
      </c>
      <c r="BA274" s="15">
        <v>0</v>
      </c>
      <c r="BB274" s="15">
        <v>0</v>
      </c>
      <c r="BC274" s="15">
        <v>0</v>
      </c>
      <c r="BD274" s="15">
        <v>2</v>
      </c>
      <c r="BE274" s="15">
        <v>0</v>
      </c>
      <c r="BF274" s="15">
        <v>0</v>
      </c>
      <c r="BG274" s="15">
        <v>0</v>
      </c>
      <c r="BH274" s="15">
        <v>0</v>
      </c>
      <c r="BI274" s="15">
        <v>0</v>
      </c>
      <c r="BK274" s="15">
        <v>28.071899999999999</v>
      </c>
      <c r="BL274" s="15">
        <v>-82.834800000000001</v>
      </c>
      <c r="BM274" s="15">
        <v>0</v>
      </c>
      <c r="BN274" s="15">
        <v>0</v>
      </c>
      <c r="BO274" s="15">
        <v>0</v>
      </c>
      <c r="BP274" s="15">
        <v>0</v>
      </c>
      <c r="BQ274" s="15">
        <v>4</v>
      </c>
      <c r="BR274" s="15">
        <v>0</v>
      </c>
      <c r="BS274" s="15">
        <v>0</v>
      </c>
      <c r="BT274" s="15">
        <v>0</v>
      </c>
      <c r="BU274" s="15">
        <v>0</v>
      </c>
      <c r="BV274" s="15">
        <v>0</v>
      </c>
      <c r="BW274" s="15">
        <v>0</v>
      </c>
      <c r="BX274" s="15">
        <v>0</v>
      </c>
      <c r="BZ274" s="15">
        <v>28.081499999999998</v>
      </c>
      <c r="CA274" s="15">
        <v>-82.836399999999998</v>
      </c>
      <c r="CB274" s="15">
        <v>0</v>
      </c>
      <c r="CC274" s="15">
        <v>0</v>
      </c>
      <c r="CD274" s="15">
        <v>0</v>
      </c>
      <c r="CE274" s="15">
        <v>0</v>
      </c>
      <c r="CF274" s="15">
        <v>0</v>
      </c>
      <c r="CG274" s="15">
        <v>0</v>
      </c>
      <c r="CH274" s="15">
        <v>0</v>
      </c>
      <c r="CI274" s="15">
        <v>0</v>
      </c>
      <c r="CJ274" s="15">
        <v>0</v>
      </c>
      <c r="CK274" s="15">
        <v>0</v>
      </c>
      <c r="CL274" s="15">
        <v>1</v>
      </c>
      <c r="CM274" s="15">
        <v>0</v>
      </c>
      <c r="CO274" s="15">
        <v>28.0837</v>
      </c>
      <c r="CP274" s="15">
        <v>-82.836100000000002</v>
      </c>
      <c r="CQ274" s="15">
        <v>0</v>
      </c>
      <c r="CR274" s="15">
        <v>0</v>
      </c>
      <c r="CS274" s="15">
        <v>0</v>
      </c>
      <c r="CT274" s="15">
        <v>0</v>
      </c>
      <c r="CU274" s="15">
        <v>6</v>
      </c>
      <c r="CV274" s="15" t="s">
        <v>1459</v>
      </c>
      <c r="CW274" s="15">
        <v>34</v>
      </c>
      <c r="CX274" s="15">
        <v>0</v>
      </c>
      <c r="CY274" s="15">
        <v>0</v>
      </c>
      <c r="CZ274" s="15">
        <v>0</v>
      </c>
      <c r="DA274" s="15">
        <v>7</v>
      </c>
      <c r="DB274" s="15">
        <v>0</v>
      </c>
      <c r="DD274" s="15">
        <v>28.097799999999999</v>
      </c>
      <c r="DE274" s="15">
        <v>-82.834699999999998</v>
      </c>
      <c r="DF274" s="15">
        <v>0</v>
      </c>
      <c r="DG274" s="15">
        <v>0</v>
      </c>
      <c r="DH274" s="15">
        <v>0</v>
      </c>
      <c r="DI274" s="15">
        <v>0</v>
      </c>
      <c r="DJ274" s="15">
        <v>1</v>
      </c>
      <c r="DK274" s="15">
        <v>0</v>
      </c>
      <c r="DL274" s="15">
        <v>0</v>
      </c>
      <c r="DM274" s="15">
        <v>0</v>
      </c>
      <c r="DN274" s="15">
        <v>0</v>
      </c>
      <c r="DO274" s="15">
        <v>0</v>
      </c>
      <c r="DP274" s="15">
        <v>0</v>
      </c>
      <c r="DQ274" s="15">
        <v>0</v>
      </c>
      <c r="DS274" s="15">
        <v>28.0945</v>
      </c>
      <c r="DT274" s="15">
        <v>-82.833500000000001</v>
      </c>
      <c r="DU274" s="15">
        <v>0</v>
      </c>
      <c r="DV274" s="15">
        <v>0</v>
      </c>
      <c r="DW274" s="15">
        <v>0</v>
      </c>
      <c r="DX274" s="15">
        <v>0</v>
      </c>
      <c r="DY274" s="15">
        <v>4</v>
      </c>
      <c r="DZ274" s="15" t="s">
        <v>1460</v>
      </c>
      <c r="EA274" s="15">
        <v>0</v>
      </c>
      <c r="EB274" s="15">
        <v>0</v>
      </c>
      <c r="EC274" s="15">
        <v>0</v>
      </c>
      <c r="ED274" s="15">
        <v>0</v>
      </c>
      <c r="EE274" s="15">
        <v>0</v>
      </c>
      <c r="EF274" s="15">
        <v>0</v>
      </c>
      <c r="EH274" s="15">
        <v>28.088100000000001</v>
      </c>
      <c r="EI274" s="15">
        <v>-82.834400000000002</v>
      </c>
      <c r="EJ274" s="15">
        <v>0</v>
      </c>
      <c r="EK274" s="15">
        <v>0</v>
      </c>
      <c r="EL274" s="15">
        <v>0</v>
      </c>
      <c r="EM274" s="15">
        <v>0</v>
      </c>
      <c r="EN274" s="15">
        <v>14</v>
      </c>
      <c r="EO274" s="15">
        <v>0</v>
      </c>
      <c r="EP274" s="15">
        <v>120</v>
      </c>
      <c r="EQ274" s="15">
        <v>0</v>
      </c>
      <c r="ER274" s="15">
        <v>0</v>
      </c>
      <c r="ES274" s="15">
        <v>0</v>
      </c>
      <c r="ET274" s="15">
        <v>0</v>
      </c>
      <c r="EU274" s="15">
        <v>0</v>
      </c>
      <c r="EW274" s="17"/>
      <c r="EX274" s="17"/>
      <c r="FL274" s="17"/>
      <c r="FM274" s="17"/>
      <c r="GA274" s="17"/>
      <c r="GB274" s="17"/>
      <c r="GP274" s="17"/>
      <c r="GQ274" s="17"/>
      <c r="HE274" s="17"/>
      <c r="HF274" s="17"/>
      <c r="HT274" s="17"/>
      <c r="HU274" s="17"/>
      <c r="II274" s="42"/>
      <c r="IJ274" s="42"/>
      <c r="IK274" s="42"/>
      <c r="IL274" s="42"/>
      <c r="IM274" s="42"/>
      <c r="IN274" s="42"/>
      <c r="IO274" s="42"/>
      <c r="IP274" s="42"/>
      <c r="IQ274" s="42"/>
      <c r="IR274" s="42"/>
      <c r="IS274" s="42"/>
      <c r="IT274" s="42"/>
      <c r="IU274" s="42"/>
      <c r="IV274" s="42"/>
      <c r="IW274" s="42"/>
      <c r="IX274" s="42"/>
      <c r="IY274" s="42"/>
      <c r="IZ274" s="42"/>
      <c r="JA274" s="42"/>
      <c r="JB274" s="42"/>
      <c r="JC274" s="42"/>
      <c r="JD274" s="42"/>
      <c r="JE274" s="42"/>
      <c r="JF274" s="42"/>
      <c r="JG274" s="42"/>
      <c r="JH274" s="42"/>
      <c r="JI274" s="42"/>
      <c r="JJ274" s="42"/>
      <c r="JK274" s="42"/>
      <c r="JL274" s="42"/>
      <c r="JM274" s="42"/>
      <c r="JN274" s="42"/>
      <c r="JO274" s="42"/>
      <c r="JP274" s="42"/>
      <c r="JQ274" s="42"/>
      <c r="JR274" s="42"/>
      <c r="JS274" s="42"/>
      <c r="JT274" s="42"/>
      <c r="JU274" s="42"/>
      <c r="JV274" s="42"/>
      <c r="JW274" s="42"/>
      <c r="JX274" s="42"/>
      <c r="JY274" s="42"/>
      <c r="JZ274" s="42"/>
      <c r="KA274" s="42"/>
    </row>
    <row r="275" spans="1:287" ht="31.5">
      <c r="A275" s="13" t="s">
        <v>685</v>
      </c>
      <c r="B275" s="13" t="s">
        <v>649</v>
      </c>
      <c r="C275" s="17"/>
      <c r="J275" s="19"/>
      <c r="Q275" s="19"/>
      <c r="R275" s="17"/>
      <c r="Y275" s="19"/>
      <c r="AF275" s="19"/>
      <c r="AG275" s="17"/>
      <c r="AV275" s="17"/>
      <c r="BK275" s="17"/>
      <c r="BZ275" s="17"/>
      <c r="CO275" s="17"/>
      <c r="DD275" s="17"/>
      <c r="DE275" s="17"/>
      <c r="DS275" s="17"/>
      <c r="DT275" s="17"/>
      <c r="EH275" s="17"/>
      <c r="EI275" s="17"/>
      <c r="EW275" s="17"/>
      <c r="EX275" s="17"/>
      <c r="FL275" s="17"/>
      <c r="FM275" s="17"/>
      <c r="GA275" s="17"/>
      <c r="GB275" s="17"/>
      <c r="GP275" s="17"/>
      <c r="GQ275" s="17"/>
      <c r="HE275" s="17"/>
      <c r="HF275" s="17"/>
      <c r="HT275" s="17"/>
      <c r="HU275" s="17"/>
      <c r="II275" s="42"/>
      <c r="IJ275" s="42"/>
      <c r="IK275" s="42"/>
      <c r="IL275" s="42"/>
      <c r="IM275" s="42"/>
      <c r="IN275" s="42"/>
      <c r="IO275" s="42"/>
      <c r="IP275" s="42"/>
      <c r="IQ275" s="42"/>
      <c r="IR275" s="42"/>
      <c r="IS275" s="42"/>
      <c r="IT275" s="42"/>
      <c r="IU275" s="42"/>
      <c r="IV275" s="42"/>
      <c r="IW275" s="42"/>
      <c r="IX275" s="42"/>
      <c r="IY275" s="42"/>
      <c r="IZ275" s="42"/>
      <c r="JA275" s="42"/>
      <c r="JB275" s="42"/>
      <c r="JC275" s="42"/>
      <c r="JD275" s="42"/>
      <c r="JE275" s="42"/>
      <c r="JF275" s="42"/>
      <c r="JG275" s="42"/>
      <c r="JH275" s="42"/>
      <c r="JI275" s="42"/>
      <c r="JJ275" s="42"/>
      <c r="JK275" s="42"/>
      <c r="JL275" s="42"/>
      <c r="JM275" s="42"/>
      <c r="JN275" s="42"/>
      <c r="JO275" s="42"/>
      <c r="JP275" s="42"/>
      <c r="JQ275" s="42"/>
      <c r="JR275" s="42"/>
      <c r="JS275" s="42"/>
      <c r="JT275" s="42"/>
      <c r="JU275" s="42"/>
      <c r="JV275" s="42"/>
      <c r="JW275" s="42"/>
      <c r="JX275" s="42"/>
      <c r="JY275" s="42"/>
      <c r="JZ275" s="42"/>
      <c r="KA275" s="42"/>
    </row>
    <row r="276" spans="1:287">
      <c r="A276" s="13" t="s">
        <v>688</v>
      </c>
      <c r="B276" s="13" t="s">
        <v>649</v>
      </c>
      <c r="C276" s="15">
        <v>27.851330999999998</v>
      </c>
      <c r="D276" s="15">
        <v>82.846017000000003</v>
      </c>
      <c r="J276" s="19"/>
      <c r="K276" s="15">
        <v>1</v>
      </c>
      <c r="L276" s="15">
        <v>0</v>
      </c>
      <c r="Q276" s="19"/>
      <c r="R276" s="17"/>
      <c r="Y276" s="19"/>
      <c r="AF276" s="19"/>
      <c r="AG276" s="17"/>
      <c r="AV276" s="17"/>
      <c r="BK276" s="17"/>
      <c r="BZ276" s="17"/>
      <c r="CO276" s="17"/>
      <c r="DD276" s="17"/>
      <c r="DE276" s="17"/>
      <c r="DS276" s="17"/>
      <c r="DT276" s="17"/>
      <c r="EH276" s="17"/>
      <c r="EI276" s="17"/>
      <c r="EW276" s="17"/>
      <c r="EX276" s="17"/>
      <c r="FL276" s="17"/>
      <c r="FM276" s="17"/>
      <c r="GA276" s="17"/>
      <c r="GB276" s="17"/>
      <c r="GP276" s="17"/>
      <c r="GQ276" s="17"/>
      <c r="HE276" s="17"/>
      <c r="HF276" s="17"/>
      <c r="HT276" s="17"/>
      <c r="HU276" s="17"/>
      <c r="II276" s="42"/>
      <c r="IJ276" s="42"/>
      <c r="IK276" s="42"/>
      <c r="IL276" s="42"/>
      <c r="IM276" s="42"/>
      <c r="IN276" s="42"/>
      <c r="IO276" s="42"/>
      <c r="IP276" s="42"/>
      <c r="IQ276" s="42"/>
      <c r="IR276" s="42"/>
      <c r="IS276" s="42"/>
      <c r="IT276" s="42"/>
      <c r="IU276" s="42"/>
      <c r="IV276" s="42"/>
      <c r="IW276" s="42"/>
      <c r="IX276" s="42"/>
      <c r="IY276" s="42"/>
      <c r="IZ276" s="42"/>
      <c r="JA276" s="42"/>
      <c r="JB276" s="42"/>
      <c r="JC276" s="42"/>
      <c r="JD276" s="42"/>
      <c r="JE276" s="42"/>
      <c r="JF276" s="42"/>
      <c r="JG276" s="42"/>
      <c r="JH276" s="42"/>
      <c r="JI276" s="42"/>
      <c r="JJ276" s="42"/>
      <c r="JK276" s="42"/>
      <c r="JL276" s="42"/>
      <c r="JM276" s="42"/>
      <c r="JN276" s="42"/>
      <c r="JO276" s="42"/>
      <c r="JP276" s="42"/>
      <c r="JQ276" s="42"/>
      <c r="JR276" s="42"/>
      <c r="JS276" s="42"/>
      <c r="JT276" s="42"/>
      <c r="JU276" s="42"/>
      <c r="JV276" s="42"/>
      <c r="JW276" s="42"/>
      <c r="JX276" s="42"/>
      <c r="JY276" s="42"/>
      <c r="JZ276" s="42"/>
      <c r="KA276" s="42"/>
    </row>
    <row r="277" spans="1:287">
      <c r="A277" s="13" t="s">
        <v>689</v>
      </c>
      <c r="B277" s="13" t="s">
        <v>649</v>
      </c>
      <c r="C277" s="17"/>
      <c r="J277" s="19"/>
      <c r="Q277" s="19"/>
      <c r="R277" s="17"/>
      <c r="Y277" s="19"/>
      <c r="AF277" s="19"/>
      <c r="AG277" s="17"/>
      <c r="AV277" s="17"/>
      <c r="BK277" s="17"/>
      <c r="BZ277" s="17"/>
      <c r="CO277" s="17"/>
      <c r="DD277" s="17"/>
      <c r="DE277" s="17"/>
      <c r="DS277" s="17"/>
      <c r="DT277" s="17"/>
      <c r="EH277" s="17"/>
      <c r="EI277" s="17"/>
      <c r="EW277" s="17"/>
      <c r="EX277" s="17"/>
      <c r="FL277" s="17"/>
      <c r="FM277" s="17"/>
      <c r="GA277" s="17"/>
      <c r="GB277" s="17"/>
      <c r="GP277" s="17"/>
      <c r="GQ277" s="17"/>
      <c r="HE277" s="17"/>
      <c r="HF277" s="17"/>
      <c r="HT277" s="17"/>
      <c r="HU277" s="17"/>
      <c r="II277" s="42"/>
      <c r="IJ277" s="42"/>
      <c r="IK277" s="42"/>
      <c r="IL277" s="42"/>
      <c r="IM277" s="42"/>
      <c r="IN277" s="42"/>
      <c r="IO277" s="42"/>
      <c r="IP277" s="42"/>
      <c r="IQ277" s="42"/>
      <c r="IR277" s="42"/>
      <c r="IS277" s="42"/>
      <c r="IT277" s="42"/>
      <c r="IU277" s="42"/>
      <c r="IV277" s="42"/>
      <c r="IW277" s="42"/>
      <c r="IX277" s="42"/>
      <c r="IY277" s="42"/>
      <c r="IZ277" s="42"/>
      <c r="JA277" s="42"/>
      <c r="JB277" s="42"/>
      <c r="JC277" s="42"/>
      <c r="JD277" s="42"/>
      <c r="JE277" s="42"/>
      <c r="JF277" s="42"/>
      <c r="JG277" s="42"/>
      <c r="JH277" s="42"/>
      <c r="JI277" s="42"/>
      <c r="JJ277" s="42"/>
      <c r="JK277" s="42"/>
      <c r="JL277" s="42"/>
      <c r="JM277" s="42"/>
      <c r="JN277" s="42"/>
      <c r="JO277" s="42"/>
      <c r="JP277" s="42"/>
      <c r="JQ277" s="42"/>
      <c r="JR277" s="42"/>
      <c r="JS277" s="42"/>
      <c r="JT277" s="42"/>
      <c r="JU277" s="42"/>
      <c r="JV277" s="42"/>
      <c r="JW277" s="42"/>
      <c r="JX277" s="42"/>
      <c r="JY277" s="42"/>
      <c r="JZ277" s="42"/>
      <c r="KA277" s="42"/>
    </row>
    <row r="278" spans="1:287" ht="115.5">
      <c r="A278" s="13" t="s">
        <v>691</v>
      </c>
      <c r="B278" s="13" t="s">
        <v>649</v>
      </c>
      <c r="C278" s="15">
        <v>27.813103000000002</v>
      </c>
      <c r="D278" s="15">
        <v>-82.819068200000004</v>
      </c>
      <c r="E278" s="15">
        <v>0</v>
      </c>
      <c r="F278" s="15">
        <v>0</v>
      </c>
      <c r="G278" s="15">
        <v>0</v>
      </c>
      <c r="H278" s="15">
        <v>0</v>
      </c>
      <c r="I278" s="15">
        <v>0</v>
      </c>
      <c r="J278" s="18">
        <v>0</v>
      </c>
      <c r="K278" s="15">
        <v>2</v>
      </c>
      <c r="L278" s="15">
        <v>0</v>
      </c>
      <c r="M278" s="15">
        <v>0</v>
      </c>
      <c r="N278" s="15">
        <v>0</v>
      </c>
      <c r="O278" s="15">
        <v>0</v>
      </c>
      <c r="P278" s="15">
        <v>0</v>
      </c>
      <c r="Q278" s="18" t="s">
        <v>1461</v>
      </c>
      <c r="R278" s="15">
        <v>27.8165634</v>
      </c>
      <c r="S278" s="36">
        <v>-82.822973000000005</v>
      </c>
      <c r="T278" s="15">
        <v>0</v>
      </c>
      <c r="U278" s="15">
        <v>0</v>
      </c>
      <c r="V278" s="15">
        <v>0</v>
      </c>
      <c r="W278" s="15">
        <v>0</v>
      </c>
      <c r="X278" s="15">
        <v>0</v>
      </c>
      <c r="Y278" s="18">
        <v>0</v>
      </c>
      <c r="Z278" s="15">
        <v>1</v>
      </c>
      <c r="AA278" s="15">
        <v>0</v>
      </c>
      <c r="AB278" s="15">
        <v>0</v>
      </c>
      <c r="AC278" s="15">
        <v>0</v>
      </c>
      <c r="AD278" s="15">
        <v>0</v>
      </c>
      <c r="AE278" s="15">
        <v>0</v>
      </c>
      <c r="AF278" s="18" t="s">
        <v>1462</v>
      </c>
      <c r="AG278" s="15">
        <v>27.819076500000001</v>
      </c>
      <c r="AH278" s="15">
        <v>-82.826006899999996</v>
      </c>
      <c r="AI278" s="15">
        <v>0</v>
      </c>
      <c r="AJ278" s="15">
        <v>0</v>
      </c>
      <c r="AK278" s="15">
        <v>3</v>
      </c>
      <c r="AL278" s="15">
        <v>0</v>
      </c>
      <c r="AM278" s="15">
        <v>0</v>
      </c>
      <c r="AN278" s="15">
        <v>0</v>
      </c>
      <c r="AO278" s="15">
        <v>5</v>
      </c>
      <c r="AP278" s="15">
        <v>1</v>
      </c>
      <c r="AQ278" s="15">
        <v>0</v>
      </c>
      <c r="AR278" s="15">
        <v>0</v>
      </c>
      <c r="AS278" s="15">
        <v>0</v>
      </c>
      <c r="AT278" s="15">
        <v>0</v>
      </c>
      <c r="AU278" s="15" t="s">
        <v>1463</v>
      </c>
      <c r="AV278" s="15">
        <v>27.822120999999999</v>
      </c>
      <c r="AW278" s="15">
        <v>-82.828726000000003</v>
      </c>
      <c r="AX278" s="15">
        <v>0</v>
      </c>
      <c r="AY278" s="15">
        <v>0</v>
      </c>
      <c r="AZ278" s="15">
        <v>232</v>
      </c>
      <c r="BA278" s="15">
        <v>6</v>
      </c>
      <c r="BB278" s="15">
        <v>0</v>
      </c>
      <c r="BC278" s="15">
        <v>0</v>
      </c>
      <c r="BD278" s="15">
        <v>0</v>
      </c>
      <c r="BE278" s="15">
        <v>0</v>
      </c>
      <c r="BF278" s="15">
        <v>0</v>
      </c>
      <c r="BG278" s="15">
        <v>0</v>
      </c>
      <c r="BH278" s="15">
        <v>0</v>
      </c>
      <c r="BI278" s="15">
        <v>0</v>
      </c>
      <c r="BJ278" s="15" t="s">
        <v>1464</v>
      </c>
      <c r="BK278" s="15">
        <v>27.829331</v>
      </c>
      <c r="BL278" s="15">
        <v>-82.831285399999999</v>
      </c>
      <c r="BM278" s="15">
        <v>0</v>
      </c>
      <c r="BN278" s="15">
        <v>0</v>
      </c>
      <c r="BO278" s="15">
        <v>0</v>
      </c>
      <c r="BP278" s="15">
        <v>0</v>
      </c>
      <c r="BQ278" s="15">
        <v>0</v>
      </c>
      <c r="BR278" s="15">
        <v>0</v>
      </c>
      <c r="BS278" s="15">
        <v>3</v>
      </c>
      <c r="BT278" s="15">
        <v>0</v>
      </c>
      <c r="BU278" s="15">
        <v>0</v>
      </c>
      <c r="BV278" s="15">
        <v>0</v>
      </c>
      <c r="BW278" s="15">
        <v>0</v>
      </c>
      <c r="BX278" s="15">
        <v>0</v>
      </c>
      <c r="BY278" s="15" t="s">
        <v>1465</v>
      </c>
      <c r="BZ278" s="17"/>
      <c r="CO278" s="17"/>
      <c r="DD278" s="17"/>
      <c r="DE278" s="17"/>
      <c r="DS278" s="17"/>
      <c r="DT278" s="17"/>
      <c r="EH278" s="17"/>
      <c r="EI278" s="17"/>
      <c r="EW278" s="17"/>
      <c r="EX278" s="17"/>
      <c r="FL278" s="17"/>
      <c r="FM278" s="17"/>
      <c r="GA278" s="17"/>
      <c r="GB278" s="17"/>
      <c r="GP278" s="17"/>
      <c r="GQ278" s="17"/>
      <c r="HE278" s="17"/>
      <c r="HF278" s="17"/>
      <c r="HT278" s="17"/>
      <c r="HU278" s="17"/>
      <c r="II278" s="42"/>
      <c r="IJ278" s="42"/>
      <c r="IK278" s="42"/>
      <c r="IL278" s="42"/>
      <c r="IM278" s="42"/>
      <c r="IN278" s="42"/>
      <c r="IO278" s="42"/>
      <c r="IP278" s="42"/>
      <c r="IQ278" s="42"/>
      <c r="IR278" s="42"/>
      <c r="IS278" s="42"/>
      <c r="IT278" s="42"/>
      <c r="IU278" s="42"/>
      <c r="IV278" s="42"/>
      <c r="IW278" s="42"/>
      <c r="IX278" s="42"/>
      <c r="IY278" s="42"/>
      <c r="IZ278" s="42"/>
      <c r="JA278" s="42"/>
      <c r="JB278" s="42"/>
      <c r="JC278" s="42"/>
      <c r="JD278" s="42"/>
      <c r="JE278" s="42"/>
      <c r="JF278" s="42"/>
      <c r="JG278" s="42"/>
      <c r="JH278" s="42"/>
      <c r="JI278" s="42"/>
      <c r="JJ278" s="42"/>
      <c r="JK278" s="42"/>
      <c r="JL278" s="42"/>
      <c r="JM278" s="42"/>
      <c r="JN278" s="42"/>
      <c r="JO278" s="42"/>
      <c r="JP278" s="42"/>
      <c r="JQ278" s="42"/>
      <c r="JR278" s="42"/>
      <c r="JS278" s="42"/>
      <c r="JT278" s="42"/>
      <c r="JU278" s="42"/>
      <c r="JV278" s="42"/>
      <c r="JW278" s="42"/>
      <c r="JX278" s="42"/>
      <c r="JY278" s="42"/>
      <c r="JZ278" s="42"/>
      <c r="KA278" s="42"/>
    </row>
    <row r="279" spans="1:287" ht="26.25">
      <c r="A279" s="13" t="s">
        <v>693</v>
      </c>
      <c r="B279" s="13" t="s">
        <v>649</v>
      </c>
      <c r="C279" s="15">
        <v>27.781623</v>
      </c>
      <c r="D279" s="15">
        <v>-82.624448000000001</v>
      </c>
      <c r="G279" s="15">
        <v>116</v>
      </c>
      <c r="H279" s="15" t="s">
        <v>1466</v>
      </c>
      <c r="J279" s="18"/>
      <c r="Q279" s="18" t="s">
        <v>1467</v>
      </c>
      <c r="R279" s="17"/>
      <c r="Y279" s="18"/>
      <c r="AF279" s="18"/>
      <c r="AG279" s="17"/>
      <c r="AV279" s="17"/>
      <c r="BK279" s="17"/>
      <c r="BZ279" s="17"/>
      <c r="CO279" s="17"/>
      <c r="DD279" s="17"/>
      <c r="DE279" s="17"/>
      <c r="DS279" s="17"/>
      <c r="DT279" s="17"/>
      <c r="EH279" s="17"/>
      <c r="EI279" s="17"/>
      <c r="EW279" s="17"/>
      <c r="EX279" s="17"/>
      <c r="FL279" s="17"/>
      <c r="FM279" s="17"/>
      <c r="GA279" s="17"/>
      <c r="GB279" s="17"/>
      <c r="GP279" s="17"/>
      <c r="GQ279" s="17"/>
      <c r="HE279" s="17"/>
      <c r="HF279" s="17"/>
      <c r="HT279" s="17"/>
      <c r="HU279" s="17"/>
      <c r="II279" s="42"/>
      <c r="IJ279" s="42"/>
      <c r="IK279" s="42"/>
      <c r="IL279" s="42"/>
      <c r="IM279" s="42"/>
      <c r="IN279" s="42"/>
      <c r="IO279" s="42"/>
      <c r="IP279" s="42"/>
      <c r="IQ279" s="42"/>
      <c r="IR279" s="42"/>
      <c r="IS279" s="42"/>
      <c r="IT279" s="42"/>
      <c r="IU279" s="42"/>
      <c r="IV279" s="42"/>
      <c r="IW279" s="42"/>
      <c r="IX279" s="42"/>
      <c r="IY279" s="42"/>
      <c r="IZ279" s="42"/>
      <c r="JA279" s="42"/>
      <c r="JB279" s="42"/>
      <c r="JC279" s="42"/>
      <c r="JD279" s="42"/>
      <c r="JE279" s="42"/>
      <c r="JF279" s="42"/>
      <c r="JG279" s="42"/>
      <c r="JH279" s="42"/>
      <c r="JI279" s="42"/>
      <c r="JJ279" s="42"/>
      <c r="JK279" s="42"/>
      <c r="JL279" s="42"/>
      <c r="JM279" s="42"/>
      <c r="JN279" s="42"/>
      <c r="JO279" s="42"/>
      <c r="JP279" s="42"/>
      <c r="JQ279" s="42"/>
      <c r="JR279" s="42"/>
      <c r="JS279" s="42"/>
      <c r="JT279" s="42"/>
      <c r="JU279" s="42"/>
      <c r="JV279" s="42"/>
      <c r="JW279" s="42"/>
      <c r="JX279" s="42"/>
      <c r="JY279" s="42"/>
      <c r="JZ279" s="42"/>
      <c r="KA279" s="42"/>
    </row>
    <row r="280" spans="1:287">
      <c r="A280" s="13" t="s">
        <v>695</v>
      </c>
      <c r="B280" s="13" t="s">
        <v>649</v>
      </c>
      <c r="C280" s="15">
        <v>27.646262</v>
      </c>
      <c r="D280" s="15">
        <v>-82.745902000000001</v>
      </c>
      <c r="E280" s="15">
        <v>2</v>
      </c>
      <c r="F280" s="15" t="s">
        <v>1468</v>
      </c>
      <c r="G280" s="15">
        <v>0</v>
      </c>
      <c r="I280" s="15">
        <v>42</v>
      </c>
      <c r="J280" s="19"/>
      <c r="K280" s="15">
        <v>37</v>
      </c>
      <c r="M280" s="15">
        <v>16</v>
      </c>
      <c r="N280" s="15" t="s">
        <v>1469</v>
      </c>
      <c r="O280" s="15">
        <v>12</v>
      </c>
      <c r="P280" s="15" t="s">
        <v>1470</v>
      </c>
      <c r="Q280" s="18"/>
      <c r="R280" s="115"/>
      <c r="S280" s="115"/>
      <c r="Y280" s="19"/>
      <c r="AF280" s="18"/>
      <c r="AG280" s="17"/>
      <c r="AV280" s="17"/>
      <c r="BK280" s="17"/>
      <c r="BZ280" s="17"/>
      <c r="CO280" s="17"/>
      <c r="DD280" s="17"/>
      <c r="DE280" s="17"/>
      <c r="DS280" s="17"/>
      <c r="DT280" s="17"/>
      <c r="EH280" s="17"/>
      <c r="EI280" s="17"/>
      <c r="EW280" s="17"/>
      <c r="EX280" s="17"/>
      <c r="FL280" s="17"/>
      <c r="FM280" s="17"/>
      <c r="GA280" s="17"/>
      <c r="GB280" s="17"/>
      <c r="GP280" s="17"/>
      <c r="GQ280" s="17"/>
      <c r="HE280" s="17"/>
      <c r="HF280" s="17"/>
      <c r="HT280" s="17"/>
      <c r="HU280" s="17"/>
      <c r="II280" s="42"/>
      <c r="IJ280" s="42"/>
      <c r="IK280" s="42"/>
      <c r="IL280" s="42"/>
      <c r="IM280" s="42"/>
      <c r="IN280" s="42"/>
      <c r="IO280" s="42"/>
      <c r="IP280" s="42"/>
      <c r="IQ280" s="42"/>
      <c r="IR280" s="42"/>
      <c r="IS280" s="42"/>
      <c r="IT280" s="42"/>
      <c r="IU280" s="42"/>
      <c r="IV280" s="42"/>
      <c r="IW280" s="42"/>
      <c r="IX280" s="42"/>
      <c r="IY280" s="42"/>
      <c r="IZ280" s="42"/>
      <c r="JA280" s="42"/>
      <c r="JB280" s="42"/>
      <c r="JC280" s="42"/>
      <c r="JD280" s="42"/>
      <c r="JE280" s="42"/>
      <c r="JF280" s="42"/>
      <c r="JG280" s="42"/>
      <c r="JH280" s="42"/>
      <c r="JI280" s="42"/>
      <c r="JJ280" s="42"/>
      <c r="JK280" s="42"/>
      <c r="JL280" s="42"/>
      <c r="JM280" s="42"/>
      <c r="JN280" s="42"/>
      <c r="JO280" s="42"/>
      <c r="JP280" s="42"/>
      <c r="JQ280" s="42"/>
      <c r="JR280" s="42"/>
      <c r="JS280" s="42"/>
      <c r="JT280" s="42"/>
      <c r="JU280" s="42"/>
      <c r="JV280" s="42"/>
      <c r="JW280" s="42"/>
      <c r="JX280" s="42"/>
      <c r="JY280" s="42"/>
      <c r="JZ280" s="42"/>
      <c r="KA280" s="42"/>
    </row>
    <row r="281" spans="1:287">
      <c r="A281" s="13" t="s">
        <v>696</v>
      </c>
      <c r="B281" s="13" t="s">
        <v>649</v>
      </c>
      <c r="C281" s="15">
        <v>27.692957400000001</v>
      </c>
      <c r="D281" s="15">
        <v>-82.738307300000002</v>
      </c>
      <c r="J281" s="18"/>
      <c r="Q281" s="112" t="s">
        <v>1457</v>
      </c>
      <c r="R281" s="17"/>
      <c r="Y281" s="18"/>
      <c r="AF281" s="116"/>
      <c r="AG281" s="17"/>
      <c r="AU281" s="116"/>
      <c r="AV281" s="17"/>
      <c r="BK281" s="17"/>
      <c r="BZ281" s="17"/>
      <c r="CO281" s="17"/>
      <c r="DD281" s="17"/>
      <c r="DE281" s="17"/>
      <c r="DS281" s="17"/>
      <c r="DT281" s="17"/>
      <c r="EH281" s="17"/>
      <c r="EI281" s="17"/>
      <c r="EW281" s="17"/>
      <c r="EX281" s="17"/>
      <c r="FL281" s="17"/>
      <c r="FM281" s="17"/>
      <c r="GA281" s="17"/>
      <c r="GB281" s="17"/>
      <c r="GP281" s="17"/>
      <c r="GQ281" s="17"/>
      <c r="HE281" s="17"/>
      <c r="HF281" s="17"/>
      <c r="HT281" s="17"/>
      <c r="HU281" s="17"/>
      <c r="II281" s="42"/>
      <c r="IJ281" s="42"/>
      <c r="IK281" s="42"/>
      <c r="IL281" s="42"/>
      <c r="IM281" s="42"/>
      <c r="IN281" s="42"/>
      <c r="IO281" s="42"/>
      <c r="IP281" s="42"/>
      <c r="IQ281" s="42"/>
      <c r="IR281" s="42"/>
      <c r="IS281" s="42"/>
      <c r="IT281" s="42"/>
      <c r="IU281" s="42"/>
      <c r="IV281" s="42"/>
      <c r="IW281" s="42"/>
      <c r="IX281" s="42"/>
      <c r="IY281" s="42"/>
      <c r="IZ281" s="42"/>
      <c r="JA281" s="42"/>
      <c r="JB281" s="42"/>
      <c r="JC281" s="42"/>
      <c r="JD281" s="42"/>
      <c r="JE281" s="42"/>
      <c r="JF281" s="42"/>
      <c r="JG281" s="42"/>
      <c r="JH281" s="42"/>
      <c r="JI281" s="42"/>
      <c r="JJ281" s="42"/>
      <c r="JK281" s="42"/>
      <c r="JL281" s="42"/>
      <c r="JM281" s="42"/>
      <c r="JN281" s="42"/>
      <c r="JO281" s="42"/>
      <c r="JP281" s="42"/>
      <c r="JQ281" s="42"/>
      <c r="JR281" s="42"/>
      <c r="JS281" s="42"/>
      <c r="JT281" s="42"/>
      <c r="JU281" s="42"/>
      <c r="JV281" s="42"/>
      <c r="JW281" s="42"/>
      <c r="JX281" s="42"/>
      <c r="JY281" s="42"/>
      <c r="JZ281" s="42"/>
      <c r="KA281" s="42"/>
    </row>
    <row r="282" spans="1:287" ht="31.5">
      <c r="A282" s="13" t="s">
        <v>698</v>
      </c>
      <c r="B282" s="13" t="s">
        <v>649</v>
      </c>
      <c r="C282" s="15">
        <v>27.916989999999998</v>
      </c>
      <c r="D282" s="15">
        <v>82.824579999999997</v>
      </c>
      <c r="E282" s="15">
        <v>2</v>
      </c>
      <c r="F282" s="15" t="s">
        <v>1471</v>
      </c>
      <c r="J282" s="117"/>
      <c r="Q282" s="18"/>
      <c r="Y282" s="18"/>
      <c r="AF282" s="18"/>
      <c r="AG282" s="17"/>
      <c r="AV282" s="17"/>
      <c r="BK282" s="17"/>
      <c r="BY282" s="112"/>
      <c r="BZ282" s="17"/>
      <c r="CO282" s="17"/>
      <c r="DD282" s="17"/>
      <c r="DE282" s="17"/>
      <c r="DS282" s="17"/>
      <c r="DT282" s="17"/>
      <c r="EH282" s="17"/>
      <c r="EI282" s="17"/>
      <c r="EW282" s="17"/>
      <c r="EX282" s="17"/>
      <c r="FL282" s="17"/>
      <c r="FM282" s="17"/>
      <c r="GA282" s="17"/>
      <c r="GB282" s="17"/>
      <c r="GP282" s="17"/>
      <c r="GQ282" s="17"/>
      <c r="HE282" s="17"/>
      <c r="HF282" s="17"/>
      <c r="HT282" s="17"/>
      <c r="HU282" s="17"/>
      <c r="II282" s="42"/>
      <c r="IJ282" s="42"/>
      <c r="IK282" s="42"/>
      <c r="IL282" s="42"/>
      <c r="IM282" s="42"/>
      <c r="IN282" s="42"/>
      <c r="IO282" s="42"/>
      <c r="IP282" s="42"/>
      <c r="IQ282" s="42"/>
      <c r="IR282" s="42"/>
      <c r="IS282" s="42"/>
      <c r="IT282" s="42"/>
      <c r="IU282" s="42"/>
      <c r="IV282" s="42"/>
      <c r="IW282" s="42"/>
      <c r="IX282" s="42"/>
      <c r="IY282" s="42"/>
      <c r="IZ282" s="42"/>
      <c r="JA282" s="42"/>
      <c r="JB282" s="42"/>
      <c r="JC282" s="42"/>
      <c r="JD282" s="42"/>
      <c r="JE282" s="42"/>
      <c r="JF282" s="42"/>
      <c r="JG282" s="42"/>
      <c r="JH282" s="42"/>
      <c r="JI282" s="42"/>
      <c r="JJ282" s="42"/>
      <c r="JK282" s="42"/>
      <c r="JL282" s="42"/>
      <c r="JM282" s="42"/>
      <c r="JN282" s="42"/>
      <c r="JO282" s="42"/>
      <c r="JP282" s="42"/>
      <c r="JQ282" s="42"/>
      <c r="JR282" s="42"/>
      <c r="JS282" s="42"/>
      <c r="JT282" s="42"/>
      <c r="JU282" s="42"/>
      <c r="JV282" s="42"/>
      <c r="JW282" s="42"/>
      <c r="JX282" s="42"/>
      <c r="JY282" s="42"/>
      <c r="JZ282" s="42"/>
      <c r="KA282" s="42"/>
    </row>
    <row r="283" spans="1:287">
      <c r="A283" s="13" t="s">
        <v>699</v>
      </c>
      <c r="B283" s="13" t="s">
        <v>649</v>
      </c>
      <c r="C283" s="15">
        <v>27.700500000000002</v>
      </c>
      <c r="D283" s="15">
        <v>82.658799999999999</v>
      </c>
      <c r="E283" s="15">
        <v>2</v>
      </c>
      <c r="J283" s="19"/>
      <c r="Q283" s="19"/>
      <c r="R283" s="17"/>
      <c r="Y283" s="19"/>
      <c r="AF283" s="19"/>
      <c r="AG283" s="17"/>
      <c r="AV283" s="17"/>
      <c r="BK283" s="17"/>
      <c r="BZ283" s="17"/>
      <c r="CO283" s="17"/>
      <c r="DD283" s="17"/>
      <c r="DE283" s="17"/>
      <c r="DS283" s="17"/>
      <c r="DT283" s="17"/>
      <c r="EH283" s="17"/>
      <c r="EI283" s="17"/>
      <c r="EW283" s="17"/>
      <c r="EX283" s="17"/>
      <c r="FL283" s="17"/>
      <c r="FM283" s="17"/>
      <c r="GA283" s="17"/>
      <c r="GB283" s="17"/>
      <c r="GP283" s="17"/>
      <c r="GQ283" s="17"/>
      <c r="HE283" s="17"/>
      <c r="HF283" s="17"/>
      <c r="HT283" s="17"/>
      <c r="HU283" s="17"/>
      <c r="II283" s="42"/>
      <c r="IJ283" s="42"/>
      <c r="IK283" s="42"/>
      <c r="IL283" s="42"/>
      <c r="IM283" s="42"/>
      <c r="IN283" s="42"/>
      <c r="IO283" s="42"/>
      <c r="IP283" s="42"/>
      <c r="IQ283" s="42"/>
      <c r="IR283" s="42"/>
      <c r="IS283" s="42"/>
      <c r="IT283" s="42"/>
      <c r="IU283" s="42"/>
      <c r="IV283" s="42"/>
      <c r="IW283" s="42"/>
      <c r="IX283" s="42"/>
      <c r="IY283" s="42"/>
      <c r="IZ283" s="42"/>
      <c r="JA283" s="42"/>
      <c r="JB283" s="42"/>
      <c r="JC283" s="42"/>
      <c r="JD283" s="42"/>
      <c r="JE283" s="42"/>
      <c r="JF283" s="42"/>
      <c r="JG283" s="42"/>
      <c r="JH283" s="42"/>
      <c r="JI283" s="42"/>
      <c r="JJ283" s="42"/>
      <c r="JK283" s="42"/>
      <c r="JL283" s="42"/>
      <c r="JM283" s="42"/>
      <c r="JN283" s="42"/>
      <c r="JO283" s="42"/>
      <c r="JP283" s="42"/>
      <c r="JQ283" s="42"/>
      <c r="JR283" s="42"/>
      <c r="JS283" s="42"/>
      <c r="JT283" s="42"/>
      <c r="JU283" s="42"/>
      <c r="JV283" s="42"/>
      <c r="JW283" s="42"/>
      <c r="JX283" s="42"/>
      <c r="JY283" s="42"/>
      <c r="JZ283" s="42"/>
      <c r="KA283" s="42"/>
    </row>
    <row r="284" spans="1:287" ht="31.5">
      <c r="A284" s="29" t="s">
        <v>702</v>
      </c>
      <c r="B284" s="63" t="s">
        <v>649</v>
      </c>
      <c r="C284" s="15">
        <v>27.791575999999999</v>
      </c>
      <c r="D284" s="15">
        <v>-82.791124999999994</v>
      </c>
      <c r="J284" s="19"/>
      <c r="K284" s="15">
        <v>77</v>
      </c>
      <c r="L284" s="15" t="s">
        <v>1472</v>
      </c>
      <c r="Q284" s="19"/>
      <c r="R284" s="17"/>
      <c r="Y284" s="19"/>
      <c r="AF284" s="19"/>
      <c r="AG284" s="17"/>
      <c r="AV284" s="17"/>
      <c r="BK284" s="17"/>
      <c r="BZ284" s="17"/>
      <c r="CO284" s="17"/>
      <c r="DD284" s="17"/>
      <c r="DE284" s="17"/>
      <c r="DS284" s="17"/>
      <c r="DT284" s="17"/>
      <c r="EH284" s="17"/>
      <c r="EI284" s="17"/>
      <c r="EW284" s="17"/>
      <c r="EX284" s="17"/>
      <c r="FL284" s="17"/>
      <c r="FM284" s="17"/>
      <c r="GA284" s="17"/>
      <c r="GB284" s="17"/>
      <c r="GP284" s="17"/>
      <c r="GQ284" s="17"/>
      <c r="HE284" s="17"/>
      <c r="HF284" s="17"/>
      <c r="HT284" s="17"/>
      <c r="HU284" s="17"/>
      <c r="II284" s="42"/>
      <c r="IJ284" s="42"/>
      <c r="IK284" s="42"/>
      <c r="IL284" s="42"/>
      <c r="IM284" s="42"/>
      <c r="IN284" s="42"/>
      <c r="IO284" s="42"/>
      <c r="IP284" s="42"/>
      <c r="IQ284" s="42"/>
      <c r="IR284" s="42"/>
      <c r="IS284" s="42"/>
      <c r="IT284" s="42"/>
      <c r="IU284" s="42"/>
      <c r="IV284" s="42"/>
      <c r="IW284" s="42"/>
      <c r="IX284" s="42"/>
      <c r="IY284" s="42"/>
      <c r="IZ284" s="42"/>
      <c r="JA284" s="42"/>
      <c r="JB284" s="42"/>
      <c r="JC284" s="42"/>
      <c r="JD284" s="42"/>
      <c r="JE284" s="42"/>
      <c r="JF284" s="42"/>
      <c r="JG284" s="42"/>
      <c r="JH284" s="42"/>
      <c r="JI284" s="42"/>
      <c r="JJ284" s="42"/>
      <c r="JK284" s="42"/>
      <c r="JL284" s="42"/>
      <c r="JM284" s="42"/>
      <c r="JN284" s="42"/>
      <c r="JO284" s="42"/>
      <c r="JP284" s="42"/>
      <c r="JQ284" s="42"/>
      <c r="JR284" s="42"/>
      <c r="JS284" s="42"/>
      <c r="JT284" s="42"/>
      <c r="JU284" s="42"/>
      <c r="JV284" s="42"/>
      <c r="JW284" s="42"/>
      <c r="JX284" s="42"/>
      <c r="JY284" s="42"/>
      <c r="JZ284" s="42"/>
      <c r="KA284" s="42"/>
    </row>
    <row r="285" spans="1:287" ht="31.5">
      <c r="A285" s="13" t="s">
        <v>704</v>
      </c>
      <c r="B285" s="13" t="s">
        <v>649</v>
      </c>
      <c r="C285" s="17"/>
      <c r="J285" s="19"/>
      <c r="Q285" s="18"/>
      <c r="R285" s="17"/>
      <c r="Y285" s="19"/>
      <c r="AF285" s="18"/>
      <c r="AG285" s="17"/>
      <c r="AV285" s="17"/>
      <c r="BC285" s="19"/>
      <c r="BJ285" s="18"/>
      <c r="BK285" s="17"/>
      <c r="BZ285" s="17"/>
      <c r="CO285" s="17"/>
      <c r="DD285" s="17"/>
      <c r="DE285" s="17"/>
      <c r="DS285" s="17"/>
      <c r="DT285" s="17"/>
      <c r="EH285" s="17"/>
      <c r="EI285" s="17"/>
      <c r="EW285" s="17"/>
      <c r="EX285" s="17"/>
      <c r="FL285" s="17"/>
      <c r="FM285" s="17"/>
      <c r="GA285" s="17"/>
      <c r="GB285" s="17"/>
      <c r="GP285" s="17"/>
      <c r="GQ285" s="17"/>
      <c r="HE285" s="17"/>
      <c r="HF285" s="17"/>
      <c r="HT285" s="17"/>
      <c r="HU285" s="17"/>
      <c r="II285" s="42"/>
      <c r="IJ285" s="42"/>
      <c r="IK285" s="42"/>
      <c r="IL285" s="42"/>
      <c r="IM285" s="42"/>
      <c r="IN285" s="42"/>
      <c r="IO285" s="42"/>
      <c r="IP285" s="42"/>
      <c r="IQ285" s="42"/>
      <c r="IR285" s="42"/>
      <c r="IS285" s="42"/>
      <c r="IT285" s="42"/>
      <c r="IU285" s="42"/>
      <c r="IV285" s="42"/>
      <c r="IW285" s="42"/>
      <c r="IX285" s="42"/>
      <c r="IY285" s="42"/>
      <c r="IZ285" s="42"/>
      <c r="JA285" s="42"/>
      <c r="JB285" s="42"/>
      <c r="JC285" s="42"/>
      <c r="JD285" s="42"/>
      <c r="JE285" s="42"/>
      <c r="JF285" s="42"/>
      <c r="JG285" s="42"/>
      <c r="JH285" s="42"/>
      <c r="JI285" s="42"/>
      <c r="JJ285" s="42"/>
      <c r="JK285" s="42"/>
      <c r="JL285" s="42"/>
      <c r="JM285" s="42"/>
      <c r="JN285" s="42"/>
      <c r="JO285" s="42"/>
      <c r="JP285" s="42"/>
      <c r="JQ285" s="42"/>
      <c r="JR285" s="42"/>
      <c r="JS285" s="42"/>
      <c r="JT285" s="42"/>
      <c r="JU285" s="42"/>
      <c r="JV285" s="42"/>
      <c r="JW285" s="42"/>
      <c r="JX285" s="42"/>
      <c r="JY285" s="42"/>
      <c r="JZ285" s="42"/>
      <c r="KA285" s="42"/>
    </row>
    <row r="286" spans="1:287" ht="192">
      <c r="A286" s="13" t="s">
        <v>706</v>
      </c>
      <c r="B286" s="13" t="s">
        <v>649</v>
      </c>
      <c r="C286" s="15">
        <v>27.648289999999999</v>
      </c>
      <c r="D286" s="15">
        <v>-82.734610000000004</v>
      </c>
      <c r="E286" s="15">
        <v>0</v>
      </c>
      <c r="G286" s="15">
        <v>87</v>
      </c>
      <c r="H286" s="15">
        <v>0</v>
      </c>
      <c r="I286" s="15">
        <v>5</v>
      </c>
      <c r="J286" s="18">
        <v>0</v>
      </c>
      <c r="K286" s="15">
        <v>220</v>
      </c>
      <c r="L286" s="15">
        <v>0</v>
      </c>
      <c r="M286" s="15">
        <v>0</v>
      </c>
      <c r="N286" s="15">
        <v>0</v>
      </c>
      <c r="O286" s="15">
        <v>0</v>
      </c>
      <c r="P286" s="15">
        <v>0</v>
      </c>
      <c r="Q286" s="18" t="s">
        <v>1473</v>
      </c>
      <c r="R286" s="15">
        <v>27.676649999999999</v>
      </c>
      <c r="S286" s="15">
        <v>-82.732290000000006</v>
      </c>
      <c r="T286" s="15">
        <v>2</v>
      </c>
      <c r="U286" s="15">
        <v>0</v>
      </c>
      <c r="V286" s="15">
        <v>0</v>
      </c>
      <c r="X286" s="15">
        <v>0</v>
      </c>
      <c r="Y286" s="19"/>
      <c r="Z286" s="15">
        <v>0</v>
      </c>
      <c r="AB286" s="15">
        <v>0</v>
      </c>
      <c r="AD286" s="15">
        <v>0</v>
      </c>
      <c r="AF286" s="19"/>
      <c r="AG286" s="17"/>
      <c r="AV286" s="17"/>
      <c r="BK286" s="17"/>
      <c r="BZ286" s="17"/>
      <c r="CO286" s="17"/>
      <c r="DD286" s="17"/>
      <c r="DE286" s="17"/>
      <c r="DS286" s="17"/>
      <c r="DT286" s="17"/>
      <c r="EH286" s="17"/>
      <c r="EI286" s="17"/>
      <c r="EW286" s="17"/>
      <c r="EX286" s="17"/>
      <c r="FL286" s="17"/>
      <c r="FM286" s="17"/>
      <c r="GA286" s="17"/>
      <c r="GB286" s="17"/>
      <c r="GP286" s="17"/>
      <c r="GQ286" s="17"/>
      <c r="HE286" s="17"/>
      <c r="HF286" s="17"/>
      <c r="HT286" s="17"/>
      <c r="HU286" s="17"/>
      <c r="II286" s="42"/>
      <c r="IJ286" s="42"/>
      <c r="IK286" s="42"/>
      <c r="IL286" s="42"/>
      <c r="IM286" s="42"/>
      <c r="IN286" s="42"/>
      <c r="IO286" s="42"/>
      <c r="IP286" s="42"/>
      <c r="IQ286" s="42"/>
      <c r="IR286" s="42"/>
      <c r="IS286" s="42"/>
      <c r="IT286" s="42"/>
      <c r="IU286" s="42"/>
      <c r="IV286" s="42"/>
      <c r="IW286" s="42"/>
      <c r="IX286" s="42"/>
      <c r="IY286" s="42"/>
      <c r="IZ286" s="42"/>
      <c r="JA286" s="42"/>
      <c r="JB286" s="42"/>
      <c r="JC286" s="42"/>
      <c r="JD286" s="42"/>
      <c r="JE286" s="42"/>
      <c r="JF286" s="42"/>
      <c r="JG286" s="42"/>
      <c r="JH286" s="42"/>
      <c r="JI286" s="42"/>
      <c r="JJ286" s="42"/>
      <c r="JK286" s="42"/>
      <c r="JL286" s="42"/>
      <c r="JM286" s="42"/>
      <c r="JN286" s="42"/>
      <c r="JO286" s="42"/>
      <c r="JP286" s="42"/>
      <c r="JQ286" s="42"/>
      <c r="JR286" s="42"/>
      <c r="JS286" s="42"/>
      <c r="JT286" s="42"/>
      <c r="JU286" s="42"/>
      <c r="JV286" s="42"/>
      <c r="JW286" s="42"/>
      <c r="JX286" s="42"/>
      <c r="JY286" s="42"/>
      <c r="JZ286" s="42"/>
      <c r="KA286" s="42"/>
    </row>
    <row r="287" spans="1:287" ht="102.75">
      <c r="A287" s="13" t="s">
        <v>709</v>
      </c>
      <c r="B287" s="13" t="s">
        <v>649</v>
      </c>
      <c r="C287" s="15">
        <v>27.7212231</v>
      </c>
      <c r="D287" s="15">
        <v>-82.741763500000005</v>
      </c>
      <c r="E287" s="15">
        <v>0</v>
      </c>
      <c r="F287" s="15">
        <v>0</v>
      </c>
      <c r="G287" s="15">
        <v>0</v>
      </c>
      <c r="H287" s="15">
        <v>0</v>
      </c>
      <c r="I287" s="15">
        <v>0</v>
      </c>
      <c r="J287" s="18">
        <v>0</v>
      </c>
      <c r="K287" s="15">
        <v>0</v>
      </c>
      <c r="L287" s="15">
        <v>0</v>
      </c>
      <c r="M287" s="15">
        <v>0</v>
      </c>
      <c r="N287" s="15">
        <v>0</v>
      </c>
      <c r="O287" s="15">
        <v>0</v>
      </c>
      <c r="P287" s="15">
        <v>0</v>
      </c>
      <c r="Q287" s="18" t="s">
        <v>1474</v>
      </c>
      <c r="R287" s="15">
        <v>27.729077400000001</v>
      </c>
      <c r="S287" s="15">
        <v>-82.745704399999994</v>
      </c>
      <c r="T287" s="15">
        <v>0</v>
      </c>
      <c r="U287" s="15">
        <v>0</v>
      </c>
      <c r="V287" s="15">
        <v>0</v>
      </c>
      <c r="W287" s="15">
        <v>0</v>
      </c>
      <c r="X287" s="15">
        <v>0</v>
      </c>
      <c r="Y287" s="18">
        <v>0</v>
      </c>
      <c r="Z287" s="15">
        <v>0</v>
      </c>
      <c r="AA287" s="15">
        <v>0</v>
      </c>
      <c r="AB287" s="15">
        <v>0</v>
      </c>
      <c r="AC287" s="15">
        <v>0</v>
      </c>
      <c r="AD287" s="15">
        <v>0</v>
      </c>
      <c r="AE287" s="15">
        <v>0</v>
      </c>
      <c r="AF287" s="18" t="s">
        <v>1475</v>
      </c>
      <c r="AG287" s="17"/>
      <c r="AV287" s="17"/>
      <c r="BK287" s="17"/>
      <c r="BZ287" s="17"/>
      <c r="CO287" s="17"/>
      <c r="DD287" s="17"/>
      <c r="DE287" s="17"/>
      <c r="DS287" s="17"/>
      <c r="DT287" s="17"/>
      <c r="EH287" s="17"/>
      <c r="EI287" s="17"/>
      <c r="EW287" s="17"/>
      <c r="EX287" s="17"/>
      <c r="FL287" s="17"/>
      <c r="FM287" s="17"/>
      <c r="GA287" s="17"/>
      <c r="GB287" s="17"/>
      <c r="GP287" s="17"/>
      <c r="GQ287" s="17"/>
      <c r="HE287" s="17"/>
      <c r="HF287" s="17"/>
      <c r="HT287" s="17"/>
      <c r="HU287" s="17"/>
      <c r="II287" s="42"/>
      <c r="IJ287" s="42"/>
      <c r="IK287" s="42"/>
      <c r="IL287" s="42"/>
      <c r="IM287" s="42"/>
      <c r="IN287" s="42"/>
      <c r="IO287" s="42"/>
      <c r="IP287" s="42"/>
      <c r="IQ287" s="42"/>
      <c r="IR287" s="42"/>
      <c r="IS287" s="42"/>
      <c r="IT287" s="42"/>
      <c r="IU287" s="42"/>
      <c r="IV287" s="42"/>
      <c r="IW287" s="42"/>
      <c r="IX287" s="42"/>
      <c r="IY287" s="42"/>
      <c r="IZ287" s="42"/>
      <c r="JA287" s="42"/>
      <c r="JB287" s="42"/>
      <c r="JC287" s="42"/>
      <c r="JD287" s="42"/>
      <c r="JE287" s="42"/>
      <c r="JF287" s="42"/>
      <c r="JG287" s="42"/>
      <c r="JH287" s="42"/>
      <c r="JI287" s="42"/>
      <c r="JJ287" s="42"/>
      <c r="JK287" s="42"/>
      <c r="JL287" s="42"/>
      <c r="JM287" s="42"/>
      <c r="JN287" s="42"/>
      <c r="JO287" s="42"/>
      <c r="JP287" s="42"/>
      <c r="JQ287" s="42"/>
      <c r="JR287" s="42"/>
      <c r="JS287" s="42"/>
      <c r="JT287" s="42"/>
      <c r="JU287" s="42"/>
      <c r="JV287" s="42"/>
      <c r="JW287" s="42"/>
      <c r="JX287" s="42"/>
      <c r="JY287" s="42"/>
      <c r="JZ287" s="42"/>
      <c r="KA287" s="42"/>
    </row>
    <row r="288" spans="1:287">
      <c r="A288" s="13" t="s">
        <v>712</v>
      </c>
      <c r="B288" s="13" t="s">
        <v>649</v>
      </c>
      <c r="C288" s="15">
        <v>28.132200000000001</v>
      </c>
      <c r="D288" s="15">
        <v>-82.826599999999999</v>
      </c>
      <c r="F288" s="15">
        <v>0</v>
      </c>
      <c r="H288" s="15">
        <v>0</v>
      </c>
      <c r="I288" s="15">
        <v>1</v>
      </c>
      <c r="J288" s="15">
        <v>0</v>
      </c>
      <c r="K288" s="15">
        <v>0</v>
      </c>
      <c r="L288" s="15">
        <v>0</v>
      </c>
      <c r="M288" s="15">
        <v>0</v>
      </c>
      <c r="N288" s="15">
        <v>0</v>
      </c>
      <c r="O288" s="15">
        <v>0</v>
      </c>
      <c r="P288" s="15">
        <v>0</v>
      </c>
      <c r="R288" s="17"/>
      <c r="AG288" s="17"/>
      <c r="AV288" s="17"/>
      <c r="BK288" s="17"/>
      <c r="BZ288" s="17"/>
      <c r="CO288" s="17"/>
      <c r="DD288" s="17"/>
      <c r="DE288" s="17"/>
      <c r="DS288" s="17"/>
      <c r="DT288" s="17"/>
      <c r="EH288" s="17"/>
      <c r="EI288" s="17"/>
      <c r="EW288" s="17"/>
      <c r="EX288" s="17"/>
      <c r="FL288" s="17"/>
      <c r="FM288" s="17"/>
      <c r="GA288" s="17"/>
      <c r="GB288" s="17"/>
      <c r="GP288" s="17"/>
      <c r="GQ288" s="17"/>
      <c r="HE288" s="17"/>
      <c r="HF288" s="17"/>
      <c r="HT288" s="17"/>
      <c r="HU288" s="17"/>
      <c r="II288" s="42"/>
      <c r="IJ288" s="42"/>
      <c r="IK288" s="42"/>
      <c r="IL288" s="42"/>
      <c r="IM288" s="42"/>
      <c r="IN288" s="42"/>
      <c r="IO288" s="42"/>
      <c r="IP288" s="42"/>
      <c r="IQ288" s="42"/>
      <c r="IR288" s="42"/>
      <c r="IS288" s="42"/>
      <c r="IT288" s="42"/>
      <c r="IU288" s="42"/>
      <c r="IV288" s="42"/>
      <c r="IW288" s="42"/>
      <c r="IX288" s="42"/>
      <c r="IY288" s="42"/>
      <c r="IZ288" s="42"/>
      <c r="JA288" s="42"/>
      <c r="JB288" s="42"/>
      <c r="JC288" s="42"/>
      <c r="JD288" s="42"/>
      <c r="JE288" s="42"/>
      <c r="JF288" s="42"/>
      <c r="JG288" s="42"/>
      <c r="JH288" s="42"/>
      <c r="JI288" s="42"/>
      <c r="JJ288" s="42"/>
      <c r="JK288" s="42"/>
      <c r="JL288" s="42"/>
      <c r="JM288" s="42"/>
      <c r="JN288" s="42"/>
      <c r="JO288" s="42"/>
      <c r="JP288" s="42"/>
      <c r="JQ288" s="42"/>
      <c r="JR288" s="42"/>
      <c r="JS288" s="42"/>
      <c r="JT288" s="42"/>
      <c r="JU288" s="42"/>
      <c r="JV288" s="42"/>
      <c r="JW288" s="42"/>
      <c r="JX288" s="42"/>
      <c r="JY288" s="42"/>
      <c r="JZ288" s="42"/>
      <c r="KA288" s="42"/>
    </row>
    <row r="289" spans="1:287">
      <c r="A289" s="13" t="s">
        <v>715</v>
      </c>
      <c r="B289" s="13" t="s">
        <v>649</v>
      </c>
      <c r="C289" s="15">
        <v>28.105</v>
      </c>
      <c r="D289" s="15">
        <v>-82.83005</v>
      </c>
      <c r="E289" s="15">
        <v>0</v>
      </c>
      <c r="F289" s="15">
        <v>0</v>
      </c>
      <c r="G289" s="15">
        <v>0</v>
      </c>
      <c r="H289" s="15">
        <v>0</v>
      </c>
      <c r="I289" s="15">
        <v>7</v>
      </c>
      <c r="J289" s="15" t="s">
        <v>1476</v>
      </c>
      <c r="K289" s="15">
        <v>0</v>
      </c>
      <c r="L289" s="15">
        <v>0</v>
      </c>
      <c r="M289" s="15">
        <v>0</v>
      </c>
      <c r="N289" s="15">
        <v>0</v>
      </c>
      <c r="O289" s="15">
        <v>0</v>
      </c>
      <c r="P289" s="15">
        <v>0</v>
      </c>
      <c r="R289" s="15">
        <v>28.104500000000002</v>
      </c>
      <c r="S289" s="15">
        <v>-82.830399999999997</v>
      </c>
      <c r="T289" s="15">
        <v>0</v>
      </c>
      <c r="U289" s="15">
        <v>0</v>
      </c>
      <c r="V289" s="15">
        <v>0</v>
      </c>
      <c r="W289" s="15">
        <v>0</v>
      </c>
      <c r="X289" s="15">
        <v>5</v>
      </c>
      <c r="Y289" s="18" t="s">
        <v>1477</v>
      </c>
      <c r="Z289" s="15">
        <v>0</v>
      </c>
      <c r="AA289" s="15">
        <v>0</v>
      </c>
      <c r="AB289" s="15">
        <v>0</v>
      </c>
      <c r="AC289" s="15">
        <v>0</v>
      </c>
      <c r="AD289" s="15">
        <v>0</v>
      </c>
      <c r="AE289" s="15">
        <v>0</v>
      </c>
      <c r="AF289" s="19"/>
      <c r="AG289" s="17"/>
      <c r="AV289" s="17"/>
      <c r="BK289" s="17"/>
      <c r="BZ289" s="17"/>
      <c r="CO289" s="17"/>
      <c r="DD289" s="17"/>
      <c r="DE289" s="17"/>
      <c r="DS289" s="17"/>
      <c r="DT289" s="17"/>
      <c r="EH289" s="17"/>
      <c r="EI289" s="17"/>
      <c r="EW289" s="17"/>
      <c r="EX289" s="17"/>
      <c r="FL289" s="17"/>
      <c r="FM289" s="17"/>
      <c r="GA289" s="17"/>
      <c r="GB289" s="17"/>
      <c r="GP289" s="17"/>
      <c r="GQ289" s="17"/>
      <c r="HE289" s="17"/>
      <c r="HF289" s="17"/>
      <c r="HT289" s="17"/>
      <c r="HU289" s="17"/>
      <c r="II289" s="42"/>
      <c r="IJ289" s="42"/>
      <c r="IK289" s="42"/>
      <c r="IL289" s="42"/>
      <c r="IM289" s="42"/>
      <c r="IN289" s="42"/>
      <c r="IO289" s="42"/>
      <c r="IP289" s="42"/>
      <c r="IQ289" s="42"/>
      <c r="IR289" s="42"/>
      <c r="IS289" s="42"/>
      <c r="IT289" s="42"/>
      <c r="IU289" s="42"/>
      <c r="IV289" s="42"/>
      <c r="IW289" s="42"/>
      <c r="IX289" s="42"/>
      <c r="IY289" s="42"/>
      <c r="IZ289" s="42"/>
      <c r="JA289" s="42"/>
      <c r="JB289" s="42"/>
      <c r="JC289" s="42"/>
      <c r="JD289" s="42"/>
      <c r="JE289" s="42"/>
      <c r="JF289" s="42"/>
      <c r="JG289" s="42"/>
      <c r="JH289" s="42"/>
      <c r="JI289" s="42"/>
      <c r="JJ289" s="42"/>
      <c r="JK289" s="42"/>
      <c r="JL289" s="42"/>
      <c r="JM289" s="42"/>
      <c r="JN289" s="42"/>
      <c r="JO289" s="42"/>
      <c r="JP289" s="42"/>
      <c r="JQ289" s="42"/>
      <c r="JR289" s="42"/>
      <c r="JS289" s="42"/>
      <c r="JT289" s="42"/>
      <c r="JU289" s="42"/>
      <c r="JV289" s="42"/>
      <c r="JW289" s="42"/>
      <c r="JX289" s="42"/>
      <c r="JY289" s="42"/>
      <c r="JZ289" s="42"/>
      <c r="KA289" s="42"/>
    </row>
    <row r="290" spans="1:287">
      <c r="A290" s="13" t="s">
        <v>717</v>
      </c>
      <c r="B290" s="13" t="s">
        <v>649</v>
      </c>
      <c r="C290" s="17"/>
      <c r="R290" s="17"/>
      <c r="AG290" s="17"/>
      <c r="AV290" s="17"/>
      <c r="BK290" s="17"/>
      <c r="BZ290" s="17"/>
      <c r="CO290" s="17"/>
      <c r="DD290" s="17"/>
      <c r="DE290" s="17"/>
      <c r="DS290" s="17"/>
      <c r="DT290" s="17"/>
      <c r="EH290" s="17"/>
      <c r="EI290" s="17"/>
      <c r="EW290" s="17"/>
      <c r="EX290" s="17"/>
      <c r="FL290" s="17"/>
      <c r="FM290" s="17"/>
      <c r="GA290" s="17"/>
      <c r="GB290" s="17"/>
      <c r="GP290" s="17"/>
      <c r="GQ290" s="17"/>
      <c r="HE290" s="17"/>
      <c r="HF290" s="17"/>
      <c r="HT290" s="17"/>
      <c r="HU290" s="17"/>
      <c r="II290" s="42"/>
      <c r="IJ290" s="42"/>
      <c r="IK290" s="42"/>
      <c r="IL290" s="42"/>
      <c r="IM290" s="42"/>
      <c r="IN290" s="42"/>
      <c r="IO290" s="42"/>
      <c r="IP290" s="42"/>
      <c r="IQ290" s="42"/>
      <c r="IR290" s="42"/>
      <c r="IS290" s="42"/>
      <c r="IT290" s="42"/>
      <c r="IU290" s="42"/>
      <c r="IV290" s="42"/>
      <c r="IW290" s="42"/>
      <c r="IX290" s="42"/>
      <c r="IY290" s="42"/>
      <c r="IZ290" s="42"/>
      <c r="JA290" s="42"/>
      <c r="JB290" s="42"/>
      <c r="JC290" s="42"/>
      <c r="JD290" s="42"/>
      <c r="JE290" s="42"/>
      <c r="JF290" s="42"/>
      <c r="JG290" s="42"/>
      <c r="JH290" s="42"/>
      <c r="JI290" s="42"/>
      <c r="JJ290" s="42"/>
      <c r="JK290" s="42"/>
      <c r="JL290" s="42"/>
      <c r="JM290" s="42"/>
      <c r="JN290" s="42"/>
      <c r="JO290" s="42"/>
      <c r="JP290" s="42"/>
      <c r="JQ290" s="42"/>
      <c r="JR290" s="42"/>
      <c r="JS290" s="42"/>
      <c r="JT290" s="42"/>
      <c r="JU290" s="42"/>
      <c r="JV290" s="42"/>
      <c r="JW290" s="42"/>
      <c r="JX290" s="42"/>
      <c r="JY290" s="42"/>
      <c r="JZ290" s="42"/>
      <c r="KA290" s="42"/>
    </row>
    <row r="291" spans="1:287">
      <c r="A291" s="13" t="s">
        <v>718</v>
      </c>
      <c r="B291" s="13" t="s">
        <v>649</v>
      </c>
      <c r="C291" s="17"/>
      <c r="J291" s="19"/>
      <c r="Q291" s="19"/>
      <c r="R291" s="17"/>
      <c r="Y291" s="18"/>
      <c r="AF291" s="18"/>
      <c r="AG291" s="17"/>
      <c r="AV291" s="17"/>
      <c r="BK291" s="17"/>
      <c r="BZ291" s="17"/>
      <c r="CO291" s="17"/>
      <c r="DD291" s="17"/>
      <c r="DE291" s="17"/>
      <c r="DS291" s="17"/>
      <c r="DT291" s="17"/>
      <c r="EH291" s="17"/>
      <c r="EI291" s="17"/>
      <c r="EW291" s="17"/>
      <c r="EX291" s="17"/>
      <c r="FL291" s="17"/>
      <c r="FM291" s="17"/>
      <c r="GA291" s="17"/>
      <c r="GB291" s="17"/>
      <c r="GP291" s="17"/>
      <c r="GQ291" s="17"/>
      <c r="HE291" s="17"/>
      <c r="HF291" s="17"/>
      <c r="HT291" s="17"/>
      <c r="HU291" s="17"/>
      <c r="II291" s="42"/>
      <c r="IJ291" s="42"/>
      <c r="IK291" s="42"/>
      <c r="IL291" s="42"/>
      <c r="IM291" s="42"/>
      <c r="IN291" s="42"/>
      <c r="IO291" s="42"/>
      <c r="IP291" s="42"/>
      <c r="IQ291" s="42"/>
      <c r="IR291" s="42"/>
      <c r="IS291" s="42"/>
      <c r="IT291" s="42"/>
      <c r="IU291" s="42"/>
      <c r="IV291" s="42"/>
      <c r="IW291" s="42"/>
      <c r="IX291" s="42"/>
      <c r="IY291" s="42"/>
      <c r="IZ291" s="42"/>
      <c r="JA291" s="42"/>
      <c r="JB291" s="42"/>
      <c r="JC291" s="42"/>
      <c r="JD291" s="42"/>
      <c r="JE291" s="42"/>
      <c r="JF291" s="42"/>
      <c r="JG291" s="42"/>
      <c r="JH291" s="42"/>
      <c r="JI291" s="42"/>
      <c r="JJ291" s="42"/>
      <c r="JK291" s="42"/>
      <c r="JL291" s="42"/>
      <c r="JM291" s="42"/>
      <c r="JN291" s="42"/>
      <c r="JO291" s="42"/>
      <c r="JP291" s="42"/>
      <c r="JQ291" s="42"/>
      <c r="JR291" s="42"/>
      <c r="JS291" s="42"/>
      <c r="JT291" s="42"/>
      <c r="JU291" s="42"/>
      <c r="JV291" s="42"/>
      <c r="JW291" s="42"/>
      <c r="JX291" s="42"/>
      <c r="JY291" s="42"/>
      <c r="JZ291" s="42"/>
      <c r="KA291" s="42"/>
    </row>
    <row r="292" spans="1:287">
      <c r="A292" s="29" t="s">
        <v>719</v>
      </c>
      <c r="B292" s="24" t="s">
        <v>720</v>
      </c>
      <c r="C292" s="17"/>
      <c r="J292" s="19"/>
      <c r="Q292" s="19"/>
      <c r="R292" s="17"/>
      <c r="Y292" s="19"/>
      <c r="AF292" s="19"/>
      <c r="AG292" s="17"/>
      <c r="AV292" s="17"/>
      <c r="BK292" s="17"/>
      <c r="BZ292" s="17"/>
      <c r="CO292" s="17"/>
      <c r="DD292" s="17"/>
      <c r="DE292" s="17"/>
      <c r="DS292" s="17"/>
      <c r="DT292" s="17"/>
      <c r="EH292" s="17"/>
      <c r="EI292" s="17"/>
      <c r="EW292" s="17"/>
      <c r="EX292" s="17"/>
      <c r="FL292" s="17"/>
      <c r="FM292" s="17"/>
      <c r="GA292" s="17"/>
      <c r="GB292" s="17"/>
      <c r="GP292" s="17"/>
      <c r="GQ292" s="17"/>
      <c r="HE292" s="17"/>
      <c r="HF292" s="17"/>
      <c r="HT292" s="17"/>
      <c r="HU292" s="17"/>
      <c r="II292" s="42"/>
      <c r="IJ292" s="42"/>
      <c r="IK292" s="42"/>
      <c r="IL292" s="42"/>
      <c r="IM292" s="42"/>
      <c r="IN292" s="42"/>
      <c r="IO292" s="42"/>
      <c r="IP292" s="42"/>
      <c r="IQ292" s="42"/>
      <c r="IR292" s="42"/>
      <c r="IS292" s="42"/>
      <c r="IT292" s="42"/>
      <c r="IU292" s="42"/>
      <c r="IV292" s="42"/>
      <c r="IW292" s="42"/>
      <c r="IX292" s="42"/>
      <c r="IY292" s="42"/>
      <c r="IZ292" s="42"/>
      <c r="JA292" s="42"/>
      <c r="JB292" s="42"/>
      <c r="JC292" s="42"/>
      <c r="JD292" s="42"/>
      <c r="JE292" s="42"/>
      <c r="JF292" s="42"/>
      <c r="JG292" s="42"/>
      <c r="JH292" s="42"/>
      <c r="JI292" s="42"/>
      <c r="JJ292" s="42"/>
      <c r="JK292" s="42"/>
      <c r="JL292" s="42"/>
      <c r="JM292" s="42"/>
      <c r="JN292" s="42"/>
      <c r="JO292" s="42"/>
      <c r="JP292" s="42"/>
      <c r="JQ292" s="42"/>
      <c r="JR292" s="42"/>
      <c r="JS292" s="42"/>
      <c r="JT292" s="42"/>
      <c r="JU292" s="42"/>
      <c r="JV292" s="42"/>
      <c r="JW292" s="42"/>
      <c r="JX292" s="42"/>
      <c r="JY292" s="42"/>
      <c r="JZ292" s="42"/>
      <c r="KA292" s="42"/>
    </row>
    <row r="293" spans="1:287">
      <c r="A293" s="24" t="s">
        <v>721</v>
      </c>
      <c r="B293" s="24" t="s">
        <v>720</v>
      </c>
      <c r="C293" s="17"/>
      <c r="J293" s="19"/>
      <c r="Q293" s="19"/>
      <c r="R293" s="17"/>
      <c r="Y293" s="19"/>
      <c r="AF293" s="19"/>
      <c r="AG293" s="17"/>
      <c r="AV293" s="17"/>
      <c r="BK293" s="17"/>
      <c r="BZ293" s="17"/>
      <c r="CO293" s="17"/>
      <c r="DD293" s="17"/>
      <c r="DE293" s="17"/>
      <c r="DS293" s="17"/>
      <c r="DT293" s="17"/>
      <c r="EH293" s="17"/>
      <c r="EI293" s="17"/>
      <c r="EW293" s="17"/>
      <c r="EX293" s="17"/>
      <c r="FL293" s="17"/>
      <c r="FM293" s="17"/>
      <c r="GA293" s="17"/>
      <c r="GB293" s="17"/>
      <c r="GP293" s="17"/>
      <c r="GQ293" s="17"/>
      <c r="HE293" s="17"/>
      <c r="HF293" s="17"/>
      <c r="HT293" s="17"/>
      <c r="HU293" s="17"/>
      <c r="II293" s="42"/>
      <c r="IJ293" s="42"/>
      <c r="IK293" s="42"/>
      <c r="IL293" s="42"/>
      <c r="IM293" s="42"/>
      <c r="IN293" s="42"/>
      <c r="IO293" s="42"/>
      <c r="IP293" s="42"/>
      <c r="IQ293" s="42"/>
      <c r="IR293" s="42"/>
      <c r="IS293" s="42"/>
      <c r="IT293" s="42"/>
      <c r="IU293" s="42"/>
      <c r="IV293" s="42"/>
      <c r="IW293" s="42"/>
      <c r="IX293" s="42"/>
      <c r="IY293" s="42"/>
      <c r="IZ293" s="42"/>
      <c r="JA293" s="42"/>
      <c r="JB293" s="42"/>
      <c r="JC293" s="42"/>
      <c r="JD293" s="42"/>
      <c r="JE293" s="42"/>
      <c r="JF293" s="42"/>
      <c r="JG293" s="42"/>
      <c r="JH293" s="42"/>
      <c r="JI293" s="42"/>
      <c r="JJ293" s="42"/>
      <c r="JK293" s="42"/>
      <c r="JL293" s="42"/>
      <c r="JM293" s="42"/>
      <c r="JN293" s="42"/>
      <c r="JO293" s="42"/>
      <c r="JP293" s="42"/>
      <c r="JQ293" s="42"/>
      <c r="JR293" s="42"/>
      <c r="JS293" s="42"/>
      <c r="JT293" s="42"/>
      <c r="JU293" s="42"/>
      <c r="JV293" s="42"/>
      <c r="JW293" s="42"/>
      <c r="JX293" s="42"/>
      <c r="JY293" s="42"/>
      <c r="JZ293" s="42"/>
      <c r="KA293" s="42"/>
    </row>
    <row r="294" spans="1:287">
      <c r="A294" s="13" t="s">
        <v>722</v>
      </c>
      <c r="B294" s="13" t="s">
        <v>720</v>
      </c>
      <c r="C294" s="17"/>
      <c r="J294" s="18"/>
      <c r="Q294" s="18"/>
      <c r="R294" s="17"/>
      <c r="Y294" s="19"/>
      <c r="AF294" s="18"/>
      <c r="AG294" s="17"/>
      <c r="AV294" s="17"/>
      <c r="BK294" s="17"/>
      <c r="BZ294" s="17"/>
      <c r="CO294" s="17"/>
      <c r="DD294" s="17"/>
      <c r="DE294" s="17"/>
      <c r="DS294" s="17"/>
      <c r="DT294" s="17"/>
      <c r="EH294" s="17"/>
      <c r="EI294" s="17"/>
      <c r="EW294" s="17"/>
      <c r="EX294" s="17"/>
      <c r="FL294" s="17"/>
      <c r="FM294" s="17"/>
      <c r="GA294" s="17"/>
      <c r="GB294" s="17"/>
      <c r="GP294" s="17"/>
      <c r="GQ294" s="17"/>
      <c r="HE294" s="17"/>
      <c r="HF294" s="17"/>
      <c r="HT294" s="17"/>
      <c r="HU294" s="17"/>
      <c r="II294" s="42"/>
      <c r="IJ294" s="42"/>
      <c r="IK294" s="42"/>
      <c r="IL294" s="42"/>
      <c r="IM294" s="42"/>
      <c r="IN294" s="42"/>
      <c r="IO294" s="42"/>
      <c r="IP294" s="42"/>
      <c r="IQ294" s="42"/>
      <c r="IR294" s="42"/>
      <c r="IS294" s="42"/>
      <c r="IT294" s="42"/>
      <c r="IU294" s="42"/>
      <c r="IV294" s="42"/>
      <c r="IW294" s="42"/>
      <c r="IX294" s="42"/>
      <c r="IY294" s="42"/>
      <c r="IZ294" s="42"/>
      <c r="JA294" s="42"/>
      <c r="JB294" s="42"/>
      <c r="JC294" s="42"/>
      <c r="JD294" s="42"/>
      <c r="JE294" s="42"/>
      <c r="JF294" s="42"/>
      <c r="JG294" s="42"/>
      <c r="JH294" s="42"/>
      <c r="JI294" s="42"/>
      <c r="JJ294" s="42"/>
      <c r="JK294" s="42"/>
      <c r="JL294" s="42"/>
      <c r="JM294" s="42"/>
      <c r="JN294" s="42"/>
      <c r="JO294" s="42"/>
      <c r="JP294" s="42"/>
      <c r="JQ294" s="42"/>
      <c r="JR294" s="42"/>
      <c r="JS294" s="42"/>
      <c r="JT294" s="42"/>
      <c r="JU294" s="42"/>
      <c r="JV294" s="42"/>
      <c r="JW294" s="42"/>
      <c r="JX294" s="42"/>
      <c r="JY294" s="42"/>
      <c r="JZ294" s="42"/>
      <c r="KA294" s="42"/>
    </row>
    <row r="295" spans="1:287" ht="77.25">
      <c r="A295" s="20" t="s">
        <v>725</v>
      </c>
      <c r="B295" s="13" t="s">
        <v>720</v>
      </c>
      <c r="C295" s="15">
        <v>27.314</v>
      </c>
      <c r="D295" s="15">
        <v>-82.581800000000001</v>
      </c>
      <c r="J295" s="18"/>
      <c r="Q295" s="18" t="s">
        <v>1478</v>
      </c>
      <c r="R295" s="15">
        <v>27.314</v>
      </c>
      <c r="S295" s="15">
        <v>-82.581599999999995</v>
      </c>
      <c r="Y295" s="18"/>
      <c r="AF295" s="18" t="s">
        <v>1479</v>
      </c>
      <c r="AG295" s="15">
        <v>27.314540000000001</v>
      </c>
      <c r="AH295" s="15">
        <v>-82.582160000000002</v>
      </c>
      <c r="AO295" s="15">
        <v>240</v>
      </c>
      <c r="AP295" s="15" t="s">
        <v>1480</v>
      </c>
      <c r="AU295" s="15" t="s">
        <v>1481</v>
      </c>
      <c r="AV295" s="15">
        <v>27.314789999999999</v>
      </c>
      <c r="AW295" s="15">
        <v>-82.582769999999996</v>
      </c>
      <c r="BD295" s="15">
        <v>41</v>
      </c>
      <c r="BE295" s="15" t="s">
        <v>1480</v>
      </c>
      <c r="BJ295" s="15" t="s">
        <v>1482</v>
      </c>
      <c r="BK295" s="15">
        <v>27.315539999999999</v>
      </c>
      <c r="BL295" s="15">
        <v>-82.583759999999998</v>
      </c>
      <c r="BS295" s="15">
        <v>5</v>
      </c>
      <c r="BT295" s="15" t="s">
        <v>1480</v>
      </c>
      <c r="BU295" s="15">
        <v>1</v>
      </c>
      <c r="BV295" s="15" t="s">
        <v>1214</v>
      </c>
      <c r="BY295" s="15" t="s">
        <v>1483</v>
      </c>
      <c r="BZ295" s="15">
        <v>27.31568</v>
      </c>
      <c r="CA295" s="15">
        <v>-82.58417</v>
      </c>
      <c r="CH295" s="15">
        <v>110</v>
      </c>
      <c r="CI295" s="15" t="s">
        <v>1480</v>
      </c>
      <c r="CO295" s="17"/>
      <c r="DD295" s="17"/>
      <c r="DE295" s="17"/>
      <c r="DS295" s="17"/>
      <c r="DT295" s="17"/>
      <c r="EH295" s="17"/>
      <c r="EI295" s="17"/>
      <c r="EW295" s="17"/>
      <c r="EX295" s="17"/>
      <c r="FL295" s="17"/>
      <c r="FM295" s="17"/>
      <c r="GA295" s="17"/>
      <c r="GB295" s="17"/>
      <c r="GP295" s="17"/>
      <c r="GQ295" s="17"/>
      <c r="HE295" s="17"/>
      <c r="HF295" s="17"/>
      <c r="HT295" s="17"/>
      <c r="HU295" s="17"/>
      <c r="II295" s="42"/>
      <c r="IJ295" s="42"/>
      <c r="IK295" s="42"/>
      <c r="IL295" s="42"/>
      <c r="IM295" s="42"/>
      <c r="IN295" s="42"/>
      <c r="IO295" s="42"/>
      <c r="IP295" s="42"/>
      <c r="IQ295" s="42"/>
      <c r="IR295" s="42"/>
      <c r="IS295" s="42"/>
      <c r="IT295" s="42"/>
      <c r="IU295" s="42"/>
      <c r="IV295" s="42"/>
      <c r="IW295" s="42"/>
      <c r="IX295" s="42"/>
      <c r="IY295" s="42"/>
      <c r="IZ295" s="42"/>
      <c r="JA295" s="42"/>
      <c r="JB295" s="42"/>
      <c r="JC295" s="42"/>
      <c r="JD295" s="42"/>
      <c r="JE295" s="42"/>
      <c r="JF295" s="42"/>
      <c r="JG295" s="42"/>
      <c r="JH295" s="42"/>
      <c r="JI295" s="42"/>
      <c r="JJ295" s="42"/>
      <c r="JK295" s="42"/>
      <c r="JL295" s="42"/>
      <c r="JM295" s="42"/>
      <c r="JN295" s="42"/>
      <c r="JO295" s="42"/>
      <c r="JP295" s="42"/>
      <c r="JQ295" s="42"/>
      <c r="JR295" s="42"/>
      <c r="JS295" s="42"/>
      <c r="JT295" s="42"/>
      <c r="JU295" s="42"/>
      <c r="JV295" s="42"/>
      <c r="JW295" s="42"/>
      <c r="JX295" s="42"/>
      <c r="JY295" s="42"/>
      <c r="JZ295" s="42"/>
      <c r="KA295" s="42"/>
    </row>
    <row r="296" spans="1:287">
      <c r="A296" s="13" t="s">
        <v>728</v>
      </c>
      <c r="B296" s="13" t="s">
        <v>720</v>
      </c>
      <c r="C296" s="15">
        <v>27.32846</v>
      </c>
      <c r="D296" s="15">
        <v>-82.588999999999999</v>
      </c>
      <c r="G296" s="15">
        <v>2</v>
      </c>
      <c r="J296" s="19"/>
      <c r="Q296" s="18"/>
      <c r="R296" s="15">
        <v>27.33935</v>
      </c>
      <c r="S296" s="15">
        <v>-82.600790000000003</v>
      </c>
      <c r="Y296" s="19"/>
      <c r="Z296" s="15">
        <v>64</v>
      </c>
      <c r="AA296" s="15" t="s">
        <v>1484</v>
      </c>
      <c r="AF296" s="19"/>
      <c r="AG296" s="15">
        <v>27.351489999999998</v>
      </c>
      <c r="AH296" s="15">
        <v>-82.613619999999997</v>
      </c>
      <c r="AO296" s="15">
        <v>12</v>
      </c>
      <c r="AV296" s="15">
        <v>27.35981</v>
      </c>
      <c r="AW296" s="15">
        <v>-82.621470000000002</v>
      </c>
      <c r="BD296" s="15">
        <v>42</v>
      </c>
      <c r="BK296" s="15">
        <v>27.37256</v>
      </c>
      <c r="BL296" s="15">
        <v>-82.63167</v>
      </c>
      <c r="BS296" s="15">
        <v>5</v>
      </c>
      <c r="BZ296" s="17"/>
      <c r="CO296" s="17"/>
      <c r="DD296" s="17"/>
      <c r="DE296" s="17"/>
      <c r="DS296" s="17"/>
      <c r="DT296" s="17"/>
      <c r="EH296" s="17"/>
      <c r="EI296" s="17"/>
      <c r="EW296" s="17"/>
      <c r="EX296" s="17"/>
      <c r="FL296" s="17"/>
      <c r="FM296" s="17"/>
      <c r="GA296" s="17"/>
      <c r="GB296" s="17"/>
      <c r="GP296" s="17"/>
      <c r="GQ296" s="17"/>
      <c r="HE296" s="17"/>
      <c r="HF296" s="17"/>
      <c r="HT296" s="17"/>
      <c r="HU296" s="17"/>
      <c r="II296" s="42"/>
      <c r="IJ296" s="42"/>
      <c r="IK296" s="42"/>
      <c r="IL296" s="42"/>
      <c r="IM296" s="42"/>
      <c r="IN296" s="42"/>
      <c r="IO296" s="42"/>
      <c r="IP296" s="42"/>
      <c r="IQ296" s="42"/>
      <c r="IR296" s="42"/>
      <c r="IS296" s="42"/>
      <c r="IT296" s="42"/>
      <c r="IU296" s="42"/>
      <c r="IV296" s="42"/>
      <c r="IW296" s="42"/>
      <c r="IX296" s="42"/>
      <c r="IY296" s="42"/>
      <c r="IZ296" s="42"/>
      <c r="JA296" s="42"/>
      <c r="JB296" s="42"/>
      <c r="JC296" s="42"/>
      <c r="JD296" s="42"/>
      <c r="JE296" s="42"/>
      <c r="JF296" s="42"/>
      <c r="JG296" s="42"/>
      <c r="JH296" s="42"/>
      <c r="JI296" s="42"/>
      <c r="JJ296" s="42"/>
      <c r="JK296" s="42"/>
      <c r="JL296" s="42"/>
      <c r="JM296" s="42"/>
      <c r="JN296" s="42"/>
      <c r="JO296" s="42"/>
      <c r="JP296" s="42"/>
      <c r="JQ296" s="42"/>
      <c r="JR296" s="42"/>
      <c r="JS296" s="42"/>
      <c r="JT296" s="42"/>
      <c r="JU296" s="42"/>
      <c r="JV296" s="42"/>
      <c r="JW296" s="42"/>
      <c r="JX296" s="42"/>
      <c r="JY296" s="42"/>
      <c r="JZ296" s="42"/>
      <c r="KA296" s="42"/>
    </row>
    <row r="297" spans="1:287" ht="63">
      <c r="A297" s="13" t="s">
        <v>730</v>
      </c>
      <c r="B297" s="13" t="s">
        <v>720</v>
      </c>
      <c r="C297" s="17"/>
      <c r="J297" s="18"/>
      <c r="Q297" s="19"/>
      <c r="R297" s="17"/>
      <c r="Y297" s="18"/>
      <c r="AF297" s="18"/>
      <c r="AG297" s="17"/>
      <c r="AV297" s="17"/>
      <c r="BK297" s="17"/>
      <c r="BZ297" s="17"/>
      <c r="CO297" s="17"/>
      <c r="DD297" s="17"/>
      <c r="DE297" s="17"/>
      <c r="DS297" s="17"/>
      <c r="DT297" s="17"/>
      <c r="EH297" s="17"/>
      <c r="EI297" s="17"/>
      <c r="EW297" s="17"/>
      <c r="EX297" s="17"/>
      <c r="FL297" s="17"/>
      <c r="FM297" s="17"/>
      <c r="GA297" s="17"/>
      <c r="GB297" s="17"/>
      <c r="GP297" s="17"/>
      <c r="GQ297" s="17"/>
      <c r="HE297" s="17"/>
      <c r="HF297" s="17"/>
      <c r="HT297" s="17"/>
      <c r="HU297" s="17"/>
      <c r="II297" s="42"/>
      <c r="IJ297" s="42"/>
      <c r="IK297" s="42"/>
      <c r="IL297" s="42"/>
      <c r="IM297" s="42"/>
      <c r="IN297" s="42"/>
      <c r="IO297" s="42"/>
      <c r="IP297" s="42"/>
      <c r="IQ297" s="42"/>
      <c r="IR297" s="42"/>
      <c r="IS297" s="42"/>
      <c r="IT297" s="42"/>
      <c r="IU297" s="42"/>
      <c r="IV297" s="42"/>
      <c r="IW297" s="42"/>
      <c r="IX297" s="42"/>
      <c r="IY297" s="42"/>
      <c r="IZ297" s="42"/>
      <c r="JA297" s="42"/>
      <c r="JB297" s="42"/>
      <c r="JC297" s="42"/>
      <c r="JD297" s="42"/>
      <c r="JE297" s="42"/>
      <c r="JF297" s="42"/>
      <c r="JG297" s="42"/>
      <c r="JH297" s="42"/>
      <c r="JI297" s="42"/>
      <c r="JJ297" s="42"/>
      <c r="JK297" s="42"/>
      <c r="JL297" s="42"/>
      <c r="JM297" s="42"/>
      <c r="JN297" s="42"/>
      <c r="JO297" s="42"/>
      <c r="JP297" s="42"/>
      <c r="JQ297" s="42"/>
      <c r="JR297" s="42"/>
      <c r="JS297" s="42"/>
      <c r="JT297" s="42"/>
      <c r="JU297" s="42"/>
      <c r="JV297" s="42"/>
      <c r="JW297" s="42"/>
      <c r="JX297" s="42"/>
      <c r="JY297" s="42"/>
      <c r="JZ297" s="42"/>
      <c r="KA297" s="42"/>
    </row>
    <row r="298" spans="1:287" ht="31.5">
      <c r="A298" s="13" t="s">
        <v>734</v>
      </c>
      <c r="B298" s="13" t="s">
        <v>720</v>
      </c>
      <c r="C298" s="15">
        <v>27.266352300000001</v>
      </c>
      <c r="D298" s="15">
        <v>-82.557054399999998</v>
      </c>
      <c r="J298" s="18"/>
      <c r="M298" s="15">
        <v>5</v>
      </c>
      <c r="N298" s="15" t="s">
        <v>1485</v>
      </c>
      <c r="Q298" s="18"/>
      <c r="R298" s="15">
        <v>27.266124999999999</v>
      </c>
      <c r="S298" s="15">
        <v>-82.559058300000004</v>
      </c>
      <c r="Y298" s="18"/>
      <c r="AB298" s="15">
        <v>1</v>
      </c>
      <c r="AF298" s="18"/>
      <c r="AG298" s="15">
        <v>27.267644499999999</v>
      </c>
      <c r="AH298" s="15">
        <v>-82.559754999999996</v>
      </c>
      <c r="AQ298" s="15">
        <v>2</v>
      </c>
      <c r="AV298" s="15">
        <v>27.2682781</v>
      </c>
      <c r="AW298" s="15">
        <v>-82.561361300000002</v>
      </c>
      <c r="BF298" s="15">
        <v>2</v>
      </c>
      <c r="BK298" s="17"/>
      <c r="BZ298" s="17"/>
      <c r="CO298" s="17"/>
      <c r="DD298" s="17"/>
      <c r="DE298" s="17"/>
      <c r="DS298" s="17"/>
      <c r="DT298" s="17"/>
      <c r="EH298" s="17"/>
      <c r="EI298" s="17"/>
      <c r="EW298" s="17"/>
      <c r="EX298" s="17"/>
      <c r="FL298" s="17"/>
      <c r="FM298" s="17"/>
      <c r="GA298" s="17"/>
      <c r="GB298" s="17"/>
      <c r="GP298" s="17"/>
      <c r="GQ298" s="17"/>
      <c r="HE298" s="17"/>
      <c r="HF298" s="17"/>
      <c r="HT298" s="17"/>
      <c r="HU298" s="17"/>
      <c r="II298" s="42"/>
      <c r="IJ298" s="42"/>
      <c r="IK298" s="42"/>
      <c r="IL298" s="42"/>
      <c r="IM298" s="42"/>
      <c r="IN298" s="42"/>
      <c r="IO298" s="42"/>
      <c r="IP298" s="42"/>
      <c r="IQ298" s="42"/>
      <c r="IR298" s="42"/>
      <c r="IS298" s="42"/>
      <c r="IT298" s="42"/>
      <c r="IU298" s="42"/>
      <c r="IV298" s="42"/>
      <c r="IW298" s="42"/>
      <c r="IX298" s="42"/>
      <c r="IY298" s="42"/>
      <c r="IZ298" s="42"/>
      <c r="JA298" s="42"/>
      <c r="JB298" s="42"/>
      <c r="JC298" s="42"/>
      <c r="JD298" s="42"/>
      <c r="JE298" s="42"/>
      <c r="JF298" s="42"/>
      <c r="JG298" s="42"/>
      <c r="JH298" s="42"/>
      <c r="JI298" s="42"/>
      <c r="JJ298" s="42"/>
      <c r="JK298" s="42"/>
      <c r="JL298" s="42"/>
      <c r="JM298" s="42"/>
      <c r="JN298" s="42"/>
      <c r="JO298" s="42"/>
      <c r="JP298" s="42"/>
      <c r="JQ298" s="42"/>
      <c r="JR298" s="42"/>
      <c r="JS298" s="42"/>
      <c r="JT298" s="42"/>
      <c r="JU298" s="42"/>
      <c r="JV298" s="42"/>
      <c r="JW298" s="42"/>
      <c r="JX298" s="42"/>
      <c r="JY298" s="42"/>
      <c r="JZ298" s="42"/>
      <c r="KA298" s="39"/>
    </row>
    <row r="299" spans="1:287" ht="115.5">
      <c r="A299" s="13" t="s">
        <v>738</v>
      </c>
      <c r="B299" s="13" t="s">
        <v>720</v>
      </c>
      <c r="C299" s="15">
        <v>27.2600999</v>
      </c>
      <c r="D299" s="15">
        <v>-82.546742300000005</v>
      </c>
      <c r="G299" s="15">
        <v>220</v>
      </c>
      <c r="H299" s="15" t="s">
        <v>1486</v>
      </c>
      <c r="J299" s="19"/>
      <c r="Q299" s="18" t="s">
        <v>1487</v>
      </c>
      <c r="R299" s="15">
        <v>27.258861599999999</v>
      </c>
      <c r="S299" s="15">
        <v>-82.5448004</v>
      </c>
      <c r="Y299" s="19"/>
      <c r="Z299" s="15">
        <v>6</v>
      </c>
      <c r="AA299" s="15" t="s">
        <v>1488</v>
      </c>
      <c r="AF299" s="64"/>
      <c r="AG299" s="15">
        <v>27.262960799999998</v>
      </c>
      <c r="AH299" s="15">
        <v>-82.555498</v>
      </c>
      <c r="AK299" s="15">
        <v>62</v>
      </c>
      <c r="AL299" s="15" t="s">
        <v>1489</v>
      </c>
      <c r="AU299" s="15" t="s">
        <v>1490</v>
      </c>
      <c r="AV299" s="15">
        <v>27.2646154</v>
      </c>
      <c r="AW299" s="15">
        <v>-82.552806399999994</v>
      </c>
      <c r="BJ299" s="15" t="s">
        <v>1491</v>
      </c>
      <c r="BK299" s="15">
        <v>27.264885100000001</v>
      </c>
      <c r="BL299" s="15">
        <v>-82.554305499999998</v>
      </c>
      <c r="BY299" s="15" t="s">
        <v>1492</v>
      </c>
      <c r="BZ299" s="15">
        <v>27.264885100000001</v>
      </c>
      <c r="CA299" s="15">
        <v>-82.554305499999998</v>
      </c>
      <c r="CN299" s="15" t="s">
        <v>1493</v>
      </c>
      <c r="CO299" s="17"/>
      <c r="DD299" s="17"/>
      <c r="DE299" s="17"/>
      <c r="DS299" s="17"/>
      <c r="DT299" s="17"/>
      <c r="EH299" s="17"/>
      <c r="EI299" s="17"/>
      <c r="EW299" s="17"/>
      <c r="EX299" s="17"/>
      <c r="FL299" s="17"/>
      <c r="FM299" s="17"/>
      <c r="GA299" s="17"/>
      <c r="GB299" s="17"/>
      <c r="GP299" s="17"/>
      <c r="GQ299" s="17"/>
      <c r="HE299" s="17"/>
      <c r="HF299" s="17"/>
      <c r="HT299" s="17"/>
      <c r="HU299" s="17"/>
      <c r="II299" s="42"/>
      <c r="IJ299" s="42"/>
      <c r="IK299" s="42"/>
      <c r="IL299" s="42"/>
      <c r="IM299" s="42"/>
      <c r="IN299" s="42"/>
      <c r="IO299" s="42"/>
      <c r="IP299" s="42"/>
      <c r="IQ299" s="42"/>
      <c r="IR299" s="42"/>
      <c r="IS299" s="42"/>
      <c r="IT299" s="42"/>
      <c r="IU299" s="42"/>
      <c r="IV299" s="42"/>
      <c r="IW299" s="42"/>
      <c r="IX299" s="42"/>
      <c r="IY299" s="42"/>
      <c r="IZ299" s="42"/>
      <c r="JA299" s="42"/>
      <c r="JB299" s="42"/>
      <c r="JC299" s="42"/>
      <c r="JD299" s="42"/>
      <c r="JE299" s="42"/>
      <c r="JF299" s="42"/>
      <c r="JG299" s="42"/>
      <c r="JH299" s="42"/>
      <c r="JI299" s="42"/>
      <c r="JJ299" s="42"/>
      <c r="JK299" s="42"/>
      <c r="JL299" s="42"/>
      <c r="JM299" s="42"/>
      <c r="JN299" s="42"/>
      <c r="JO299" s="42"/>
      <c r="JP299" s="42"/>
      <c r="JQ299" s="42"/>
      <c r="JR299" s="42"/>
      <c r="JS299" s="42"/>
      <c r="JT299" s="42"/>
      <c r="JU299" s="42"/>
      <c r="JV299" s="42"/>
      <c r="JW299" s="42"/>
      <c r="JX299" s="42"/>
      <c r="JY299" s="42"/>
      <c r="JZ299" s="42"/>
      <c r="KA299" s="42"/>
    </row>
    <row r="300" spans="1:287">
      <c r="A300" s="13" t="s">
        <v>740</v>
      </c>
      <c r="B300" s="13" t="s">
        <v>720</v>
      </c>
      <c r="C300" s="17"/>
      <c r="J300" s="19"/>
      <c r="Q300" s="19"/>
      <c r="R300" s="17"/>
      <c r="Y300" s="19"/>
      <c r="AF300" s="19"/>
      <c r="AG300" s="17"/>
      <c r="AV300" s="17"/>
      <c r="BK300" s="17"/>
      <c r="BZ300" s="17"/>
      <c r="CO300" s="17"/>
      <c r="DD300" s="17"/>
      <c r="DE300" s="17"/>
      <c r="DS300" s="17"/>
      <c r="DT300" s="17"/>
      <c r="EH300" s="17"/>
      <c r="EI300" s="17"/>
      <c r="EW300" s="17"/>
      <c r="EX300" s="17"/>
      <c r="FL300" s="17"/>
      <c r="FM300" s="17"/>
      <c r="GA300" s="17"/>
      <c r="GB300" s="17"/>
      <c r="GP300" s="17"/>
      <c r="GQ300" s="17"/>
      <c r="HE300" s="17"/>
      <c r="HF300" s="17"/>
      <c r="HT300" s="17"/>
      <c r="HU300" s="17"/>
      <c r="II300" s="42"/>
      <c r="IJ300" s="42"/>
      <c r="IK300" s="42"/>
      <c r="IL300" s="42"/>
      <c r="IM300" s="42"/>
      <c r="IN300" s="42"/>
      <c r="IO300" s="42"/>
      <c r="IP300" s="42"/>
      <c r="IQ300" s="42"/>
      <c r="IR300" s="42"/>
      <c r="IS300" s="42"/>
      <c r="IT300" s="42"/>
      <c r="IU300" s="42"/>
      <c r="IV300" s="42"/>
      <c r="IW300" s="42"/>
      <c r="IX300" s="42"/>
      <c r="IY300" s="42"/>
      <c r="IZ300" s="42"/>
      <c r="JA300" s="42"/>
      <c r="JB300" s="42"/>
      <c r="JC300" s="42"/>
      <c r="JD300" s="42"/>
      <c r="JE300" s="42"/>
      <c r="JF300" s="42"/>
      <c r="JG300" s="42"/>
      <c r="JH300" s="42"/>
      <c r="JI300" s="42"/>
      <c r="JJ300" s="42"/>
      <c r="JK300" s="42"/>
      <c r="JL300" s="42"/>
      <c r="JM300" s="42"/>
      <c r="JN300" s="42"/>
      <c r="JO300" s="42"/>
      <c r="JP300" s="42"/>
      <c r="JQ300" s="42"/>
      <c r="JR300" s="42"/>
      <c r="JS300" s="42"/>
      <c r="JT300" s="42"/>
      <c r="JU300" s="42"/>
      <c r="JV300" s="42"/>
      <c r="JW300" s="42"/>
      <c r="JX300" s="42"/>
      <c r="JY300" s="42"/>
      <c r="JZ300" s="42"/>
      <c r="KA300" s="42"/>
    </row>
    <row r="301" spans="1:287" ht="31.5">
      <c r="A301" s="20" t="s">
        <v>741</v>
      </c>
      <c r="B301" s="24" t="s">
        <v>720</v>
      </c>
      <c r="C301" s="17"/>
      <c r="J301" s="19"/>
      <c r="Q301" s="19"/>
      <c r="R301" s="17"/>
      <c r="Y301" s="19"/>
      <c r="AF301" s="19"/>
      <c r="AG301" s="17"/>
      <c r="AV301" s="17"/>
      <c r="BK301" s="17"/>
      <c r="BZ301" s="17"/>
      <c r="CO301" s="17"/>
      <c r="DD301" s="17"/>
      <c r="DE301" s="17"/>
      <c r="DS301" s="17"/>
      <c r="DT301" s="17"/>
      <c r="EH301" s="17"/>
      <c r="EI301" s="17"/>
      <c r="EW301" s="17"/>
      <c r="EX301" s="17"/>
      <c r="FL301" s="17"/>
      <c r="FM301" s="17"/>
      <c r="GA301" s="17"/>
      <c r="GB301" s="17"/>
      <c r="GP301" s="17"/>
      <c r="GQ301" s="17"/>
      <c r="HE301" s="17"/>
      <c r="HF301" s="17"/>
      <c r="HT301" s="17"/>
      <c r="HU301" s="17"/>
      <c r="II301" s="42"/>
      <c r="IJ301" s="42"/>
      <c r="IK301" s="42"/>
      <c r="IL301" s="42"/>
      <c r="IM301" s="42"/>
      <c r="IN301" s="42"/>
      <c r="IO301" s="42"/>
      <c r="IP301" s="42"/>
      <c r="IQ301" s="42"/>
      <c r="IR301" s="42"/>
      <c r="IS301" s="42"/>
      <c r="IT301" s="42"/>
      <c r="IU301" s="42"/>
      <c r="IV301" s="42"/>
      <c r="IW301" s="42"/>
      <c r="IX301" s="42"/>
      <c r="IY301" s="42"/>
      <c r="IZ301" s="42"/>
      <c r="JA301" s="42"/>
      <c r="JB301" s="42"/>
      <c r="JC301" s="42"/>
      <c r="JD301" s="42"/>
      <c r="JE301" s="42"/>
      <c r="JF301" s="42"/>
      <c r="JG301" s="42"/>
      <c r="JH301" s="42"/>
      <c r="JI301" s="42"/>
      <c r="JJ301" s="42"/>
      <c r="JK301" s="42"/>
      <c r="JL301" s="42"/>
      <c r="JM301" s="42"/>
      <c r="JN301" s="42"/>
      <c r="JO301" s="42"/>
      <c r="JP301" s="42"/>
      <c r="JQ301" s="42"/>
      <c r="JR301" s="42"/>
      <c r="JS301" s="42"/>
      <c r="JT301" s="42"/>
      <c r="JU301" s="42"/>
      <c r="JV301" s="42"/>
      <c r="JW301" s="42"/>
      <c r="JX301" s="42"/>
      <c r="JY301" s="42"/>
      <c r="JZ301" s="42"/>
      <c r="KA301" s="42"/>
    </row>
    <row r="302" spans="1:287" ht="31.5">
      <c r="A302" s="31" t="s">
        <v>742</v>
      </c>
      <c r="B302" s="31" t="s">
        <v>720</v>
      </c>
      <c r="J302" s="19"/>
      <c r="Q302" s="19"/>
      <c r="Y302" s="19"/>
      <c r="AB302" s="15">
        <v>1</v>
      </c>
      <c r="AF302" s="19"/>
      <c r="II302" s="42"/>
      <c r="IJ302" s="42"/>
      <c r="IK302" s="42"/>
      <c r="IL302" s="42"/>
      <c r="IM302" s="42"/>
      <c r="IN302" s="42"/>
      <c r="IO302" s="42"/>
      <c r="IP302" s="42"/>
      <c r="IQ302" s="42"/>
      <c r="IR302" s="42"/>
      <c r="IS302" s="42"/>
      <c r="IT302" s="42"/>
      <c r="IU302" s="42"/>
      <c r="IV302" s="42"/>
      <c r="IW302" s="42"/>
      <c r="IX302" s="42"/>
      <c r="IY302" s="42"/>
      <c r="IZ302" s="42"/>
      <c r="JA302" s="42"/>
      <c r="JB302" s="42"/>
      <c r="JC302" s="42"/>
      <c r="JD302" s="42"/>
      <c r="JE302" s="42"/>
      <c r="JF302" s="42"/>
      <c r="JG302" s="42"/>
      <c r="JH302" s="42"/>
      <c r="JI302" s="42"/>
      <c r="JJ302" s="42"/>
      <c r="JK302" s="42"/>
      <c r="JL302" s="42"/>
      <c r="JM302" s="42"/>
      <c r="JN302" s="42"/>
      <c r="JO302" s="42"/>
      <c r="JP302" s="42"/>
      <c r="JQ302" s="42"/>
      <c r="JR302" s="42"/>
      <c r="JS302" s="42"/>
      <c r="JT302" s="42"/>
      <c r="JU302" s="42"/>
      <c r="JV302" s="42"/>
      <c r="JW302" s="42"/>
      <c r="JX302" s="42"/>
      <c r="JY302" s="42"/>
      <c r="JZ302" s="42"/>
      <c r="KA302" s="42"/>
    </row>
    <row r="303" spans="1:287">
      <c r="A303" s="24" t="s">
        <v>743</v>
      </c>
      <c r="B303" s="24" t="s">
        <v>744</v>
      </c>
      <c r="C303" s="17"/>
      <c r="D303" s="36"/>
      <c r="J303" s="18"/>
      <c r="Q303" s="18"/>
      <c r="R303" s="17"/>
      <c r="S303" s="36"/>
      <c r="Y303" s="18"/>
      <c r="AF303" s="18"/>
      <c r="AG303" s="59"/>
      <c r="AV303" s="59"/>
      <c r="BK303" s="17"/>
      <c r="BL303" s="36"/>
      <c r="BZ303" s="59"/>
      <c r="CA303" s="36"/>
      <c r="CO303" s="17"/>
      <c r="DD303" s="17"/>
      <c r="DE303" s="17"/>
      <c r="DS303" s="17"/>
      <c r="DT303" s="17"/>
      <c r="EH303" s="17"/>
      <c r="EI303" s="17"/>
      <c r="EW303" s="17"/>
      <c r="EX303" s="17"/>
      <c r="FL303" s="17"/>
      <c r="FM303" s="17"/>
      <c r="GA303" s="17"/>
      <c r="GB303" s="17"/>
      <c r="GP303" s="17"/>
      <c r="GQ303" s="17"/>
      <c r="HE303" s="17"/>
      <c r="HF303" s="17"/>
      <c r="HT303" s="17"/>
      <c r="HU303" s="17"/>
      <c r="II303" s="42"/>
      <c r="IJ303" s="42"/>
      <c r="IK303" s="42"/>
      <c r="IL303" s="42"/>
      <c r="IM303" s="42"/>
      <c r="IN303" s="42"/>
      <c r="IO303" s="42"/>
      <c r="IP303" s="42"/>
      <c r="IQ303" s="42"/>
      <c r="IR303" s="42"/>
      <c r="IS303" s="42"/>
      <c r="IT303" s="42"/>
      <c r="IU303" s="42"/>
      <c r="IV303" s="42"/>
      <c r="IW303" s="42"/>
      <c r="IX303" s="42"/>
      <c r="IY303" s="42"/>
      <c r="IZ303" s="42"/>
      <c r="JA303" s="42"/>
      <c r="JB303" s="42"/>
      <c r="JC303" s="42"/>
      <c r="JD303" s="42"/>
      <c r="JE303" s="42"/>
      <c r="JF303" s="42"/>
      <c r="JG303" s="42"/>
      <c r="JH303" s="42"/>
      <c r="JI303" s="42"/>
      <c r="JJ303" s="42"/>
      <c r="JK303" s="42"/>
      <c r="JL303" s="42"/>
      <c r="JM303" s="42"/>
      <c r="JN303" s="42"/>
      <c r="JO303" s="42"/>
      <c r="JP303" s="42"/>
      <c r="JQ303" s="42"/>
      <c r="JR303" s="42"/>
      <c r="JS303" s="42"/>
      <c r="JT303" s="42"/>
      <c r="JU303" s="42"/>
      <c r="JV303" s="42"/>
      <c r="JW303" s="42"/>
      <c r="JX303" s="42"/>
      <c r="JY303" s="42"/>
      <c r="JZ303" s="42"/>
      <c r="KA303" s="42"/>
    </row>
    <row r="304" spans="1:287">
      <c r="A304" s="24" t="s">
        <v>745</v>
      </c>
      <c r="B304" s="24" t="s">
        <v>744</v>
      </c>
      <c r="C304" s="17"/>
      <c r="J304" s="19"/>
      <c r="Q304" s="19"/>
      <c r="R304" s="17"/>
      <c r="Y304" s="19"/>
      <c r="AF304" s="19"/>
      <c r="AG304" s="17"/>
      <c r="AV304" s="17"/>
      <c r="BK304" s="17"/>
      <c r="BZ304" s="17"/>
      <c r="CO304" s="17"/>
      <c r="DD304" s="17"/>
      <c r="DE304" s="17"/>
      <c r="DS304" s="17"/>
      <c r="DT304" s="17"/>
      <c r="EH304" s="17"/>
      <c r="EI304" s="17"/>
      <c r="EW304" s="17"/>
      <c r="EX304" s="17"/>
      <c r="FL304" s="17"/>
      <c r="FM304" s="17"/>
      <c r="GA304" s="17"/>
      <c r="GB304" s="17"/>
      <c r="GP304" s="17"/>
      <c r="GQ304" s="17"/>
      <c r="HE304" s="17"/>
      <c r="HF304" s="17"/>
      <c r="HT304" s="17"/>
      <c r="HU304" s="17"/>
      <c r="II304" s="39"/>
      <c r="IJ304" s="39"/>
      <c r="IK304" s="39"/>
      <c r="IL304" s="39"/>
      <c r="IM304" s="42"/>
      <c r="IN304" s="42"/>
      <c r="IO304" s="42"/>
      <c r="IP304" s="42"/>
      <c r="IQ304" s="42"/>
      <c r="IR304" s="42"/>
      <c r="IS304" s="42"/>
      <c r="IT304" s="42"/>
      <c r="IU304" s="42"/>
      <c r="IV304" s="42"/>
      <c r="IW304" s="42"/>
      <c r="IX304" s="39"/>
      <c r="IY304" s="39"/>
      <c r="IZ304" s="39"/>
      <c r="JA304" s="42"/>
      <c r="JB304" s="42"/>
      <c r="JC304" s="42"/>
      <c r="JD304" s="42"/>
      <c r="JE304" s="42"/>
      <c r="JF304" s="42"/>
      <c r="JG304" s="42"/>
      <c r="JH304" s="42"/>
      <c r="JI304" s="42"/>
      <c r="JJ304" s="42"/>
      <c r="JK304" s="42"/>
      <c r="JL304" s="42"/>
      <c r="JM304" s="39"/>
      <c r="JN304" s="39"/>
      <c r="JO304" s="39"/>
      <c r="JP304" s="39"/>
      <c r="JQ304" s="42"/>
      <c r="JR304" s="42"/>
      <c r="JS304" s="42"/>
      <c r="JT304" s="42"/>
      <c r="JU304" s="42"/>
      <c r="JV304" s="42"/>
      <c r="JW304" s="42"/>
      <c r="JX304" s="42"/>
      <c r="JY304" s="42"/>
      <c r="JZ304" s="42"/>
      <c r="KA304" s="42"/>
    </row>
    <row r="305" spans="1:288">
      <c r="A305" s="13" t="s">
        <v>746</v>
      </c>
      <c r="B305" s="13" t="s">
        <v>747</v>
      </c>
      <c r="C305" s="17"/>
      <c r="J305" s="18"/>
      <c r="Q305" s="18"/>
      <c r="R305" s="17"/>
      <c r="Y305" s="18"/>
      <c r="AF305" s="18"/>
      <c r="AG305" s="17"/>
      <c r="AV305" s="17"/>
      <c r="BK305" s="17"/>
      <c r="BZ305" s="17"/>
      <c r="CO305" s="17"/>
      <c r="DD305" s="17"/>
      <c r="DE305" s="17"/>
      <c r="DS305" s="17"/>
      <c r="DT305" s="17"/>
      <c r="EH305" s="17"/>
      <c r="EI305" s="17"/>
      <c r="EW305" s="17"/>
      <c r="EX305" s="17"/>
      <c r="FL305" s="17"/>
      <c r="FM305" s="17"/>
      <c r="GA305" s="17"/>
      <c r="GB305" s="17"/>
      <c r="GP305" s="17"/>
      <c r="GQ305" s="17"/>
      <c r="HE305" s="17"/>
      <c r="HF305" s="17"/>
      <c r="HT305" s="17"/>
      <c r="HU305" s="17"/>
      <c r="II305" s="42"/>
      <c r="IJ305" s="42"/>
      <c r="IK305" s="42"/>
      <c r="IL305" s="42"/>
      <c r="IM305" s="42"/>
      <c r="IN305" s="42"/>
      <c r="IO305" s="42"/>
      <c r="IP305" s="42"/>
      <c r="IQ305" s="42"/>
      <c r="IR305" s="42"/>
      <c r="IS305" s="42"/>
      <c r="IT305" s="42"/>
      <c r="IU305" s="42"/>
      <c r="IV305" s="42"/>
      <c r="IW305" s="42"/>
      <c r="IX305" s="42"/>
      <c r="IY305" s="42"/>
      <c r="IZ305" s="42"/>
      <c r="JA305" s="42"/>
      <c r="JB305" s="42"/>
      <c r="JC305" s="42"/>
      <c r="JD305" s="42"/>
      <c r="JE305" s="42"/>
      <c r="JF305" s="42"/>
      <c r="JG305" s="42"/>
      <c r="JH305" s="42"/>
      <c r="JI305" s="42"/>
      <c r="JJ305" s="42"/>
      <c r="JK305" s="42"/>
      <c r="JL305" s="42"/>
      <c r="JM305" s="42"/>
      <c r="JN305" s="42"/>
      <c r="JO305" s="42"/>
      <c r="JP305" s="42"/>
      <c r="JQ305" s="42"/>
      <c r="JR305" s="42"/>
      <c r="JS305" s="42"/>
      <c r="JT305" s="42"/>
      <c r="JU305" s="42"/>
      <c r="JV305" s="42"/>
      <c r="JW305" s="42"/>
      <c r="JX305" s="42"/>
      <c r="JY305" s="42"/>
      <c r="JZ305" s="42"/>
      <c r="KA305" s="42"/>
    </row>
    <row r="306" spans="1:288">
      <c r="A306" s="13" t="s">
        <v>751</v>
      </c>
      <c r="B306" s="13" t="s">
        <v>747</v>
      </c>
      <c r="C306" s="17"/>
      <c r="J306" s="19"/>
      <c r="Q306" s="19"/>
      <c r="R306" s="17"/>
      <c r="Y306" s="19"/>
      <c r="AF306" s="19"/>
      <c r="AG306" s="17"/>
      <c r="AV306" s="17"/>
      <c r="BK306" s="17"/>
      <c r="BZ306" s="17"/>
      <c r="CO306" s="17"/>
      <c r="DD306" s="17"/>
      <c r="DE306" s="17"/>
      <c r="DS306" s="17"/>
      <c r="DT306" s="17"/>
      <c r="EH306" s="17"/>
      <c r="EI306" s="17"/>
      <c r="EW306" s="17"/>
      <c r="EX306" s="17"/>
      <c r="FL306" s="17"/>
      <c r="FM306" s="17"/>
      <c r="GA306" s="17"/>
      <c r="GB306" s="17"/>
      <c r="GP306" s="17"/>
      <c r="GQ306" s="17"/>
      <c r="HE306" s="17"/>
      <c r="HF306" s="17"/>
      <c r="HT306" s="17"/>
      <c r="HU306" s="17"/>
      <c r="II306" s="42"/>
      <c r="IJ306" s="42"/>
      <c r="IK306" s="42"/>
      <c r="IL306" s="42"/>
      <c r="IM306" s="42"/>
      <c r="IN306" s="42"/>
      <c r="IO306" s="42"/>
      <c r="IP306" s="42"/>
      <c r="IQ306" s="42"/>
      <c r="IR306" s="42"/>
      <c r="IS306" s="42"/>
      <c r="IT306" s="42"/>
      <c r="IU306" s="42"/>
      <c r="IV306" s="42"/>
      <c r="IW306" s="42"/>
      <c r="IX306" s="42"/>
      <c r="IY306" s="42"/>
      <c r="IZ306" s="42"/>
      <c r="JA306" s="42"/>
      <c r="JB306" s="42"/>
      <c r="JC306" s="42"/>
      <c r="JD306" s="42"/>
      <c r="JE306" s="42"/>
      <c r="JF306" s="42"/>
      <c r="JG306" s="42"/>
      <c r="JH306" s="42"/>
      <c r="JI306" s="42"/>
      <c r="JJ306" s="42"/>
      <c r="JK306" s="42"/>
      <c r="JL306" s="42"/>
      <c r="JM306" s="42"/>
      <c r="JN306" s="42"/>
      <c r="JO306" s="42"/>
      <c r="JP306" s="42"/>
      <c r="JQ306" s="42"/>
      <c r="JR306" s="42"/>
      <c r="JS306" s="42"/>
      <c r="JT306" s="42"/>
      <c r="JU306" s="42"/>
      <c r="JV306" s="42"/>
      <c r="JW306" s="42"/>
      <c r="JX306" s="42"/>
      <c r="JY306" s="42"/>
      <c r="JZ306" s="42"/>
      <c r="KA306" s="42"/>
    </row>
    <row r="307" spans="1:288" ht="31.5">
      <c r="A307" s="13" t="s">
        <v>752</v>
      </c>
      <c r="B307" s="13" t="s">
        <v>747</v>
      </c>
      <c r="C307" s="17"/>
      <c r="J307" s="19"/>
      <c r="Q307" s="19"/>
      <c r="R307" s="17"/>
      <c r="Y307" s="19"/>
      <c r="AF307" s="19"/>
      <c r="AG307" s="17"/>
      <c r="AV307" s="17"/>
      <c r="BK307" s="17"/>
      <c r="BZ307" s="17"/>
      <c r="CO307" s="17"/>
      <c r="DD307" s="17"/>
      <c r="DE307" s="17"/>
      <c r="DS307" s="17"/>
      <c r="DT307" s="17"/>
      <c r="EH307" s="17"/>
      <c r="EI307" s="17"/>
      <c r="EW307" s="17"/>
      <c r="EX307" s="17"/>
      <c r="FL307" s="17"/>
      <c r="FM307" s="17"/>
      <c r="GA307" s="17"/>
      <c r="GB307" s="17"/>
      <c r="GP307" s="17"/>
      <c r="GQ307" s="17"/>
      <c r="HE307" s="17"/>
      <c r="HF307" s="17"/>
      <c r="HT307" s="17"/>
      <c r="HU307" s="17"/>
      <c r="II307" s="42"/>
      <c r="IJ307" s="42"/>
      <c r="IK307" s="42"/>
      <c r="IL307" s="42"/>
      <c r="IM307" s="42"/>
      <c r="IN307" s="42"/>
      <c r="IO307" s="42"/>
      <c r="IP307" s="42"/>
      <c r="IQ307" s="42"/>
      <c r="IR307" s="42"/>
      <c r="IS307" s="42"/>
      <c r="IT307" s="42"/>
      <c r="IU307" s="42"/>
      <c r="IV307" s="42"/>
      <c r="IW307" s="42"/>
      <c r="IX307" s="42"/>
      <c r="IY307" s="42"/>
      <c r="IZ307" s="42"/>
      <c r="JA307" s="42"/>
      <c r="JB307" s="42"/>
      <c r="JC307" s="42"/>
      <c r="JD307" s="42"/>
      <c r="JE307" s="42"/>
      <c r="JF307" s="42"/>
      <c r="JG307" s="42"/>
      <c r="JH307" s="42"/>
      <c r="JI307" s="42"/>
      <c r="JJ307" s="42"/>
      <c r="JK307" s="42"/>
      <c r="JL307" s="42"/>
      <c r="JM307" s="42"/>
      <c r="JN307" s="42"/>
      <c r="JO307" s="42"/>
      <c r="JP307" s="42"/>
      <c r="JQ307" s="42"/>
      <c r="JR307" s="42"/>
      <c r="JS307" s="42"/>
      <c r="JT307" s="42"/>
      <c r="JU307" s="42"/>
      <c r="JV307" s="42"/>
      <c r="JW307" s="42"/>
      <c r="JX307" s="42"/>
      <c r="JY307" s="42"/>
      <c r="JZ307" s="42"/>
      <c r="KA307" s="42"/>
    </row>
    <row r="308" spans="1:288" ht="51.75">
      <c r="A308" s="13" t="s">
        <v>755</v>
      </c>
      <c r="B308" s="13" t="s">
        <v>747</v>
      </c>
      <c r="C308" s="15">
        <v>29.706586000000001</v>
      </c>
      <c r="D308" s="15">
        <v>-81.232017999999997</v>
      </c>
      <c r="G308" s="15">
        <v>680</v>
      </c>
      <c r="I308" s="15">
        <v>2</v>
      </c>
      <c r="J308" s="18" t="s">
        <v>1494</v>
      </c>
      <c r="Q308" s="19"/>
      <c r="R308" s="17"/>
      <c r="Y308" s="19"/>
      <c r="AF308" s="19"/>
      <c r="AG308" s="17"/>
      <c r="AV308" s="17"/>
      <c r="BK308" s="17"/>
      <c r="BZ308" s="17"/>
      <c r="CO308" s="17"/>
      <c r="DD308" s="17"/>
      <c r="DE308" s="17"/>
      <c r="DS308" s="17"/>
      <c r="DT308" s="17"/>
      <c r="EH308" s="17"/>
      <c r="EI308" s="17"/>
      <c r="EW308" s="17"/>
      <c r="EX308" s="17"/>
      <c r="FL308" s="17"/>
      <c r="FM308" s="17"/>
      <c r="GA308" s="17"/>
      <c r="GB308" s="17"/>
      <c r="GP308" s="17"/>
      <c r="GQ308" s="17"/>
      <c r="HE308" s="17"/>
      <c r="HF308" s="17"/>
      <c r="HT308" s="17"/>
      <c r="HU308" s="17"/>
      <c r="II308" s="42"/>
      <c r="IJ308" s="42"/>
      <c r="IK308" s="42"/>
      <c r="IL308" s="42"/>
      <c r="IM308" s="42"/>
      <c r="IN308" s="42"/>
      <c r="IO308" s="42"/>
      <c r="IP308" s="42"/>
      <c r="IQ308" s="42"/>
      <c r="IR308" s="42"/>
      <c r="IS308" s="42"/>
      <c r="IT308" s="42"/>
      <c r="IU308" s="42"/>
      <c r="IV308" s="42"/>
      <c r="IW308" s="42"/>
      <c r="IX308" s="42"/>
      <c r="IY308" s="42"/>
      <c r="IZ308" s="42"/>
      <c r="JA308" s="42"/>
      <c r="JB308" s="42"/>
      <c r="JC308" s="42"/>
      <c r="JD308" s="42"/>
      <c r="JE308" s="42"/>
      <c r="JF308" s="42"/>
      <c r="JG308" s="42"/>
      <c r="JH308" s="42"/>
      <c r="JI308" s="42"/>
      <c r="JJ308" s="42"/>
      <c r="JK308" s="42"/>
      <c r="JL308" s="42"/>
      <c r="JM308" s="42"/>
      <c r="JN308" s="42"/>
      <c r="JO308" s="42"/>
      <c r="JP308" s="42"/>
      <c r="JQ308" s="42"/>
      <c r="JR308" s="42"/>
      <c r="JS308" s="42"/>
      <c r="JT308" s="42"/>
      <c r="JU308" s="42"/>
      <c r="JV308" s="42"/>
      <c r="JW308" s="42"/>
      <c r="JX308" s="42"/>
      <c r="JY308" s="42"/>
      <c r="JZ308" s="42"/>
      <c r="KA308" s="42"/>
      <c r="KB308" s="59"/>
    </row>
    <row r="309" spans="1:288" ht="31.5">
      <c r="A309" s="13" t="s">
        <v>758</v>
      </c>
      <c r="B309" s="13" t="s">
        <v>747</v>
      </c>
      <c r="C309" s="17"/>
      <c r="J309" s="19"/>
      <c r="Q309" s="19"/>
      <c r="R309" s="17"/>
      <c r="Y309" s="19"/>
      <c r="AF309" s="19"/>
      <c r="AG309" s="17"/>
      <c r="AV309" s="17"/>
      <c r="BK309" s="17"/>
      <c r="BZ309" s="17"/>
      <c r="CO309" s="17"/>
      <c r="DD309" s="17"/>
      <c r="DE309" s="17"/>
      <c r="DS309" s="17"/>
      <c r="DT309" s="17"/>
      <c r="EH309" s="17"/>
      <c r="EI309" s="17"/>
      <c r="EW309" s="17"/>
      <c r="EX309" s="17"/>
      <c r="FL309" s="17"/>
      <c r="FM309" s="17"/>
      <c r="GA309" s="17"/>
      <c r="GB309" s="17"/>
      <c r="GP309" s="17"/>
      <c r="GQ309" s="17"/>
      <c r="HE309" s="17"/>
      <c r="HF309" s="17"/>
      <c r="HT309" s="17"/>
      <c r="HU309" s="17"/>
      <c r="II309" s="42"/>
      <c r="IJ309" s="42"/>
      <c r="IK309" s="42"/>
      <c r="IL309" s="42"/>
      <c r="IM309" s="42"/>
      <c r="IN309" s="42"/>
      <c r="IO309" s="42"/>
      <c r="IP309" s="42"/>
      <c r="IQ309" s="42"/>
      <c r="IR309" s="42"/>
      <c r="IS309" s="42"/>
      <c r="IT309" s="42"/>
      <c r="IU309" s="42"/>
      <c r="IV309" s="42"/>
      <c r="IW309" s="42"/>
      <c r="IX309" s="42"/>
      <c r="IY309" s="42"/>
      <c r="IZ309" s="42"/>
      <c r="JA309" s="42"/>
      <c r="JB309" s="42"/>
      <c r="JC309" s="42"/>
      <c r="JD309" s="42"/>
      <c r="JE309" s="42"/>
      <c r="JF309" s="42"/>
      <c r="JG309" s="42"/>
      <c r="JH309" s="42"/>
      <c r="JI309" s="42"/>
      <c r="JJ309" s="42"/>
      <c r="JK309" s="42"/>
      <c r="JL309" s="42"/>
      <c r="JM309" s="42"/>
      <c r="JN309" s="42"/>
      <c r="JO309" s="42"/>
      <c r="JP309" s="42"/>
      <c r="JQ309" s="42"/>
      <c r="JR309" s="42"/>
      <c r="JS309" s="42"/>
      <c r="JT309" s="42"/>
      <c r="JU309" s="42"/>
      <c r="JV309" s="42"/>
      <c r="JW309" s="42"/>
      <c r="JX309" s="42"/>
      <c r="JY309" s="42"/>
      <c r="JZ309" s="42"/>
      <c r="KA309" s="42"/>
    </row>
    <row r="310" spans="1:288" ht="31.5">
      <c r="A310" s="13" t="s">
        <v>761</v>
      </c>
      <c r="B310" s="13" t="s">
        <v>747</v>
      </c>
      <c r="J310" s="19"/>
      <c r="Q310" s="19"/>
      <c r="Y310" s="19"/>
      <c r="AF310" s="19"/>
      <c r="II310" s="42"/>
      <c r="IJ310" s="42"/>
      <c r="IK310" s="42"/>
      <c r="IL310" s="42"/>
      <c r="IM310" s="42"/>
      <c r="IN310" s="42"/>
      <c r="IO310" s="42"/>
      <c r="IP310" s="42"/>
      <c r="IQ310" s="42"/>
      <c r="IR310" s="42"/>
      <c r="IS310" s="42"/>
      <c r="IT310" s="42"/>
      <c r="IU310" s="42"/>
      <c r="IV310" s="42"/>
      <c r="IW310" s="42"/>
      <c r="IX310" s="42"/>
      <c r="IY310" s="42"/>
      <c r="IZ310" s="42"/>
      <c r="JA310" s="42"/>
      <c r="JB310" s="42"/>
      <c r="JC310" s="42"/>
      <c r="JD310" s="42"/>
      <c r="JE310" s="42"/>
      <c r="JF310" s="42"/>
      <c r="JG310" s="42"/>
      <c r="JH310" s="42"/>
      <c r="JI310" s="42"/>
      <c r="JJ310" s="42"/>
      <c r="JK310" s="42"/>
      <c r="JL310" s="42"/>
      <c r="JM310" s="42"/>
      <c r="JN310" s="42"/>
      <c r="JO310" s="42"/>
      <c r="JP310" s="42"/>
      <c r="JQ310" s="42"/>
      <c r="JR310" s="42"/>
      <c r="JS310" s="42"/>
      <c r="JT310" s="42"/>
      <c r="JU310" s="42"/>
      <c r="JV310" s="42"/>
      <c r="JW310" s="42"/>
      <c r="JX310" s="42"/>
      <c r="JY310" s="42"/>
      <c r="JZ310" s="42"/>
      <c r="KA310" s="42"/>
    </row>
    <row r="311" spans="1:288">
      <c r="A311" s="13" t="s">
        <v>763</v>
      </c>
      <c r="B311" s="13" t="s">
        <v>747</v>
      </c>
      <c r="C311" s="15">
        <v>29.90297</v>
      </c>
      <c r="D311" s="15">
        <v>-81.309460000000001</v>
      </c>
      <c r="E311" s="15">
        <v>1</v>
      </c>
      <c r="F311" s="15">
        <v>0</v>
      </c>
      <c r="G311" s="15">
        <v>0</v>
      </c>
      <c r="H311" s="15">
        <v>0</v>
      </c>
      <c r="I311" s="15">
        <v>0</v>
      </c>
      <c r="J311" s="18">
        <v>0</v>
      </c>
      <c r="K311" s="15">
        <v>0</v>
      </c>
      <c r="L311" s="15">
        <v>0</v>
      </c>
      <c r="M311" s="15">
        <v>0</v>
      </c>
      <c r="N311" s="15">
        <v>0</v>
      </c>
      <c r="O311" s="15">
        <v>0</v>
      </c>
      <c r="P311" s="15">
        <v>0</v>
      </c>
      <c r="Q311" s="18"/>
      <c r="R311" s="15">
        <v>29.892520000000001</v>
      </c>
      <c r="S311" s="15">
        <v>-81.291849999999997</v>
      </c>
      <c r="T311" s="15">
        <v>2</v>
      </c>
      <c r="U311" s="15" t="s">
        <v>1495</v>
      </c>
      <c r="V311" s="15">
        <v>0</v>
      </c>
      <c r="W311" s="15">
        <v>0</v>
      </c>
      <c r="X311" s="15">
        <v>0</v>
      </c>
      <c r="Y311" s="18">
        <v>0</v>
      </c>
      <c r="Z311" s="15">
        <v>0</v>
      </c>
      <c r="AA311" s="15">
        <v>0</v>
      </c>
      <c r="AB311" s="15">
        <v>0</v>
      </c>
      <c r="AC311" s="15">
        <v>0</v>
      </c>
      <c r="AD311" s="15">
        <v>0</v>
      </c>
      <c r="AE311" s="15">
        <v>0</v>
      </c>
      <c r="AF311" s="19"/>
      <c r="AG311" s="15">
        <v>29.884869999999999</v>
      </c>
      <c r="AH311" s="15">
        <v>-81.299989999999994</v>
      </c>
      <c r="AI311" s="15">
        <v>1</v>
      </c>
      <c r="AJ311" s="15" t="s">
        <v>1495</v>
      </c>
      <c r="AK311" s="15">
        <v>0</v>
      </c>
      <c r="AL311" s="15">
        <v>0</v>
      </c>
      <c r="AM311" s="15">
        <v>0</v>
      </c>
      <c r="AN311" s="15">
        <v>0</v>
      </c>
      <c r="AO311" s="15">
        <v>0</v>
      </c>
      <c r="AP311" s="15">
        <v>0</v>
      </c>
      <c r="AQ311" s="15">
        <v>0</v>
      </c>
      <c r="AR311" s="15">
        <v>0</v>
      </c>
      <c r="AS311" s="15">
        <v>0</v>
      </c>
      <c r="AT311" s="15">
        <v>0</v>
      </c>
      <c r="AV311" s="15">
        <v>29.791599999999999</v>
      </c>
      <c r="AW311" s="15">
        <v>-81.270200000000003</v>
      </c>
      <c r="AX311" s="15">
        <v>33</v>
      </c>
      <c r="AY311" s="15" t="s">
        <v>1496</v>
      </c>
      <c r="AZ311" s="15">
        <v>0</v>
      </c>
      <c r="BA311" s="15">
        <v>0</v>
      </c>
      <c r="BB311" s="15">
        <v>0</v>
      </c>
      <c r="BC311" s="15">
        <v>0</v>
      </c>
      <c r="BD311" s="15">
        <v>0</v>
      </c>
      <c r="BE311" s="15">
        <v>0</v>
      </c>
      <c r="BF311" s="15">
        <v>0</v>
      </c>
      <c r="BG311" s="15">
        <v>0</v>
      </c>
      <c r="BH311" s="15">
        <v>0</v>
      </c>
      <c r="BI311" s="15">
        <v>0</v>
      </c>
      <c r="BK311" s="17"/>
      <c r="BZ311" s="17"/>
      <c r="CO311" s="17"/>
      <c r="DD311" s="17"/>
      <c r="DE311" s="17"/>
      <c r="DS311" s="17"/>
      <c r="DT311" s="17"/>
      <c r="EH311" s="17"/>
      <c r="EI311" s="17"/>
      <c r="EW311" s="17"/>
      <c r="EX311" s="17"/>
      <c r="FL311" s="17"/>
      <c r="FM311" s="17"/>
      <c r="GA311" s="17"/>
      <c r="GB311" s="17"/>
      <c r="GP311" s="17"/>
      <c r="GQ311" s="17"/>
      <c r="HE311" s="17"/>
      <c r="HF311" s="17"/>
      <c r="HT311" s="17"/>
      <c r="HU311" s="17"/>
      <c r="II311" s="42"/>
      <c r="IJ311" s="42"/>
      <c r="IK311" s="42"/>
      <c r="IL311" s="42"/>
      <c r="IM311" s="42"/>
      <c r="IN311" s="42"/>
      <c r="IO311" s="42"/>
      <c r="IP311" s="42"/>
      <c r="IQ311" s="42"/>
      <c r="IR311" s="42"/>
      <c r="IS311" s="42"/>
      <c r="IT311" s="42"/>
      <c r="IU311" s="42"/>
      <c r="IV311" s="42"/>
      <c r="IW311" s="42"/>
      <c r="IX311" s="42"/>
      <c r="IY311" s="42"/>
      <c r="IZ311" s="42"/>
      <c r="JA311" s="42"/>
      <c r="JB311" s="42"/>
      <c r="JC311" s="42"/>
      <c r="JD311" s="42"/>
      <c r="JE311" s="42"/>
      <c r="JF311" s="42"/>
      <c r="JG311" s="42"/>
      <c r="JH311" s="42"/>
      <c r="JI311" s="42"/>
      <c r="JJ311" s="42"/>
      <c r="JK311" s="42"/>
      <c r="JL311" s="42"/>
      <c r="JM311" s="42"/>
      <c r="JN311" s="42"/>
      <c r="JO311" s="42"/>
      <c r="JP311" s="42"/>
      <c r="JQ311" s="42"/>
      <c r="JR311" s="42"/>
      <c r="JS311" s="42"/>
      <c r="JT311" s="42"/>
      <c r="JU311" s="42"/>
      <c r="JV311" s="42"/>
      <c r="JW311" s="42"/>
      <c r="JX311" s="42"/>
      <c r="JY311" s="42"/>
      <c r="JZ311" s="42"/>
      <c r="KA311" s="42"/>
    </row>
    <row r="312" spans="1:288" ht="31.5">
      <c r="A312" s="13" t="s">
        <v>765</v>
      </c>
      <c r="B312" s="13" t="s">
        <v>747</v>
      </c>
      <c r="J312" s="19"/>
      <c r="Q312" s="19"/>
      <c r="Y312" s="19"/>
      <c r="AF312" s="19"/>
      <c r="II312" s="42"/>
      <c r="IJ312" s="42"/>
      <c r="IK312" s="42"/>
      <c r="IL312" s="42"/>
      <c r="IM312" s="42"/>
      <c r="IN312" s="42"/>
      <c r="IO312" s="42"/>
      <c r="IP312" s="42"/>
      <c r="IQ312" s="42"/>
      <c r="IR312" s="42"/>
      <c r="IS312" s="42"/>
      <c r="IT312" s="42"/>
      <c r="IU312" s="42"/>
      <c r="IV312" s="42"/>
      <c r="IW312" s="42"/>
      <c r="IX312" s="42"/>
      <c r="IY312" s="42"/>
      <c r="IZ312" s="42"/>
      <c r="JA312" s="42"/>
      <c r="JB312" s="42"/>
      <c r="JC312" s="42"/>
      <c r="JD312" s="42"/>
      <c r="JE312" s="42"/>
      <c r="JF312" s="42"/>
      <c r="JG312" s="42"/>
      <c r="JH312" s="42"/>
      <c r="JI312" s="42"/>
      <c r="JJ312" s="42"/>
      <c r="JK312" s="42"/>
      <c r="JL312" s="42"/>
      <c r="JM312" s="42"/>
      <c r="JN312" s="42"/>
      <c r="JO312" s="42"/>
      <c r="JP312" s="42"/>
      <c r="JQ312" s="42"/>
      <c r="JR312" s="42"/>
      <c r="JS312" s="42"/>
      <c r="JT312" s="42"/>
      <c r="JU312" s="42"/>
      <c r="JV312" s="42"/>
      <c r="JW312" s="42"/>
      <c r="JX312" s="42"/>
      <c r="JY312" s="42"/>
      <c r="JZ312" s="42"/>
      <c r="KA312" s="42"/>
    </row>
    <row r="313" spans="1:288" ht="31.5">
      <c r="A313" s="13" t="s">
        <v>766</v>
      </c>
      <c r="B313" s="13" t="s">
        <v>747</v>
      </c>
      <c r="C313" s="17"/>
      <c r="J313" s="19"/>
      <c r="Q313" s="19"/>
      <c r="R313" s="17"/>
      <c r="Y313" s="19"/>
      <c r="AF313" s="19"/>
      <c r="AG313" s="17"/>
      <c r="AV313" s="17"/>
      <c r="BK313" s="17"/>
      <c r="BZ313" s="17"/>
      <c r="CO313" s="17"/>
      <c r="DD313" s="17"/>
      <c r="DE313" s="17"/>
      <c r="DS313" s="17"/>
      <c r="DT313" s="17"/>
      <c r="EH313" s="17"/>
      <c r="EI313" s="17"/>
      <c r="EW313" s="17"/>
      <c r="EX313" s="17"/>
      <c r="FL313" s="17"/>
      <c r="FM313" s="17"/>
      <c r="GA313" s="17"/>
      <c r="GB313" s="17"/>
      <c r="GP313" s="17"/>
      <c r="GQ313" s="17"/>
      <c r="HE313" s="17"/>
      <c r="HF313" s="17"/>
      <c r="HT313" s="17"/>
      <c r="HU313" s="17"/>
      <c r="II313" s="42"/>
      <c r="IJ313" s="42"/>
      <c r="IK313" s="42"/>
      <c r="IL313" s="42"/>
      <c r="IM313" s="42"/>
      <c r="IN313" s="42"/>
      <c r="IO313" s="42"/>
      <c r="IP313" s="42"/>
      <c r="IQ313" s="42"/>
      <c r="IR313" s="42"/>
      <c r="IS313" s="42"/>
      <c r="IT313" s="42"/>
      <c r="IU313" s="42"/>
      <c r="IV313" s="42"/>
      <c r="IW313" s="42"/>
      <c r="IX313" s="42"/>
      <c r="IY313" s="42"/>
      <c r="IZ313" s="42"/>
      <c r="JA313" s="42"/>
      <c r="JB313" s="42"/>
      <c r="JC313" s="42"/>
      <c r="JD313" s="42"/>
      <c r="JE313" s="42"/>
      <c r="JF313" s="42"/>
      <c r="JG313" s="42"/>
      <c r="JH313" s="42"/>
      <c r="JI313" s="42"/>
      <c r="JJ313" s="42"/>
      <c r="JK313" s="42"/>
      <c r="JL313" s="42"/>
      <c r="JM313" s="42"/>
      <c r="JN313" s="42"/>
      <c r="JO313" s="42"/>
      <c r="JP313" s="42"/>
      <c r="JQ313" s="42"/>
      <c r="JR313" s="42"/>
      <c r="JS313" s="42"/>
      <c r="JT313" s="42"/>
      <c r="JU313" s="42"/>
      <c r="JV313" s="42"/>
      <c r="JW313" s="42"/>
      <c r="JX313" s="42"/>
      <c r="JY313" s="42"/>
      <c r="JZ313" s="42"/>
      <c r="KA313" s="42"/>
    </row>
    <row r="314" spans="1:288">
      <c r="A314" s="13" t="s">
        <v>769</v>
      </c>
      <c r="B314" s="13" t="s">
        <v>747</v>
      </c>
      <c r="C314" s="15">
        <v>29.91872</v>
      </c>
      <c r="D314" s="15">
        <v>-81.307570999999996</v>
      </c>
      <c r="E314" s="15">
        <v>2</v>
      </c>
      <c r="F314" s="15" t="s">
        <v>1497</v>
      </c>
      <c r="G314" s="15">
        <v>0</v>
      </c>
      <c r="H314" s="15">
        <v>0</v>
      </c>
      <c r="I314" s="15">
        <v>0</v>
      </c>
      <c r="J314" s="18">
        <v>0</v>
      </c>
      <c r="K314" s="15">
        <v>0</v>
      </c>
      <c r="L314" s="15">
        <v>0</v>
      </c>
      <c r="M314" s="15">
        <v>0</v>
      </c>
      <c r="N314" s="15">
        <v>0</v>
      </c>
      <c r="O314" s="15">
        <v>0</v>
      </c>
      <c r="P314" s="15">
        <v>0</v>
      </c>
      <c r="Q314" s="19"/>
      <c r="R314" s="15">
        <v>29.931730000000002</v>
      </c>
      <c r="S314" s="15">
        <v>-81.305890000000005</v>
      </c>
      <c r="T314" s="15">
        <v>24</v>
      </c>
      <c r="U314" s="15" t="s">
        <v>1380</v>
      </c>
      <c r="V314" s="15">
        <v>0</v>
      </c>
      <c r="W314" s="15">
        <v>0</v>
      </c>
      <c r="X314" s="15">
        <v>0</v>
      </c>
      <c r="Y314" s="18">
        <v>0</v>
      </c>
      <c r="Z314" s="15">
        <v>0</v>
      </c>
      <c r="AA314" s="15">
        <v>0</v>
      </c>
      <c r="AB314" s="15">
        <v>0</v>
      </c>
      <c r="AC314" s="15">
        <v>0</v>
      </c>
      <c r="AD314" s="15">
        <v>0</v>
      </c>
      <c r="AE314" s="15">
        <v>0</v>
      </c>
      <c r="AF314" s="19"/>
      <c r="AG314" s="15">
        <v>29.959900000000001</v>
      </c>
      <c r="AH314" s="15">
        <v>-81.316919999999996</v>
      </c>
      <c r="AI314" s="15">
        <v>4</v>
      </c>
      <c r="AJ314" s="15" t="s">
        <v>1380</v>
      </c>
      <c r="AK314" s="15">
        <v>0</v>
      </c>
      <c r="AL314" s="15">
        <v>0</v>
      </c>
      <c r="AM314" s="15">
        <v>0</v>
      </c>
      <c r="AN314" s="15">
        <v>0</v>
      </c>
      <c r="AO314" s="15">
        <v>0</v>
      </c>
      <c r="AP314" s="15">
        <v>0</v>
      </c>
      <c r="AQ314" s="15">
        <v>0</v>
      </c>
      <c r="AR314" s="15">
        <v>0</v>
      </c>
      <c r="AS314" s="15">
        <v>0</v>
      </c>
      <c r="AT314" s="15">
        <v>0</v>
      </c>
      <c r="AV314" s="15">
        <v>29.96331</v>
      </c>
      <c r="AW314" s="15">
        <v>-81.321929999999995</v>
      </c>
      <c r="AX314" s="15">
        <v>2</v>
      </c>
      <c r="AY314" s="15" t="s">
        <v>1380</v>
      </c>
      <c r="AZ314" s="15">
        <v>0</v>
      </c>
      <c r="BA314" s="15">
        <v>0</v>
      </c>
      <c r="BB314" s="15">
        <v>0</v>
      </c>
      <c r="BC314" s="15">
        <v>0</v>
      </c>
      <c r="BD314" s="15">
        <v>0</v>
      </c>
      <c r="BE314" s="15">
        <v>0</v>
      </c>
      <c r="BF314" s="15">
        <v>0</v>
      </c>
      <c r="BG314" s="15">
        <v>0</v>
      </c>
      <c r="BH314" s="15">
        <v>0</v>
      </c>
      <c r="BI314" s="15">
        <v>0</v>
      </c>
      <c r="BK314" s="15">
        <v>29.965540000000001</v>
      </c>
      <c r="BL314" s="15">
        <v>-81.325050000000005</v>
      </c>
      <c r="BM314" s="15">
        <v>2</v>
      </c>
      <c r="BN314" s="15" t="s">
        <v>1498</v>
      </c>
      <c r="BO314" s="15">
        <v>0</v>
      </c>
      <c r="BP314" s="15">
        <v>0</v>
      </c>
      <c r="BQ314" s="15">
        <v>0</v>
      </c>
      <c r="BR314" s="15">
        <v>0</v>
      </c>
      <c r="BS314" s="15">
        <v>0</v>
      </c>
      <c r="BT314" s="15">
        <v>0</v>
      </c>
      <c r="BU314" s="15">
        <v>0</v>
      </c>
      <c r="BV314" s="15">
        <v>0</v>
      </c>
      <c r="BW314" s="15">
        <v>0</v>
      </c>
      <c r="BX314" s="15">
        <v>0</v>
      </c>
      <c r="BZ314" s="15">
        <v>29.971720000000001</v>
      </c>
      <c r="CA314" s="15">
        <v>-81.327809999999999</v>
      </c>
      <c r="CB314" s="15">
        <v>2</v>
      </c>
      <c r="CC314" s="15" t="s">
        <v>1498</v>
      </c>
      <c r="CD314" s="15">
        <v>0</v>
      </c>
      <c r="CE314" s="15">
        <v>0</v>
      </c>
      <c r="CF314" s="15">
        <v>0</v>
      </c>
      <c r="CG314" s="15">
        <v>0</v>
      </c>
      <c r="CH314" s="15">
        <v>0</v>
      </c>
      <c r="CI314" s="15">
        <v>0</v>
      </c>
      <c r="CJ314" s="15">
        <v>0</v>
      </c>
      <c r="CK314" s="15">
        <v>0</v>
      </c>
      <c r="CL314" s="15">
        <v>0</v>
      </c>
      <c r="CM314" s="15">
        <v>0</v>
      </c>
      <c r="CO314" s="15">
        <v>29.983540000000001</v>
      </c>
      <c r="CP314" s="15">
        <v>-81.326599999999999</v>
      </c>
      <c r="CQ314" s="15">
        <v>2</v>
      </c>
      <c r="CR314" s="15" t="s">
        <v>1498</v>
      </c>
      <c r="CS314" s="15">
        <v>0</v>
      </c>
      <c r="CT314" s="15">
        <v>0</v>
      </c>
      <c r="CU314" s="15">
        <v>0</v>
      </c>
      <c r="CV314" s="15">
        <v>0</v>
      </c>
      <c r="CW314" s="15">
        <v>0</v>
      </c>
      <c r="CX314" s="15">
        <v>0</v>
      </c>
      <c r="CY314" s="15">
        <v>0</v>
      </c>
      <c r="CZ314" s="15">
        <v>0</v>
      </c>
      <c r="DA314" s="15">
        <v>0</v>
      </c>
      <c r="DB314" s="15">
        <v>0</v>
      </c>
      <c r="DD314" s="15">
        <v>30.038959999999999</v>
      </c>
      <c r="DE314" s="15">
        <v>-81.366579999999999</v>
      </c>
      <c r="DF314" s="15">
        <v>2</v>
      </c>
      <c r="DG314" s="15">
        <v>0</v>
      </c>
      <c r="DH314" s="15">
        <v>0</v>
      </c>
      <c r="DI314" s="15">
        <v>0</v>
      </c>
      <c r="DJ314" s="15">
        <v>0</v>
      </c>
      <c r="DK314" s="15">
        <v>0</v>
      </c>
      <c r="DL314" s="15">
        <v>0</v>
      </c>
      <c r="DM314" s="15">
        <v>0</v>
      </c>
      <c r="DN314" s="15">
        <v>0</v>
      </c>
      <c r="DO314" s="15">
        <v>0</v>
      </c>
      <c r="DP314" s="15">
        <v>0</v>
      </c>
      <c r="DQ314" s="15">
        <v>0</v>
      </c>
      <c r="DS314" s="15">
        <v>30.03351</v>
      </c>
      <c r="DT314" s="15">
        <v>-81.367339999999999</v>
      </c>
      <c r="DU314" s="15">
        <v>16</v>
      </c>
      <c r="DV314" s="15" t="s">
        <v>1380</v>
      </c>
      <c r="DW314" s="15">
        <v>0</v>
      </c>
      <c r="DX314" s="15">
        <v>0</v>
      </c>
      <c r="DY314" s="15">
        <v>0</v>
      </c>
      <c r="DZ314" s="15">
        <v>0</v>
      </c>
      <c r="EA314" s="15">
        <v>0</v>
      </c>
      <c r="EB314" s="15">
        <v>0</v>
      </c>
      <c r="EC314" s="15">
        <v>0</v>
      </c>
      <c r="ED314" s="15">
        <v>0</v>
      </c>
      <c r="EE314" s="15">
        <v>0</v>
      </c>
      <c r="EF314" s="15">
        <v>0</v>
      </c>
      <c r="EH314" s="15">
        <v>30.00525</v>
      </c>
      <c r="EI314" s="15">
        <v>-81.346549999999993</v>
      </c>
      <c r="EJ314" s="15">
        <v>10</v>
      </c>
      <c r="EK314" s="15" t="s">
        <v>1380</v>
      </c>
      <c r="EL314" s="15">
        <v>0</v>
      </c>
      <c r="EM314" s="15">
        <v>0</v>
      </c>
      <c r="EN314" s="15">
        <v>0</v>
      </c>
      <c r="EO314" s="15">
        <v>0</v>
      </c>
      <c r="EP314" s="15">
        <v>0</v>
      </c>
      <c r="EQ314" s="15">
        <v>0</v>
      </c>
      <c r="ER314" s="15">
        <v>0</v>
      </c>
      <c r="ES314" s="15">
        <v>0</v>
      </c>
      <c r="ET314" s="15">
        <v>0</v>
      </c>
      <c r="EU314" s="15">
        <v>0</v>
      </c>
      <c r="EW314" s="15">
        <v>30.00046</v>
      </c>
      <c r="EX314" s="15">
        <v>-81.342250000000007</v>
      </c>
      <c r="EY314" s="15">
        <v>2</v>
      </c>
      <c r="EZ314" s="15" t="s">
        <v>1380</v>
      </c>
      <c r="FA314" s="15">
        <v>0</v>
      </c>
      <c r="FB314" s="15">
        <v>0</v>
      </c>
      <c r="FC314" s="15">
        <v>0</v>
      </c>
      <c r="FD314" s="15">
        <v>0</v>
      </c>
      <c r="FE314" s="15">
        <v>0</v>
      </c>
      <c r="FF314" s="15">
        <v>0</v>
      </c>
      <c r="FG314" s="15">
        <v>0</v>
      </c>
      <c r="FH314" s="15">
        <v>0</v>
      </c>
      <c r="FI314" s="15">
        <v>0</v>
      </c>
      <c r="FJ314" s="15">
        <v>0</v>
      </c>
      <c r="FL314" s="15">
        <v>29.99793</v>
      </c>
      <c r="FM314" s="15">
        <v>-81.33672</v>
      </c>
      <c r="FN314" s="15">
        <v>2</v>
      </c>
      <c r="FO314" s="15" t="s">
        <v>1380</v>
      </c>
      <c r="FP314" s="15">
        <v>0</v>
      </c>
      <c r="FQ314" s="15">
        <v>0</v>
      </c>
      <c r="FR314" s="15">
        <v>0</v>
      </c>
      <c r="FS314" s="15">
        <v>0</v>
      </c>
      <c r="FT314" s="15">
        <v>0</v>
      </c>
      <c r="FU314" s="15">
        <v>0</v>
      </c>
      <c r="FV314" s="15">
        <v>0</v>
      </c>
      <c r="FW314" s="15">
        <v>0</v>
      </c>
      <c r="FX314" s="15">
        <v>0</v>
      </c>
      <c r="FY314" s="15">
        <v>0</v>
      </c>
      <c r="GA314" s="15">
        <v>29.98329</v>
      </c>
      <c r="GB314" s="15">
        <v>-81.331339999999997</v>
      </c>
      <c r="GC314" s="15">
        <v>2</v>
      </c>
      <c r="GD314" s="15" t="s">
        <v>1380</v>
      </c>
      <c r="GE314" s="15">
        <v>0</v>
      </c>
      <c r="GF314" s="15">
        <v>0</v>
      </c>
      <c r="GG314" s="15">
        <v>0</v>
      </c>
      <c r="GH314" s="15">
        <v>0</v>
      </c>
      <c r="GI314" s="15">
        <v>0</v>
      </c>
      <c r="GJ314" s="15">
        <v>0</v>
      </c>
      <c r="GK314" s="15">
        <v>0</v>
      </c>
      <c r="GL314" s="15">
        <v>0</v>
      </c>
      <c r="GM314" s="15">
        <v>0</v>
      </c>
      <c r="GN314" s="15">
        <v>0</v>
      </c>
      <c r="GP314" s="15">
        <v>29.980170000000001</v>
      </c>
      <c r="GQ314" s="15">
        <v>-81.332329999999999</v>
      </c>
      <c r="GR314" s="15">
        <v>21</v>
      </c>
      <c r="GS314" s="36" t="s">
        <v>1380</v>
      </c>
      <c r="GT314" s="15">
        <v>0</v>
      </c>
      <c r="GU314" s="15">
        <v>0</v>
      </c>
      <c r="GV314" s="15">
        <v>0</v>
      </c>
      <c r="GW314" s="15">
        <v>0</v>
      </c>
      <c r="GX314" s="15">
        <v>0</v>
      </c>
      <c r="GY314" s="15">
        <v>0</v>
      </c>
      <c r="GZ314" s="15">
        <v>0</v>
      </c>
      <c r="HA314" s="15">
        <v>0</v>
      </c>
      <c r="HB314" s="15">
        <v>0</v>
      </c>
      <c r="HC314" s="15">
        <v>0</v>
      </c>
      <c r="HE314" s="15">
        <v>29.971209999999999</v>
      </c>
      <c r="HF314" s="15">
        <v>-81.33108</v>
      </c>
      <c r="HG314" s="15">
        <v>2</v>
      </c>
      <c r="HH314" s="15">
        <v>0</v>
      </c>
      <c r="HI314" s="15">
        <v>0</v>
      </c>
      <c r="HJ314" s="15">
        <v>0</v>
      </c>
      <c r="HK314" s="15">
        <v>0</v>
      </c>
      <c r="HL314" s="15">
        <v>0</v>
      </c>
      <c r="HM314" s="15">
        <v>0</v>
      </c>
      <c r="HN314" s="15">
        <v>0</v>
      </c>
      <c r="HO314" s="15">
        <v>0</v>
      </c>
      <c r="HP314" s="15">
        <v>0</v>
      </c>
      <c r="HQ314" s="15">
        <v>0</v>
      </c>
      <c r="HR314" s="15">
        <v>0</v>
      </c>
      <c r="HT314" s="15">
        <v>29.970320000000001</v>
      </c>
      <c r="HU314" s="15">
        <v>-81.330730000000003</v>
      </c>
      <c r="HV314" s="15">
        <v>26</v>
      </c>
      <c r="HW314" s="15" t="s">
        <v>1380</v>
      </c>
      <c r="HX314" s="15">
        <v>3</v>
      </c>
      <c r="HY314" s="15">
        <v>0</v>
      </c>
      <c r="HZ314" s="15">
        <v>0</v>
      </c>
      <c r="IA314" s="15">
        <v>0</v>
      </c>
      <c r="IB314" s="15">
        <v>0</v>
      </c>
      <c r="IC314" s="15">
        <v>0</v>
      </c>
      <c r="ID314" s="15">
        <v>0</v>
      </c>
      <c r="IE314" s="15">
        <v>0</v>
      </c>
      <c r="IF314" s="15">
        <v>0</v>
      </c>
      <c r="IG314" s="15">
        <v>0</v>
      </c>
      <c r="II314" s="39">
        <v>29.958410000000001</v>
      </c>
      <c r="IJ314" s="39">
        <v>-81.324960000000004</v>
      </c>
      <c r="IK314" s="39">
        <v>2</v>
      </c>
      <c r="IL314" s="39">
        <v>0</v>
      </c>
      <c r="IM314" s="39">
        <v>0</v>
      </c>
      <c r="IN314" s="39">
        <v>0</v>
      </c>
      <c r="IO314" s="39">
        <v>0</v>
      </c>
      <c r="IP314" s="39">
        <v>0</v>
      </c>
      <c r="IQ314" s="39">
        <v>0</v>
      </c>
      <c r="IR314" s="39">
        <v>0</v>
      </c>
      <c r="IS314" s="39">
        <v>0</v>
      </c>
      <c r="IT314" s="39">
        <v>0</v>
      </c>
      <c r="IU314" s="39">
        <v>0</v>
      </c>
      <c r="IV314" s="39">
        <v>0</v>
      </c>
      <c r="IW314" s="42"/>
      <c r="IX314" s="39">
        <v>29.95645</v>
      </c>
      <c r="IY314" s="39">
        <v>-81.32056</v>
      </c>
      <c r="IZ314" s="39">
        <v>4</v>
      </c>
      <c r="JA314" s="39" t="s">
        <v>1380</v>
      </c>
      <c r="JB314" s="39">
        <v>0</v>
      </c>
      <c r="JC314" s="39">
        <v>0</v>
      </c>
      <c r="JD314" s="39">
        <v>0</v>
      </c>
      <c r="JE314" s="39">
        <v>0</v>
      </c>
      <c r="JF314" s="39">
        <v>0</v>
      </c>
      <c r="JG314" s="39">
        <v>0</v>
      </c>
      <c r="JH314" s="39">
        <v>0</v>
      </c>
      <c r="JI314" s="39">
        <v>0</v>
      </c>
      <c r="JJ314" s="39">
        <v>0</v>
      </c>
      <c r="JK314" s="39">
        <v>0</v>
      </c>
      <c r="JL314" s="42"/>
      <c r="JM314" s="39">
        <v>29.953430000000001</v>
      </c>
      <c r="JN314" s="39">
        <v>-81.315700000000007</v>
      </c>
      <c r="JO314" s="39">
        <v>2</v>
      </c>
      <c r="JP314" s="39" t="s">
        <v>1498</v>
      </c>
      <c r="JQ314" s="39">
        <v>0</v>
      </c>
      <c r="JR314" s="39">
        <v>0</v>
      </c>
      <c r="JS314" s="39">
        <v>0</v>
      </c>
      <c r="JT314" s="39">
        <v>0</v>
      </c>
      <c r="JU314" s="39">
        <v>0</v>
      </c>
      <c r="JV314" s="39">
        <v>0</v>
      </c>
      <c r="JW314" s="39">
        <v>0</v>
      </c>
      <c r="JX314" s="39">
        <v>0</v>
      </c>
      <c r="JY314" s="39">
        <v>0</v>
      </c>
      <c r="JZ314" s="39">
        <v>0</v>
      </c>
      <c r="KA314" s="42"/>
    </row>
    <row r="315" spans="1:288">
      <c r="A315" s="13" t="s">
        <v>772</v>
      </c>
      <c r="B315" s="13" t="s">
        <v>747</v>
      </c>
      <c r="C315" s="15">
        <v>29.791283</v>
      </c>
      <c r="D315" s="15">
        <v>-81.269867000000005</v>
      </c>
      <c r="E315" s="15">
        <v>31</v>
      </c>
      <c r="F315" s="15" t="s">
        <v>1499</v>
      </c>
      <c r="J315" s="19"/>
      <c r="Q315" s="18" t="s">
        <v>1500</v>
      </c>
      <c r="R315" s="15">
        <v>29.797419999999999</v>
      </c>
      <c r="S315" s="15">
        <v>-81.272465999999994</v>
      </c>
      <c r="Y315" s="19"/>
      <c r="AF315" s="19"/>
      <c r="AG315" s="17"/>
      <c r="AV315" s="17"/>
      <c r="BK315" s="17"/>
      <c r="BZ315" s="17"/>
      <c r="CO315" s="17"/>
      <c r="DD315" s="17"/>
      <c r="DE315" s="17"/>
      <c r="DS315" s="17"/>
      <c r="DT315" s="17"/>
      <c r="EH315" s="17"/>
      <c r="EI315" s="17"/>
      <c r="EW315" s="17"/>
      <c r="EX315" s="17"/>
      <c r="FL315" s="17"/>
      <c r="FM315" s="17"/>
      <c r="GA315" s="17"/>
      <c r="GB315" s="17"/>
      <c r="GP315" s="17"/>
      <c r="GQ315" s="17"/>
      <c r="HE315" s="17"/>
      <c r="HF315" s="17"/>
      <c r="HT315" s="17"/>
      <c r="HU315" s="17"/>
      <c r="II315" s="42"/>
      <c r="IJ315" s="42"/>
      <c r="IK315" s="42"/>
      <c r="IL315" s="42"/>
      <c r="IM315" s="42"/>
      <c r="IN315" s="42"/>
      <c r="IO315" s="42"/>
      <c r="IP315" s="42"/>
      <c r="IQ315" s="42"/>
      <c r="IR315" s="42"/>
      <c r="IS315" s="42"/>
      <c r="IT315" s="42"/>
      <c r="IU315" s="42"/>
      <c r="IV315" s="42"/>
      <c r="IW315" s="42"/>
      <c r="IX315" s="42"/>
      <c r="IY315" s="42"/>
      <c r="IZ315" s="42"/>
      <c r="JA315" s="42"/>
      <c r="JB315" s="42"/>
      <c r="JC315" s="42"/>
      <c r="JD315" s="42"/>
      <c r="JE315" s="42"/>
      <c r="JF315" s="42"/>
      <c r="JG315" s="42"/>
      <c r="JH315" s="42"/>
      <c r="JI315" s="42"/>
      <c r="JJ315" s="42"/>
      <c r="JK315" s="42"/>
      <c r="JL315" s="42"/>
      <c r="JM315" s="42"/>
      <c r="JN315" s="42"/>
      <c r="JO315" s="42"/>
      <c r="JP315" s="42"/>
      <c r="JQ315" s="42"/>
      <c r="JR315" s="42"/>
      <c r="JS315" s="42"/>
      <c r="JT315" s="42"/>
      <c r="JU315" s="42"/>
      <c r="JV315" s="42"/>
      <c r="JW315" s="42"/>
      <c r="JX315" s="42"/>
      <c r="JY315" s="42"/>
      <c r="JZ315" s="42"/>
      <c r="KA315" s="42"/>
    </row>
    <row r="316" spans="1:288">
      <c r="A316" s="13" t="s">
        <v>774</v>
      </c>
      <c r="B316" s="13" t="s">
        <v>775</v>
      </c>
      <c r="C316" s="17"/>
      <c r="J316" s="18"/>
      <c r="Q316" s="18"/>
      <c r="R316" s="17"/>
      <c r="Y316" s="19"/>
      <c r="AF316" s="19"/>
      <c r="AG316" s="17"/>
      <c r="AV316" s="17"/>
      <c r="BK316" s="17"/>
      <c r="BZ316" s="17"/>
      <c r="CO316" s="17"/>
      <c r="DD316" s="17"/>
      <c r="DE316" s="17"/>
      <c r="DS316" s="17"/>
      <c r="DT316" s="17"/>
      <c r="EH316" s="17"/>
      <c r="EI316" s="17"/>
      <c r="EW316" s="17"/>
      <c r="EX316" s="17"/>
      <c r="FL316" s="17"/>
      <c r="FM316" s="17"/>
      <c r="GA316" s="17"/>
      <c r="GB316" s="17"/>
      <c r="GP316" s="17"/>
      <c r="GQ316" s="17"/>
      <c r="HE316" s="17"/>
      <c r="HF316" s="17"/>
      <c r="HT316" s="17"/>
      <c r="HU316" s="17"/>
      <c r="II316" s="42"/>
      <c r="IJ316" s="42"/>
      <c r="IK316" s="42"/>
      <c r="IL316" s="42"/>
      <c r="IM316" s="42"/>
      <c r="IN316" s="42"/>
      <c r="IO316" s="42"/>
      <c r="IP316" s="42"/>
      <c r="IQ316" s="42"/>
      <c r="IR316" s="42"/>
      <c r="IS316" s="42"/>
      <c r="IT316" s="42"/>
      <c r="IU316" s="42"/>
      <c r="IV316" s="42"/>
      <c r="IW316" s="42"/>
      <c r="IX316" s="42"/>
      <c r="IY316" s="42"/>
      <c r="IZ316" s="42"/>
      <c r="JA316" s="42"/>
      <c r="JB316" s="42"/>
      <c r="JC316" s="42"/>
      <c r="JD316" s="42"/>
      <c r="JE316" s="42"/>
      <c r="JF316" s="42"/>
      <c r="JG316" s="42"/>
      <c r="JH316" s="42"/>
      <c r="JI316" s="42"/>
      <c r="JJ316" s="42"/>
      <c r="JK316" s="42"/>
      <c r="JL316" s="42"/>
      <c r="JM316" s="42"/>
      <c r="JN316" s="42"/>
      <c r="JO316" s="42"/>
      <c r="JP316" s="42"/>
      <c r="JQ316" s="42"/>
      <c r="JR316" s="42"/>
      <c r="JS316" s="42"/>
      <c r="JT316" s="42"/>
      <c r="JU316" s="42"/>
      <c r="JV316" s="42"/>
      <c r="JW316" s="42"/>
      <c r="JX316" s="42"/>
      <c r="JY316" s="42"/>
      <c r="JZ316" s="42"/>
      <c r="KA316" s="42"/>
    </row>
    <row r="317" spans="1:288">
      <c r="A317" s="13" t="s">
        <v>777</v>
      </c>
      <c r="B317" s="13" t="s">
        <v>775</v>
      </c>
      <c r="C317" s="15" t="s">
        <v>1501</v>
      </c>
      <c r="D317" s="15" t="s">
        <v>1502</v>
      </c>
      <c r="G317" s="15">
        <v>118</v>
      </c>
      <c r="H317" s="15" t="s">
        <v>1503</v>
      </c>
      <c r="J317" s="18"/>
      <c r="Q317" s="18"/>
      <c r="R317" s="99" t="s">
        <v>1504</v>
      </c>
      <c r="S317" s="15" t="s">
        <v>1504</v>
      </c>
      <c r="V317" s="15" t="s">
        <v>1505</v>
      </c>
      <c r="W317" s="15" t="s">
        <v>1506</v>
      </c>
      <c r="Y317" s="19"/>
      <c r="AF317" s="19"/>
      <c r="AG317" s="15" t="s">
        <v>1504</v>
      </c>
      <c r="AH317" s="15" t="s">
        <v>1504</v>
      </c>
      <c r="AK317" s="15" t="s">
        <v>1504</v>
      </c>
      <c r="AL317" s="28" t="s">
        <v>1507</v>
      </c>
      <c r="AV317" s="17"/>
      <c r="BK317" s="17"/>
      <c r="BZ317" s="17"/>
      <c r="CO317" s="17"/>
      <c r="DD317" s="17"/>
      <c r="DE317" s="17"/>
      <c r="DS317" s="17"/>
      <c r="DT317" s="17"/>
      <c r="EH317" s="17"/>
      <c r="EI317" s="17"/>
      <c r="EW317" s="17"/>
      <c r="EX317" s="17"/>
      <c r="FL317" s="17"/>
      <c r="FM317" s="17"/>
      <c r="GA317" s="17"/>
      <c r="GB317" s="17"/>
      <c r="GP317" s="17"/>
      <c r="GQ317" s="17"/>
      <c r="HE317" s="17"/>
      <c r="HF317" s="17"/>
      <c r="HT317" s="17"/>
      <c r="HU317" s="17"/>
      <c r="II317" s="42"/>
      <c r="IJ317" s="42"/>
      <c r="IK317" s="42"/>
      <c r="IL317" s="42"/>
      <c r="IM317" s="42"/>
      <c r="IN317" s="42"/>
      <c r="IO317" s="42"/>
      <c r="IP317" s="42"/>
      <c r="IQ317" s="42"/>
      <c r="IR317" s="42"/>
      <c r="IS317" s="42"/>
      <c r="IT317" s="42"/>
      <c r="IU317" s="42"/>
      <c r="IV317" s="42"/>
      <c r="IW317" s="42"/>
      <c r="IX317" s="42"/>
      <c r="IY317" s="42"/>
      <c r="IZ317" s="42"/>
      <c r="JA317" s="42"/>
      <c r="JB317" s="42"/>
      <c r="JC317" s="42"/>
      <c r="JD317" s="42"/>
      <c r="JE317" s="42"/>
      <c r="JF317" s="42"/>
      <c r="JG317" s="42"/>
      <c r="JH317" s="42"/>
      <c r="JI317" s="42"/>
      <c r="JJ317" s="42"/>
      <c r="JK317" s="42"/>
      <c r="JL317" s="42"/>
      <c r="JM317" s="42"/>
      <c r="JN317" s="42"/>
      <c r="JO317" s="42"/>
      <c r="JP317" s="42"/>
      <c r="JQ317" s="42"/>
      <c r="JR317" s="42"/>
      <c r="JS317" s="42"/>
      <c r="JT317" s="42"/>
      <c r="JU317" s="42"/>
      <c r="JV317" s="42"/>
      <c r="JW317" s="42"/>
      <c r="JX317" s="42"/>
      <c r="JY317" s="42"/>
      <c r="JZ317" s="42"/>
      <c r="KA317" s="39" t="s">
        <v>1508</v>
      </c>
    </row>
    <row r="318" spans="1:288" ht="31.5">
      <c r="A318" s="13" t="s">
        <v>778</v>
      </c>
      <c r="B318" s="13" t="s">
        <v>775</v>
      </c>
      <c r="C318" s="17"/>
      <c r="J318" s="18"/>
      <c r="Q318" s="18"/>
      <c r="R318" s="17"/>
      <c r="Y318" s="18"/>
      <c r="AF318" s="18"/>
      <c r="AG318" s="17"/>
      <c r="AV318" s="17"/>
      <c r="BK318" s="17"/>
      <c r="BZ318" s="17"/>
      <c r="CO318" s="17"/>
      <c r="DD318" s="17"/>
      <c r="DE318" s="17"/>
      <c r="DS318" s="17"/>
      <c r="DT318" s="17"/>
      <c r="EH318" s="17"/>
      <c r="EI318" s="17"/>
      <c r="EW318" s="17"/>
      <c r="EX318" s="17"/>
      <c r="FL318" s="17"/>
      <c r="FM318" s="17"/>
      <c r="GA318" s="17"/>
      <c r="GB318" s="17"/>
      <c r="GP318" s="17"/>
      <c r="GQ318" s="17"/>
      <c r="HE318" s="17"/>
      <c r="HF318" s="17"/>
      <c r="HT318" s="17"/>
      <c r="HU318" s="17"/>
      <c r="II318" s="42"/>
      <c r="IJ318" s="42"/>
      <c r="IK318" s="42"/>
      <c r="IL318" s="42"/>
      <c r="IM318" s="42"/>
      <c r="IN318" s="42"/>
      <c r="IO318" s="42"/>
      <c r="IP318" s="42"/>
      <c r="IQ318" s="42"/>
      <c r="IR318" s="42"/>
      <c r="IS318" s="42"/>
      <c r="IT318" s="42"/>
      <c r="IU318" s="42"/>
      <c r="IV318" s="42"/>
      <c r="IW318" s="42"/>
      <c r="IX318" s="42"/>
      <c r="IY318" s="42"/>
      <c r="IZ318" s="42"/>
      <c r="JA318" s="42"/>
      <c r="JB318" s="42"/>
      <c r="JC318" s="42"/>
      <c r="JD318" s="42"/>
      <c r="JE318" s="42"/>
      <c r="JF318" s="42"/>
      <c r="JG318" s="42"/>
      <c r="JH318" s="42"/>
      <c r="JI318" s="42"/>
      <c r="JJ318" s="42"/>
      <c r="JK318" s="42"/>
      <c r="JL318" s="42"/>
      <c r="JM318" s="42"/>
      <c r="JN318" s="42"/>
      <c r="JO318" s="42"/>
      <c r="JP318" s="42"/>
      <c r="JQ318" s="42"/>
      <c r="JR318" s="42"/>
      <c r="JS318" s="42"/>
      <c r="JT318" s="42"/>
      <c r="JU318" s="42"/>
      <c r="JV318" s="42"/>
      <c r="JW318" s="42"/>
      <c r="JX318" s="42"/>
      <c r="JY318" s="42"/>
      <c r="JZ318" s="42"/>
      <c r="KA318" s="42"/>
    </row>
    <row r="319" spans="1:288" ht="31.5">
      <c r="A319" s="13" t="s">
        <v>781</v>
      </c>
      <c r="B319" s="13" t="s">
        <v>775</v>
      </c>
      <c r="C319" s="17"/>
      <c r="J319" s="18"/>
      <c r="Q319" s="18"/>
      <c r="R319" s="17"/>
      <c r="Y319" s="18"/>
      <c r="AF319" s="18"/>
      <c r="AG319" s="17"/>
      <c r="AV319" s="17"/>
      <c r="BK319" s="17"/>
      <c r="BZ319" s="17"/>
      <c r="CO319" s="17"/>
      <c r="DD319" s="17"/>
      <c r="DE319" s="17"/>
      <c r="DS319" s="17"/>
      <c r="DT319" s="17"/>
      <c r="EH319" s="17"/>
      <c r="EI319" s="17"/>
      <c r="EW319" s="17"/>
      <c r="EX319" s="17"/>
      <c r="FL319" s="17"/>
      <c r="FM319" s="17"/>
      <c r="GA319" s="17"/>
      <c r="GB319" s="17"/>
      <c r="GP319" s="17"/>
      <c r="GQ319" s="17"/>
      <c r="HE319" s="17"/>
      <c r="HF319" s="17"/>
      <c r="HT319" s="17"/>
      <c r="HU319" s="17"/>
      <c r="II319" s="42"/>
      <c r="IJ319" s="42"/>
      <c r="IK319" s="42"/>
      <c r="IL319" s="42"/>
      <c r="IM319" s="42"/>
      <c r="IN319" s="42"/>
      <c r="IO319" s="42"/>
      <c r="IP319" s="42"/>
      <c r="IQ319" s="42"/>
      <c r="IR319" s="42"/>
      <c r="IS319" s="42"/>
      <c r="IT319" s="42"/>
      <c r="IU319" s="42"/>
      <c r="IV319" s="42"/>
      <c r="IW319" s="42"/>
      <c r="IX319" s="42"/>
      <c r="IY319" s="42"/>
      <c r="IZ319" s="42"/>
      <c r="JA319" s="42"/>
      <c r="JB319" s="42"/>
      <c r="JC319" s="42"/>
      <c r="JD319" s="42"/>
      <c r="JE319" s="42"/>
      <c r="JF319" s="42"/>
      <c r="JG319" s="42"/>
      <c r="JH319" s="42"/>
      <c r="JI319" s="42"/>
      <c r="JJ319" s="42"/>
      <c r="JK319" s="42"/>
      <c r="JL319" s="42"/>
      <c r="JM319" s="42"/>
      <c r="JN319" s="42"/>
      <c r="JO319" s="42"/>
      <c r="JP319" s="42"/>
      <c r="JQ319" s="42"/>
      <c r="JR319" s="42"/>
      <c r="JS319" s="42"/>
      <c r="JT319" s="42"/>
      <c r="JU319" s="42"/>
      <c r="JV319" s="42"/>
      <c r="JW319" s="42"/>
      <c r="JX319" s="42"/>
      <c r="JY319" s="42"/>
      <c r="JZ319" s="42"/>
      <c r="KA319" s="42"/>
    </row>
    <row r="320" spans="1:288" ht="47.25">
      <c r="A320" s="13" t="s">
        <v>782</v>
      </c>
      <c r="B320" s="13" t="s">
        <v>775</v>
      </c>
      <c r="C320" s="17"/>
      <c r="J320" s="18"/>
      <c r="Q320" s="18"/>
      <c r="R320" s="17"/>
      <c r="Y320" s="18"/>
      <c r="AF320" s="19"/>
      <c r="AG320" s="17"/>
      <c r="AV320" s="17"/>
      <c r="BK320" s="17"/>
      <c r="BZ320" s="17"/>
      <c r="CO320" s="17"/>
      <c r="DD320" s="17"/>
      <c r="DE320" s="17"/>
      <c r="DS320" s="17"/>
      <c r="DT320" s="17"/>
      <c r="EH320" s="17"/>
      <c r="EI320" s="17"/>
      <c r="EW320" s="17"/>
      <c r="EX320" s="17"/>
      <c r="FL320" s="17"/>
      <c r="FM320" s="17"/>
      <c r="GA320" s="17"/>
      <c r="GB320" s="17"/>
      <c r="GP320" s="17"/>
      <c r="GQ320" s="17"/>
      <c r="HE320" s="17"/>
      <c r="HF320" s="17"/>
      <c r="HT320" s="17"/>
      <c r="HU320" s="17"/>
      <c r="II320" s="42"/>
      <c r="IJ320" s="42"/>
      <c r="IK320" s="42"/>
      <c r="IL320" s="42"/>
      <c r="IM320" s="42"/>
      <c r="IN320" s="42"/>
      <c r="IO320" s="42"/>
      <c r="IP320" s="42"/>
      <c r="IQ320" s="42"/>
      <c r="IR320" s="42"/>
      <c r="IS320" s="42"/>
      <c r="IT320" s="42"/>
      <c r="IU320" s="42"/>
      <c r="IV320" s="42"/>
      <c r="IW320" s="42"/>
      <c r="IX320" s="42"/>
      <c r="IY320" s="42"/>
      <c r="IZ320" s="42"/>
      <c r="JA320" s="42"/>
      <c r="JB320" s="42"/>
      <c r="JC320" s="42"/>
      <c r="JD320" s="42"/>
      <c r="JE320" s="42"/>
      <c r="JF320" s="42"/>
      <c r="JG320" s="42"/>
      <c r="JH320" s="42"/>
      <c r="JI320" s="42"/>
      <c r="JJ320" s="42"/>
      <c r="JK320" s="42"/>
      <c r="JL320" s="42"/>
      <c r="JM320" s="42"/>
      <c r="JN320" s="42"/>
      <c r="JO320" s="42"/>
      <c r="JP320" s="42"/>
      <c r="JQ320" s="42"/>
      <c r="JR320" s="42"/>
      <c r="JS320" s="42"/>
      <c r="JT320" s="42"/>
      <c r="JU320" s="42"/>
      <c r="JV320" s="42"/>
      <c r="JW320" s="42"/>
      <c r="JX320" s="42"/>
      <c r="JY320" s="42"/>
      <c r="JZ320" s="42"/>
      <c r="KA320" s="42"/>
    </row>
    <row r="321" spans="1:287">
      <c r="A321" s="13" t="s">
        <v>784</v>
      </c>
      <c r="B321" s="13" t="s">
        <v>775</v>
      </c>
      <c r="C321" s="17"/>
      <c r="J321" s="19"/>
      <c r="Q321" s="19"/>
      <c r="R321" s="17"/>
      <c r="Y321" s="19"/>
      <c r="AF321" s="19"/>
      <c r="AG321" s="17"/>
      <c r="AV321" s="17"/>
      <c r="BK321" s="17"/>
      <c r="BZ321" s="17"/>
      <c r="CO321" s="17"/>
      <c r="DD321" s="17"/>
      <c r="DE321" s="17"/>
      <c r="DS321" s="17"/>
      <c r="DT321" s="17"/>
      <c r="EH321" s="17"/>
      <c r="EI321" s="17"/>
      <c r="EW321" s="17"/>
      <c r="EX321" s="17"/>
      <c r="FL321" s="17"/>
      <c r="FM321" s="17"/>
      <c r="GA321" s="17"/>
      <c r="GB321" s="17"/>
      <c r="GP321" s="17"/>
      <c r="GQ321" s="17"/>
      <c r="HE321" s="17"/>
      <c r="HF321" s="17"/>
      <c r="HT321" s="17"/>
      <c r="HU321" s="17"/>
      <c r="II321" s="42"/>
      <c r="IJ321" s="42"/>
      <c r="IK321" s="42"/>
      <c r="IL321" s="42"/>
      <c r="IM321" s="42"/>
      <c r="IN321" s="42"/>
      <c r="IO321" s="42"/>
      <c r="IP321" s="42"/>
      <c r="IQ321" s="42"/>
      <c r="IR321" s="42"/>
      <c r="IS321" s="42"/>
      <c r="IT321" s="42"/>
      <c r="IU321" s="42"/>
      <c r="IV321" s="42"/>
      <c r="IW321" s="42"/>
      <c r="IX321" s="42"/>
      <c r="IY321" s="42"/>
      <c r="IZ321" s="42"/>
      <c r="JA321" s="42"/>
      <c r="JB321" s="42"/>
      <c r="JC321" s="42"/>
      <c r="JD321" s="42"/>
      <c r="JE321" s="42"/>
      <c r="JF321" s="42"/>
      <c r="JG321" s="42"/>
      <c r="JH321" s="42"/>
      <c r="JI321" s="42"/>
      <c r="JJ321" s="42"/>
      <c r="JK321" s="42"/>
      <c r="JL321" s="42"/>
      <c r="JM321" s="42"/>
      <c r="JN321" s="42"/>
      <c r="JO321" s="42"/>
      <c r="JP321" s="42"/>
      <c r="JQ321" s="42"/>
      <c r="JR321" s="42"/>
      <c r="JS321" s="42"/>
      <c r="JT321" s="42"/>
      <c r="JU321" s="42"/>
      <c r="JV321" s="42"/>
      <c r="JW321" s="42"/>
      <c r="JX321" s="42"/>
      <c r="JY321" s="42"/>
      <c r="JZ321" s="42"/>
      <c r="KA321" s="42"/>
    </row>
    <row r="322" spans="1:287">
      <c r="A322" s="31" t="s">
        <v>787</v>
      </c>
      <c r="B322" s="31" t="s">
        <v>788</v>
      </c>
      <c r="J322" s="19"/>
      <c r="Q322" s="19"/>
      <c r="Y322" s="19"/>
      <c r="AF322" s="19"/>
      <c r="II322" s="42"/>
      <c r="IJ322" s="42"/>
      <c r="IK322" s="42"/>
      <c r="IL322" s="42"/>
      <c r="IM322" s="42"/>
      <c r="IN322" s="42"/>
      <c r="IO322" s="42"/>
      <c r="IP322" s="42"/>
      <c r="IQ322" s="42"/>
      <c r="IR322" s="42"/>
      <c r="IS322" s="42"/>
      <c r="IT322" s="42"/>
      <c r="IU322" s="42"/>
      <c r="IV322" s="42"/>
      <c r="IW322" s="42"/>
      <c r="IX322" s="42"/>
      <c r="IY322" s="42"/>
      <c r="IZ322" s="42"/>
      <c r="JA322" s="42"/>
      <c r="JB322" s="42"/>
      <c r="JC322" s="42"/>
      <c r="JD322" s="42"/>
      <c r="JE322" s="42"/>
      <c r="JF322" s="42"/>
      <c r="JG322" s="42"/>
      <c r="JH322" s="42"/>
      <c r="JI322" s="42"/>
      <c r="JJ322" s="42"/>
      <c r="JK322" s="42"/>
      <c r="JL322" s="42"/>
      <c r="JM322" s="42"/>
      <c r="JN322" s="42"/>
      <c r="JO322" s="42"/>
      <c r="JP322" s="42"/>
      <c r="JQ322" s="42"/>
      <c r="JR322" s="42"/>
      <c r="JS322" s="42"/>
      <c r="JT322" s="42"/>
      <c r="JU322" s="42"/>
      <c r="JV322" s="42"/>
      <c r="JW322" s="42"/>
      <c r="JX322" s="42"/>
      <c r="JY322" s="42"/>
      <c r="JZ322" s="42"/>
      <c r="KA322" s="42"/>
    </row>
    <row r="323" spans="1:287" ht="31.5">
      <c r="A323" s="31" t="s">
        <v>791</v>
      </c>
      <c r="B323" s="31" t="s">
        <v>788</v>
      </c>
      <c r="J323" s="19"/>
      <c r="Q323" s="19"/>
      <c r="Y323" s="19"/>
      <c r="AF323" s="19"/>
      <c r="II323" s="42"/>
      <c r="IJ323" s="42"/>
      <c r="IK323" s="42"/>
      <c r="IL323" s="42"/>
      <c r="IM323" s="42"/>
      <c r="IN323" s="42"/>
      <c r="IO323" s="42"/>
      <c r="IP323" s="42"/>
      <c r="IQ323" s="42"/>
      <c r="IR323" s="42"/>
      <c r="IS323" s="42"/>
      <c r="IT323" s="42"/>
      <c r="IU323" s="42"/>
      <c r="IV323" s="42"/>
      <c r="IW323" s="42"/>
      <c r="IX323" s="42"/>
      <c r="IY323" s="42"/>
      <c r="IZ323" s="42"/>
      <c r="JA323" s="42"/>
      <c r="JB323" s="42"/>
      <c r="JC323" s="42"/>
      <c r="JD323" s="42"/>
      <c r="JE323" s="42"/>
      <c r="JF323" s="42"/>
      <c r="JG323" s="42"/>
      <c r="JH323" s="42"/>
      <c r="JI323" s="42"/>
      <c r="JJ323" s="42"/>
      <c r="JK323" s="42"/>
      <c r="JL323" s="42"/>
      <c r="JM323" s="42"/>
      <c r="JN323" s="42"/>
      <c r="JO323" s="42"/>
      <c r="JP323" s="42"/>
      <c r="JQ323" s="42"/>
      <c r="JR323" s="42"/>
      <c r="JS323" s="42"/>
      <c r="JT323" s="42"/>
      <c r="JU323" s="42"/>
      <c r="JV323" s="42"/>
      <c r="JW323" s="42"/>
      <c r="JX323" s="42"/>
      <c r="JY323" s="42"/>
      <c r="JZ323" s="42"/>
      <c r="KA323" s="42"/>
    </row>
    <row r="324" spans="1:287">
      <c r="A324" s="12" t="s">
        <v>792</v>
      </c>
      <c r="B324" s="12" t="s">
        <v>788</v>
      </c>
      <c r="C324" s="78">
        <v>29.818269999999998</v>
      </c>
      <c r="D324" s="78">
        <v>-83.593299999999999</v>
      </c>
      <c r="E324" s="15">
        <v>0</v>
      </c>
      <c r="F324" s="15" t="s">
        <v>1509</v>
      </c>
      <c r="G324" s="15">
        <v>71</v>
      </c>
      <c r="H324" s="15" t="s">
        <v>1510</v>
      </c>
      <c r="I324" s="15">
        <v>0</v>
      </c>
      <c r="J324" s="18">
        <v>0</v>
      </c>
      <c r="K324" s="15">
        <v>0</v>
      </c>
      <c r="L324" s="15">
        <v>0</v>
      </c>
      <c r="M324" s="15">
        <v>0</v>
      </c>
      <c r="N324" s="15">
        <v>0</v>
      </c>
      <c r="O324" s="15">
        <v>0</v>
      </c>
      <c r="P324" s="15">
        <v>0</v>
      </c>
      <c r="Q324" s="18"/>
      <c r="R324" s="15"/>
      <c r="S324" s="15"/>
      <c r="Y324" s="19"/>
      <c r="AD324" s="15"/>
      <c r="AF324" s="19"/>
      <c r="AG324" s="15"/>
      <c r="AH324" s="15"/>
      <c r="AK324" s="15"/>
      <c r="AV324" s="15"/>
      <c r="AW324" s="15"/>
      <c r="BH324" s="15"/>
      <c r="BK324" s="17"/>
      <c r="BZ324" s="17"/>
      <c r="CO324" s="17"/>
      <c r="DD324" s="17"/>
      <c r="DE324" s="17"/>
      <c r="DS324" s="17"/>
      <c r="DT324" s="17"/>
      <c r="EH324" s="17"/>
      <c r="EI324" s="17"/>
      <c r="EW324" s="17"/>
      <c r="EX324" s="17"/>
      <c r="FL324" s="17"/>
      <c r="FM324" s="17"/>
      <c r="GA324" s="17"/>
      <c r="GB324" s="17"/>
      <c r="GP324" s="17"/>
      <c r="GQ324" s="17"/>
      <c r="HE324" s="17"/>
      <c r="HF324" s="17"/>
      <c r="HT324" s="17"/>
      <c r="HU324" s="17"/>
      <c r="II324" s="42"/>
      <c r="IJ324" s="42"/>
      <c r="IK324" s="42"/>
      <c r="IL324" s="42"/>
      <c r="IM324" s="42"/>
      <c r="IN324" s="42"/>
      <c r="IO324" s="42"/>
      <c r="IP324" s="42"/>
      <c r="IQ324" s="42"/>
      <c r="IR324" s="42"/>
      <c r="IS324" s="42"/>
      <c r="IT324" s="42"/>
      <c r="IU324" s="42"/>
      <c r="IV324" s="42"/>
      <c r="IW324" s="42"/>
      <c r="IX324" s="42"/>
      <c r="IY324" s="42"/>
      <c r="IZ324" s="42"/>
      <c r="JA324" s="42"/>
      <c r="JB324" s="42"/>
      <c r="JC324" s="42"/>
      <c r="JD324" s="42"/>
      <c r="JE324" s="42"/>
      <c r="JF324" s="42"/>
      <c r="JG324" s="42"/>
      <c r="JH324" s="42"/>
      <c r="JI324" s="42"/>
      <c r="JJ324" s="42"/>
      <c r="JK324" s="42"/>
      <c r="JL324" s="42"/>
      <c r="JM324" s="42"/>
      <c r="JN324" s="42"/>
      <c r="JO324" s="42"/>
      <c r="JP324" s="42"/>
      <c r="JQ324" s="42"/>
      <c r="JR324" s="42"/>
      <c r="JS324" s="42"/>
      <c r="JT324" s="42"/>
      <c r="JU324" s="42"/>
      <c r="JV324" s="42"/>
      <c r="JW324" s="42"/>
      <c r="JX324" s="42"/>
      <c r="JY324" s="42"/>
      <c r="JZ324" s="42"/>
      <c r="KA324" s="42"/>
    </row>
    <row r="325" spans="1:287">
      <c r="A325" s="13" t="s">
        <v>796</v>
      </c>
      <c r="B325" s="13" t="s">
        <v>797</v>
      </c>
      <c r="C325" s="15">
        <v>28.931228999999998</v>
      </c>
      <c r="D325" s="15">
        <v>-80.825221999999997</v>
      </c>
      <c r="J325" s="19"/>
      <c r="O325" s="15">
        <v>6</v>
      </c>
      <c r="Q325" s="19"/>
      <c r="R325" s="15">
        <v>28.884240999999999</v>
      </c>
      <c r="S325" s="15">
        <v>-80793182</v>
      </c>
      <c r="Y325" s="19"/>
      <c r="AD325" s="15">
        <v>1</v>
      </c>
      <c r="AF325" s="19"/>
      <c r="AG325" s="15">
        <v>28.861191000000002</v>
      </c>
      <c r="AH325" s="15">
        <v>-80.779933999999997</v>
      </c>
      <c r="AK325" s="15">
        <v>4</v>
      </c>
      <c r="AV325" s="15">
        <v>28.855008999999999</v>
      </c>
      <c r="AW325" s="15">
        <v>-80774171</v>
      </c>
      <c r="BH325" s="15">
        <v>2</v>
      </c>
      <c r="BK325" s="17"/>
      <c r="BZ325" s="17"/>
      <c r="CO325" s="17"/>
      <c r="DD325" s="17"/>
      <c r="DE325" s="17"/>
      <c r="DS325" s="17"/>
      <c r="DT325" s="17"/>
      <c r="EH325" s="17"/>
      <c r="EI325" s="17"/>
      <c r="EW325" s="17"/>
      <c r="EX325" s="17"/>
      <c r="FL325" s="17"/>
      <c r="FM325" s="17"/>
      <c r="GA325" s="17"/>
      <c r="GB325" s="17"/>
      <c r="GP325" s="17"/>
      <c r="GQ325" s="17"/>
      <c r="HE325" s="17"/>
      <c r="HF325" s="17"/>
      <c r="HT325" s="17"/>
      <c r="HU325" s="17"/>
      <c r="II325" s="42"/>
      <c r="IJ325" s="42"/>
      <c r="IK325" s="42"/>
      <c r="IL325" s="42"/>
      <c r="IM325" s="42"/>
      <c r="IN325" s="42"/>
      <c r="IO325" s="42"/>
      <c r="IP325" s="42"/>
      <c r="IQ325" s="42"/>
      <c r="IR325" s="42"/>
      <c r="IS325" s="42"/>
      <c r="IT325" s="42"/>
      <c r="IU325" s="42"/>
      <c r="IV325" s="42"/>
      <c r="IW325" s="42"/>
      <c r="IX325" s="42"/>
      <c r="IY325" s="42"/>
      <c r="IZ325" s="42"/>
      <c r="JA325" s="42"/>
      <c r="JB325" s="42"/>
      <c r="JC325" s="42"/>
      <c r="JD325" s="42"/>
      <c r="JE325" s="42"/>
      <c r="JF325" s="42"/>
      <c r="JG325" s="42"/>
      <c r="JH325" s="42"/>
      <c r="JI325" s="42"/>
      <c r="JJ325" s="42"/>
      <c r="JK325" s="42"/>
      <c r="JL325" s="42"/>
      <c r="JM325" s="42"/>
      <c r="JN325" s="42"/>
      <c r="JO325" s="42"/>
      <c r="JP325" s="42"/>
      <c r="JQ325" s="42"/>
      <c r="JR325" s="42"/>
      <c r="JS325" s="42"/>
      <c r="JT325" s="42"/>
      <c r="JU325" s="42"/>
      <c r="JV325" s="42"/>
      <c r="JW325" s="42"/>
      <c r="JX325" s="42"/>
      <c r="JY325" s="42"/>
      <c r="JZ325" s="42"/>
      <c r="KA325" s="42"/>
    </row>
    <row r="326" spans="1:287">
      <c r="A326" s="13" t="s">
        <v>800</v>
      </c>
      <c r="B326" s="13" t="s">
        <v>797</v>
      </c>
      <c r="C326" s="17"/>
      <c r="J326" s="19"/>
      <c r="Q326" s="19"/>
      <c r="R326" s="17"/>
      <c r="Y326" s="19"/>
      <c r="AF326" s="19"/>
      <c r="AG326" s="17"/>
      <c r="AV326" s="17"/>
      <c r="BK326" s="17"/>
      <c r="BZ326" s="17"/>
      <c r="CO326" s="17"/>
      <c r="DD326" s="17"/>
      <c r="DE326" s="17"/>
      <c r="DS326" s="17"/>
      <c r="DT326" s="17"/>
      <c r="EH326" s="17"/>
      <c r="EI326" s="17"/>
      <c r="EW326" s="17"/>
      <c r="EX326" s="17"/>
      <c r="FL326" s="17"/>
      <c r="FM326" s="17"/>
      <c r="GA326" s="17"/>
      <c r="GB326" s="17"/>
      <c r="GP326" s="17"/>
      <c r="GQ326" s="17"/>
      <c r="HE326" s="17"/>
      <c r="HF326" s="17"/>
      <c r="HT326" s="17"/>
      <c r="HU326" s="17"/>
      <c r="II326" s="42"/>
      <c r="IJ326" s="42"/>
      <c r="IK326" s="42"/>
      <c r="IL326" s="42"/>
      <c r="IM326" s="42"/>
      <c r="IN326" s="42"/>
      <c r="IO326" s="42"/>
      <c r="IP326" s="42"/>
      <c r="IQ326" s="42"/>
      <c r="IR326" s="42"/>
      <c r="IS326" s="42"/>
      <c r="IT326" s="42"/>
      <c r="IU326" s="42"/>
      <c r="IV326" s="42"/>
      <c r="IW326" s="42"/>
      <c r="IX326" s="42"/>
      <c r="IY326" s="42"/>
      <c r="IZ326" s="42"/>
      <c r="JA326" s="42"/>
      <c r="JB326" s="42"/>
      <c r="JC326" s="42"/>
      <c r="JD326" s="42"/>
      <c r="JE326" s="42"/>
      <c r="JF326" s="42"/>
      <c r="JG326" s="42"/>
      <c r="JH326" s="42"/>
      <c r="JI326" s="42"/>
      <c r="JJ326" s="42"/>
      <c r="JK326" s="42"/>
      <c r="JL326" s="42"/>
      <c r="JM326" s="42"/>
      <c r="JN326" s="42"/>
      <c r="JO326" s="42"/>
      <c r="JP326" s="42"/>
      <c r="JQ326" s="42"/>
      <c r="JR326" s="42"/>
      <c r="JS326" s="42"/>
      <c r="JT326" s="42"/>
      <c r="JU326" s="42"/>
      <c r="JV326" s="42"/>
      <c r="JW326" s="42"/>
      <c r="JX326" s="42"/>
      <c r="JY326" s="42"/>
      <c r="JZ326" s="42"/>
      <c r="KA326" s="42"/>
    </row>
    <row r="327" spans="1:287" ht="31.5">
      <c r="A327" s="24" t="s">
        <v>801</v>
      </c>
      <c r="B327" s="24" t="s">
        <v>797</v>
      </c>
      <c r="C327" s="15">
        <v>29.146795000000001</v>
      </c>
      <c r="D327" s="15">
        <v>-80.976516000000004</v>
      </c>
      <c r="E327" s="15">
        <v>2</v>
      </c>
      <c r="F327" s="15" t="s">
        <v>1511</v>
      </c>
      <c r="J327" s="19"/>
      <c r="Q327" s="19"/>
      <c r="R327" s="15">
        <v>29.146253999999999</v>
      </c>
      <c r="S327" s="15">
        <v>-80.977546000000004</v>
      </c>
      <c r="V327" s="15">
        <v>4</v>
      </c>
      <c r="Y327" s="19"/>
      <c r="Z327" s="15">
        <v>16</v>
      </c>
      <c r="AF327" s="19"/>
      <c r="AG327" s="15">
        <v>29.146986999999999</v>
      </c>
      <c r="AH327" s="15">
        <v>-80.973477000000003</v>
      </c>
      <c r="AI327" s="15">
        <v>2</v>
      </c>
      <c r="AV327" s="15">
        <v>29.127265000000001</v>
      </c>
      <c r="AW327" s="15">
        <v>-80.966881999999998</v>
      </c>
      <c r="AX327" s="15">
        <v>1</v>
      </c>
      <c r="BK327" s="17"/>
      <c r="BZ327" s="17"/>
      <c r="CO327" s="17"/>
      <c r="DD327" s="17"/>
      <c r="DE327" s="17"/>
      <c r="DS327" s="17"/>
      <c r="DT327" s="17"/>
      <c r="EH327" s="17"/>
      <c r="EI327" s="17"/>
      <c r="EW327" s="17"/>
      <c r="EX327" s="17"/>
      <c r="FL327" s="17"/>
      <c r="FM327" s="17"/>
      <c r="GA327" s="17"/>
      <c r="GB327" s="17"/>
      <c r="GP327" s="17"/>
      <c r="GQ327" s="17"/>
      <c r="HE327" s="17"/>
      <c r="HF327" s="17"/>
      <c r="HT327" s="17"/>
      <c r="HU327" s="17"/>
      <c r="II327" s="42"/>
      <c r="IJ327" s="42"/>
      <c r="IK327" s="42"/>
      <c r="IL327" s="42"/>
      <c r="IM327" s="42"/>
      <c r="IN327" s="42"/>
      <c r="IO327" s="42"/>
      <c r="IP327" s="42"/>
      <c r="IQ327" s="42"/>
      <c r="IR327" s="42"/>
      <c r="IS327" s="42"/>
      <c r="IT327" s="42"/>
      <c r="IU327" s="42"/>
      <c r="IV327" s="42"/>
      <c r="IW327" s="42"/>
      <c r="IX327" s="42"/>
      <c r="IY327" s="42"/>
      <c r="IZ327" s="42"/>
      <c r="JA327" s="42"/>
      <c r="JB327" s="42"/>
      <c r="JC327" s="42"/>
      <c r="JD327" s="42"/>
      <c r="JE327" s="42"/>
      <c r="JF327" s="42"/>
      <c r="JG327" s="42"/>
      <c r="JH327" s="42"/>
      <c r="JI327" s="42"/>
      <c r="JJ327" s="42"/>
      <c r="JK327" s="42"/>
      <c r="JL327" s="42"/>
      <c r="JM327" s="42"/>
      <c r="JN327" s="42"/>
      <c r="JO327" s="42"/>
      <c r="JP327" s="42"/>
      <c r="JQ327" s="42"/>
      <c r="JR327" s="42"/>
      <c r="JS327" s="42"/>
      <c r="JT327" s="42"/>
      <c r="JU327" s="42"/>
      <c r="JV327" s="42"/>
      <c r="JW327" s="42"/>
      <c r="JX327" s="42"/>
      <c r="JY327" s="42"/>
      <c r="JZ327" s="42"/>
      <c r="KA327" s="42"/>
    </row>
    <row r="328" spans="1:287" ht="31.5">
      <c r="A328" s="31" t="s">
        <v>804</v>
      </c>
      <c r="B328" s="31" t="s">
        <v>797</v>
      </c>
      <c r="C328" s="15">
        <v>28.9505816</v>
      </c>
      <c r="D328" s="15">
        <v>-80.838754199999997</v>
      </c>
      <c r="G328" s="15">
        <v>20</v>
      </c>
      <c r="J328" s="19"/>
      <c r="Q328" s="19"/>
      <c r="Y328" s="19"/>
      <c r="AF328" s="19"/>
      <c r="II328" s="42"/>
      <c r="IJ328" s="42"/>
      <c r="IK328" s="42"/>
      <c r="IL328" s="42"/>
      <c r="IM328" s="42"/>
      <c r="IN328" s="42"/>
      <c r="IO328" s="42"/>
      <c r="IP328" s="42"/>
      <c r="IQ328" s="42"/>
      <c r="IR328" s="42"/>
      <c r="IS328" s="42"/>
      <c r="IT328" s="42"/>
      <c r="IU328" s="42"/>
      <c r="IV328" s="42"/>
      <c r="IW328" s="42"/>
      <c r="IX328" s="42"/>
      <c r="IY328" s="42"/>
      <c r="IZ328" s="42"/>
      <c r="JA328" s="42"/>
      <c r="JB328" s="42"/>
      <c r="JC328" s="42"/>
      <c r="JD328" s="42"/>
      <c r="JE328" s="42"/>
      <c r="JF328" s="42"/>
      <c r="JG328" s="42"/>
      <c r="JH328" s="42"/>
      <c r="JI328" s="42"/>
      <c r="JJ328" s="42"/>
      <c r="JK328" s="42"/>
      <c r="JL328" s="42"/>
      <c r="JM328" s="42"/>
      <c r="JN328" s="42"/>
      <c r="JO328" s="42"/>
      <c r="JP328" s="42"/>
      <c r="JQ328" s="42"/>
      <c r="JR328" s="42"/>
      <c r="JS328" s="42"/>
      <c r="JT328" s="42"/>
      <c r="JU328" s="42"/>
      <c r="JV328" s="42"/>
      <c r="JW328" s="42"/>
      <c r="JX328" s="42"/>
      <c r="JY328" s="42"/>
      <c r="JZ328" s="42"/>
      <c r="KA328" s="42"/>
    </row>
    <row r="329" spans="1:287" ht="47.25">
      <c r="A329" s="13" t="s">
        <v>805</v>
      </c>
      <c r="B329" s="13" t="s">
        <v>797</v>
      </c>
      <c r="C329" s="17"/>
      <c r="J329" s="19"/>
      <c r="Q329" s="19"/>
      <c r="R329" s="17"/>
      <c r="Y329" s="19"/>
      <c r="AF329" s="19"/>
      <c r="AG329" s="17"/>
      <c r="AV329" s="17"/>
      <c r="BK329" s="17"/>
      <c r="BZ329" s="17"/>
      <c r="CO329" s="17"/>
      <c r="DD329" s="17"/>
      <c r="DE329" s="17"/>
      <c r="DS329" s="17"/>
      <c r="DT329" s="17"/>
      <c r="EH329" s="17"/>
      <c r="EI329" s="17"/>
      <c r="EW329" s="17"/>
      <c r="EX329" s="17"/>
      <c r="FL329" s="17"/>
      <c r="FM329" s="17"/>
      <c r="GA329" s="17"/>
      <c r="GB329" s="17"/>
      <c r="GP329" s="17"/>
      <c r="GQ329" s="17"/>
      <c r="HE329" s="17"/>
      <c r="HF329" s="17"/>
      <c r="HT329" s="17"/>
      <c r="HU329" s="17"/>
      <c r="II329" s="42"/>
      <c r="IJ329" s="42"/>
      <c r="IK329" s="42"/>
      <c r="IL329" s="42"/>
      <c r="IM329" s="42"/>
      <c r="IN329" s="42"/>
      <c r="IO329" s="42"/>
      <c r="IP329" s="42"/>
      <c r="IQ329" s="42"/>
      <c r="IR329" s="42"/>
      <c r="IS329" s="42"/>
      <c r="IT329" s="42"/>
      <c r="IU329" s="42"/>
      <c r="IV329" s="42"/>
      <c r="IW329" s="42"/>
      <c r="IX329" s="42"/>
      <c r="IY329" s="42"/>
      <c r="IZ329" s="42"/>
      <c r="JA329" s="42"/>
      <c r="JB329" s="42"/>
      <c r="JC329" s="42"/>
      <c r="JD329" s="42"/>
      <c r="JE329" s="42"/>
      <c r="JF329" s="42"/>
      <c r="JG329" s="42"/>
      <c r="JH329" s="42"/>
      <c r="JI329" s="42"/>
      <c r="JJ329" s="42"/>
      <c r="JK329" s="42"/>
      <c r="JL329" s="42"/>
      <c r="JM329" s="42"/>
      <c r="JN329" s="42"/>
      <c r="JO329" s="42"/>
      <c r="JP329" s="42"/>
      <c r="JQ329" s="42"/>
      <c r="JR329" s="42"/>
      <c r="JS329" s="42"/>
      <c r="JT329" s="42"/>
      <c r="JU329" s="42"/>
      <c r="JV329" s="42"/>
      <c r="JW329" s="42"/>
      <c r="JX329" s="42"/>
      <c r="JY329" s="42"/>
      <c r="JZ329" s="42"/>
      <c r="KA329" s="42"/>
    </row>
    <row r="330" spans="1:287" ht="31.5">
      <c r="A330" s="13" t="s">
        <v>809</v>
      </c>
      <c r="B330" s="13" t="s">
        <v>797</v>
      </c>
      <c r="C330" s="17"/>
      <c r="J330" s="19"/>
      <c r="Q330" s="19"/>
      <c r="R330" s="17"/>
      <c r="Y330" s="19"/>
      <c r="AF330" s="19"/>
      <c r="AG330" s="17"/>
      <c r="AV330" s="17"/>
      <c r="BK330" s="17"/>
      <c r="BZ330" s="17"/>
      <c r="CO330" s="17"/>
      <c r="DD330" s="17"/>
      <c r="DE330" s="17"/>
      <c r="DS330" s="17"/>
      <c r="DT330" s="17"/>
      <c r="EH330" s="17"/>
      <c r="EI330" s="17"/>
      <c r="EW330" s="17"/>
      <c r="EX330" s="17"/>
      <c r="FL330" s="17"/>
      <c r="FM330" s="17"/>
      <c r="GA330" s="17"/>
      <c r="GB330" s="17"/>
      <c r="GP330" s="17"/>
      <c r="GQ330" s="17"/>
      <c r="HE330" s="17"/>
      <c r="HF330" s="17"/>
      <c r="HT330" s="17"/>
      <c r="HU330" s="17"/>
      <c r="II330" s="42"/>
      <c r="IJ330" s="42"/>
      <c r="IK330" s="42"/>
      <c r="IL330" s="42"/>
      <c r="IM330" s="42"/>
      <c r="IN330" s="42"/>
      <c r="IO330" s="42"/>
      <c r="IP330" s="42"/>
      <c r="IQ330" s="42"/>
      <c r="IR330" s="42"/>
      <c r="IS330" s="42"/>
      <c r="IT330" s="42"/>
      <c r="IU330" s="42"/>
      <c r="IV330" s="42"/>
      <c r="IW330" s="42"/>
      <c r="IX330" s="42"/>
      <c r="IY330" s="42"/>
      <c r="IZ330" s="42"/>
      <c r="JA330" s="42"/>
      <c r="JB330" s="42"/>
      <c r="JC330" s="42"/>
      <c r="JD330" s="42"/>
      <c r="JE330" s="42"/>
      <c r="JF330" s="42"/>
      <c r="JG330" s="42"/>
      <c r="JH330" s="42"/>
      <c r="JI330" s="42"/>
      <c r="JJ330" s="42"/>
      <c r="JK330" s="42"/>
      <c r="JL330" s="42"/>
      <c r="JM330" s="42"/>
      <c r="JN330" s="42"/>
      <c r="JO330" s="42"/>
      <c r="JP330" s="42"/>
      <c r="JQ330" s="42"/>
      <c r="JR330" s="42"/>
      <c r="JS330" s="42"/>
      <c r="JT330" s="42"/>
      <c r="JU330" s="42"/>
      <c r="JV330" s="42"/>
      <c r="JW330" s="42"/>
      <c r="JX330" s="42"/>
      <c r="JY330" s="42"/>
      <c r="JZ330" s="42"/>
      <c r="KA330" s="42"/>
    </row>
    <row r="331" spans="1:287">
      <c r="A331" s="118" t="s">
        <v>810</v>
      </c>
      <c r="B331" s="24" t="s">
        <v>797</v>
      </c>
      <c r="C331" s="99">
        <v>28.93085</v>
      </c>
      <c r="D331" s="99">
        <v>-80.863799999999998</v>
      </c>
      <c r="E331" s="15">
        <v>2</v>
      </c>
      <c r="J331" s="18"/>
      <c r="Q331" s="18"/>
      <c r="R331" s="15">
        <v>28.943155000000001</v>
      </c>
      <c r="S331" s="15">
        <v>-80.860564999999994</v>
      </c>
      <c r="T331" s="15">
        <v>5</v>
      </c>
      <c r="Y331" s="19"/>
      <c r="AF331" s="19"/>
      <c r="AG331" s="15">
        <v>28.942817000000002</v>
      </c>
      <c r="AH331" s="15">
        <v>-80.845177000000007</v>
      </c>
      <c r="AI331" s="15">
        <v>1</v>
      </c>
      <c r="AV331" s="15">
        <v>28.940287999999999</v>
      </c>
      <c r="AW331" s="15">
        <v>-80.867188999999996</v>
      </c>
      <c r="AX331" s="15">
        <v>2</v>
      </c>
      <c r="BK331" s="17"/>
      <c r="BZ331" s="17"/>
      <c r="CO331" s="17"/>
      <c r="DD331" s="17"/>
      <c r="DE331" s="17"/>
      <c r="DS331" s="17"/>
      <c r="DT331" s="17"/>
      <c r="EH331" s="17"/>
      <c r="EI331" s="17"/>
      <c r="EW331" s="17"/>
      <c r="EX331" s="17"/>
      <c r="FL331" s="17"/>
      <c r="FM331" s="17"/>
      <c r="GA331" s="17"/>
      <c r="GB331" s="17"/>
      <c r="GP331" s="17"/>
      <c r="GQ331" s="17"/>
      <c r="HE331" s="17"/>
      <c r="HF331" s="17"/>
      <c r="HT331" s="17"/>
      <c r="HU331" s="17"/>
      <c r="II331" s="42"/>
      <c r="IJ331" s="42"/>
      <c r="IK331" s="42"/>
      <c r="IL331" s="42"/>
      <c r="IM331" s="42"/>
      <c r="IN331" s="42"/>
      <c r="IO331" s="42"/>
      <c r="IP331" s="42"/>
      <c r="IQ331" s="42"/>
      <c r="IR331" s="42"/>
      <c r="IS331" s="42"/>
      <c r="IT331" s="42"/>
      <c r="IU331" s="42"/>
      <c r="IV331" s="42"/>
      <c r="IW331" s="42"/>
      <c r="IX331" s="42"/>
      <c r="IY331" s="42"/>
      <c r="IZ331" s="42"/>
      <c r="JA331" s="42"/>
      <c r="JB331" s="42"/>
      <c r="JC331" s="42"/>
      <c r="JD331" s="42"/>
      <c r="JE331" s="42"/>
      <c r="JF331" s="42"/>
      <c r="JG331" s="42"/>
      <c r="JH331" s="42"/>
      <c r="JI331" s="42"/>
      <c r="JJ331" s="42"/>
      <c r="JK331" s="42"/>
      <c r="JL331" s="42"/>
      <c r="JM331" s="42"/>
      <c r="JN331" s="42"/>
      <c r="JO331" s="42"/>
      <c r="JP331" s="42"/>
      <c r="JQ331" s="42"/>
      <c r="JR331" s="42"/>
      <c r="JS331" s="42"/>
      <c r="JT331" s="42"/>
      <c r="JU331" s="42"/>
      <c r="JV331" s="42"/>
      <c r="JW331" s="42"/>
      <c r="JX331" s="42"/>
      <c r="JY331" s="42"/>
      <c r="JZ331" s="42"/>
      <c r="KA331" s="42"/>
    </row>
    <row r="332" spans="1:287" ht="31.5">
      <c r="A332" s="13" t="s">
        <v>811</v>
      </c>
      <c r="B332" s="13" t="s">
        <v>797</v>
      </c>
      <c r="C332" s="17"/>
      <c r="J332" s="18"/>
      <c r="Q332" s="18"/>
      <c r="R332" s="17"/>
      <c r="Y332" s="18"/>
      <c r="AF332" s="18"/>
      <c r="AG332" s="17"/>
      <c r="AV332" s="17"/>
      <c r="BK332" s="17"/>
      <c r="BZ332" s="17"/>
      <c r="CO332" s="17"/>
      <c r="DD332" s="17"/>
      <c r="DE332" s="17"/>
      <c r="DS332" s="17"/>
      <c r="DT332" s="17"/>
      <c r="EH332" s="17"/>
      <c r="EI332" s="17"/>
      <c r="EW332" s="17"/>
      <c r="EX332" s="17"/>
      <c r="FL332" s="17"/>
      <c r="FM332" s="17"/>
      <c r="GA332" s="17"/>
      <c r="GB332" s="17"/>
      <c r="GP332" s="17"/>
      <c r="GQ332" s="17"/>
      <c r="HE332" s="17"/>
      <c r="HF332" s="17"/>
      <c r="HT332" s="17"/>
      <c r="HU332" s="17"/>
      <c r="II332" s="42"/>
      <c r="IJ332" s="42"/>
      <c r="IK332" s="42"/>
      <c r="IL332" s="42"/>
      <c r="IM332" s="42"/>
      <c r="IN332" s="42"/>
      <c r="IO332" s="42"/>
      <c r="IP332" s="42"/>
      <c r="IQ332" s="42"/>
      <c r="IR332" s="42"/>
      <c r="IS332" s="42"/>
      <c r="IT332" s="42"/>
      <c r="IU332" s="42"/>
      <c r="IV332" s="42"/>
      <c r="IW332" s="42"/>
      <c r="IX332" s="42"/>
      <c r="IY332" s="42"/>
      <c r="IZ332" s="42"/>
      <c r="JA332" s="42"/>
      <c r="JB332" s="42"/>
      <c r="JC332" s="42"/>
      <c r="JD332" s="42"/>
      <c r="JE332" s="42"/>
      <c r="JF332" s="42"/>
      <c r="JG332" s="42"/>
      <c r="JH332" s="42"/>
      <c r="JI332" s="42"/>
      <c r="JJ332" s="42"/>
      <c r="JK332" s="42"/>
      <c r="JL332" s="42"/>
      <c r="JM332" s="42"/>
      <c r="JN332" s="42"/>
      <c r="JO332" s="42"/>
      <c r="JP332" s="42"/>
      <c r="JQ332" s="42"/>
      <c r="JR332" s="42"/>
      <c r="JS332" s="42"/>
      <c r="JT332" s="42"/>
      <c r="JU332" s="42"/>
      <c r="JV332" s="42"/>
      <c r="JW332" s="42"/>
      <c r="JX332" s="42"/>
      <c r="JY332" s="42"/>
      <c r="JZ332" s="42"/>
      <c r="KA332" s="42"/>
    </row>
    <row r="333" spans="1:287" ht="47.25">
      <c r="A333" s="13" t="s">
        <v>815</v>
      </c>
      <c r="B333" s="13" t="s">
        <v>797</v>
      </c>
      <c r="C333" s="119"/>
      <c r="D333" s="119"/>
      <c r="G333" s="120"/>
      <c r="J333" s="18"/>
      <c r="Q333" s="18"/>
      <c r="R333" s="119"/>
      <c r="S333" s="119"/>
      <c r="Y333" s="18"/>
      <c r="AF333" s="18"/>
      <c r="AG333" s="17"/>
      <c r="AV333" s="17"/>
      <c r="BK333" s="17"/>
      <c r="BZ333" s="17"/>
      <c r="CO333" s="17"/>
      <c r="DD333" s="17"/>
      <c r="DE333" s="17"/>
      <c r="DS333" s="17"/>
      <c r="DT333" s="17"/>
      <c r="EH333" s="17"/>
      <c r="EI333" s="17"/>
      <c r="EW333" s="17"/>
      <c r="EX333" s="17"/>
      <c r="FL333" s="17"/>
      <c r="FM333" s="17"/>
      <c r="GA333" s="17"/>
      <c r="GB333" s="17"/>
      <c r="GP333" s="17"/>
      <c r="GQ333" s="17"/>
      <c r="HE333" s="17"/>
      <c r="HF333" s="17"/>
      <c r="HT333" s="17"/>
      <c r="HU333" s="17"/>
      <c r="II333" s="42"/>
      <c r="IJ333" s="42"/>
      <c r="IK333" s="42"/>
      <c r="IL333" s="42"/>
      <c r="IM333" s="42"/>
      <c r="IN333" s="42"/>
      <c r="IO333" s="42"/>
      <c r="IP333" s="42"/>
      <c r="IQ333" s="42"/>
      <c r="IR333" s="42"/>
      <c r="IS333" s="42"/>
      <c r="IT333" s="42"/>
      <c r="IU333" s="42"/>
      <c r="IV333" s="42"/>
      <c r="IW333" s="42"/>
      <c r="IX333" s="42"/>
      <c r="IY333" s="42"/>
      <c r="IZ333" s="42"/>
      <c r="JA333" s="42"/>
      <c r="JB333" s="42"/>
      <c r="JC333" s="42"/>
      <c r="JD333" s="42"/>
      <c r="JE333" s="42"/>
      <c r="JF333" s="42"/>
      <c r="JG333" s="42"/>
      <c r="JH333" s="42"/>
      <c r="JI333" s="42"/>
      <c r="JJ333" s="42"/>
      <c r="JK333" s="42"/>
      <c r="JL333" s="42"/>
      <c r="JM333" s="42"/>
      <c r="JN333" s="42"/>
      <c r="JO333" s="42"/>
      <c r="JP333" s="42"/>
      <c r="JQ333" s="42"/>
      <c r="JR333" s="42"/>
      <c r="JS333" s="42"/>
      <c r="JT333" s="42"/>
      <c r="JU333" s="42"/>
      <c r="JV333" s="42"/>
      <c r="JW333" s="42"/>
      <c r="JX333" s="42"/>
      <c r="JY333" s="42"/>
      <c r="JZ333" s="42"/>
      <c r="KA333" s="42"/>
    </row>
    <row r="334" spans="1:287" ht="47.25">
      <c r="A334" s="121" t="s">
        <v>816</v>
      </c>
      <c r="B334" s="13" t="s">
        <v>797</v>
      </c>
      <c r="C334" s="17"/>
      <c r="J334" s="18"/>
      <c r="Q334" s="18"/>
      <c r="R334" s="17"/>
      <c r="S334" s="122"/>
      <c r="Y334" s="19"/>
      <c r="AF334" s="59"/>
      <c r="AG334" s="17"/>
      <c r="AV334" s="17"/>
      <c r="BK334" s="17"/>
      <c r="BZ334" s="17"/>
      <c r="CO334" s="17"/>
      <c r="DD334" s="17"/>
      <c r="DE334" s="17"/>
      <c r="DS334" s="17"/>
      <c r="DT334" s="17"/>
      <c r="EH334" s="17"/>
      <c r="EI334" s="17"/>
      <c r="EW334" s="17"/>
      <c r="EX334" s="17"/>
      <c r="FL334" s="17"/>
      <c r="FM334" s="17"/>
      <c r="GA334" s="17"/>
      <c r="GB334" s="17"/>
      <c r="GP334" s="17"/>
      <c r="GQ334" s="17"/>
      <c r="HE334" s="17"/>
      <c r="HF334" s="17"/>
      <c r="HT334" s="17"/>
      <c r="HU334" s="17"/>
      <c r="II334" s="42"/>
      <c r="IJ334" s="42"/>
      <c r="IK334" s="42"/>
      <c r="IL334" s="42"/>
      <c r="IM334" s="42"/>
      <c r="IN334" s="42"/>
      <c r="IO334" s="42"/>
      <c r="IP334" s="42"/>
      <c r="IQ334" s="42"/>
      <c r="IR334" s="42"/>
      <c r="IS334" s="42"/>
      <c r="IT334" s="42"/>
      <c r="IU334" s="42"/>
      <c r="IV334" s="42"/>
      <c r="IW334" s="42"/>
      <c r="IX334" s="42"/>
      <c r="IY334" s="42"/>
      <c r="IZ334" s="42"/>
      <c r="JA334" s="42"/>
      <c r="JB334" s="42"/>
      <c r="JC334" s="42"/>
      <c r="JD334" s="42"/>
      <c r="JE334" s="42"/>
      <c r="JF334" s="42"/>
      <c r="JG334" s="42"/>
      <c r="JH334" s="42"/>
      <c r="JI334" s="42"/>
      <c r="JJ334" s="42"/>
      <c r="JK334" s="42"/>
      <c r="JL334" s="42"/>
      <c r="JM334" s="42"/>
      <c r="JN334" s="42"/>
      <c r="JO334" s="42"/>
      <c r="JP334" s="42"/>
      <c r="JQ334" s="42"/>
      <c r="JR334" s="42"/>
      <c r="JS334" s="42"/>
      <c r="JT334" s="42"/>
      <c r="JU334" s="42"/>
      <c r="JV334" s="42"/>
      <c r="JW334" s="42"/>
      <c r="JX334" s="42"/>
      <c r="JY334" s="42"/>
      <c r="JZ334" s="42"/>
      <c r="KA334" s="42"/>
    </row>
    <row r="335" spans="1:287" ht="47.25">
      <c r="A335" s="13" t="s">
        <v>817</v>
      </c>
      <c r="B335" s="24" t="s">
        <v>797</v>
      </c>
      <c r="C335" s="17"/>
      <c r="J335" s="18"/>
      <c r="Q335" s="18"/>
      <c r="R335" s="17"/>
      <c r="Y335" s="18"/>
      <c r="AF335" s="18"/>
      <c r="AG335" s="17"/>
      <c r="AV335" s="17"/>
      <c r="BK335" s="17"/>
      <c r="BZ335" s="17"/>
      <c r="CO335" s="17"/>
      <c r="DD335" s="17"/>
      <c r="DE335" s="17"/>
      <c r="DS335" s="17"/>
      <c r="DT335" s="17"/>
      <c r="EH335" s="17"/>
      <c r="EI335" s="17"/>
      <c r="EW335" s="17"/>
      <c r="EX335" s="17"/>
      <c r="FL335" s="17"/>
      <c r="FM335" s="17"/>
      <c r="GA335" s="17"/>
      <c r="GB335" s="17"/>
      <c r="GP335" s="17"/>
      <c r="GQ335" s="17"/>
      <c r="HE335" s="17"/>
      <c r="HF335" s="17"/>
      <c r="HT335" s="17"/>
      <c r="HU335" s="17"/>
      <c r="II335" s="42"/>
      <c r="IJ335" s="42"/>
      <c r="IK335" s="42"/>
      <c r="IL335" s="42"/>
      <c r="IM335" s="42"/>
      <c r="IN335" s="42"/>
      <c r="IO335" s="42"/>
      <c r="IP335" s="42"/>
      <c r="IQ335" s="42"/>
      <c r="IR335" s="42"/>
      <c r="IS335" s="42"/>
      <c r="IT335" s="42"/>
      <c r="IU335" s="42"/>
      <c r="IV335" s="42"/>
      <c r="IW335" s="42"/>
      <c r="IX335" s="42"/>
      <c r="IY335" s="42"/>
      <c r="IZ335" s="42"/>
      <c r="JA335" s="42"/>
      <c r="JB335" s="42"/>
      <c r="JC335" s="42"/>
      <c r="JD335" s="42"/>
      <c r="JE335" s="42"/>
      <c r="JF335" s="42"/>
      <c r="JG335" s="42"/>
      <c r="JH335" s="42"/>
      <c r="JI335" s="42"/>
      <c r="JJ335" s="42"/>
      <c r="JK335" s="42"/>
      <c r="JL335" s="42"/>
      <c r="JM335" s="42"/>
      <c r="JN335" s="42"/>
      <c r="JO335" s="42"/>
      <c r="JP335" s="42"/>
      <c r="JQ335" s="42"/>
      <c r="JR335" s="42"/>
      <c r="JS335" s="42"/>
      <c r="JT335" s="42"/>
      <c r="JU335" s="42"/>
      <c r="JV335" s="42"/>
      <c r="JW335" s="42"/>
      <c r="JX335" s="42"/>
      <c r="JY335" s="42"/>
      <c r="JZ335" s="42"/>
      <c r="KA335" s="42"/>
    </row>
    <row r="336" spans="1:287" ht="31.5">
      <c r="A336" s="13" t="s">
        <v>819</v>
      </c>
      <c r="B336" s="13" t="s">
        <v>797</v>
      </c>
      <c r="C336" s="15">
        <v>29.073049999999999</v>
      </c>
      <c r="D336" s="15">
        <v>-80.930610000000001</v>
      </c>
      <c r="I336" s="15">
        <v>1</v>
      </c>
      <c r="J336" s="18"/>
      <c r="Q336" s="18"/>
      <c r="R336" s="15">
        <v>29.07302</v>
      </c>
      <c r="S336" s="15">
        <v>-80.912000000000006</v>
      </c>
      <c r="V336" s="15">
        <v>3</v>
      </c>
      <c r="Y336" s="18"/>
      <c r="AF336" s="18"/>
      <c r="AG336" s="15">
        <v>29.069939999999999</v>
      </c>
      <c r="AH336" s="15">
        <v>-80.910150000000002</v>
      </c>
      <c r="AS336" s="15">
        <v>6</v>
      </c>
      <c r="AV336" s="15">
        <v>29.078189999999999</v>
      </c>
      <c r="AW336" s="15">
        <v>-80.92998</v>
      </c>
      <c r="AZ336" s="15">
        <v>720</v>
      </c>
      <c r="BD336" s="15">
        <v>9</v>
      </c>
      <c r="BK336" s="17"/>
      <c r="BZ336" s="17"/>
      <c r="CO336" s="17"/>
      <c r="DD336" s="17"/>
      <c r="DE336" s="17"/>
      <c r="DS336" s="17"/>
      <c r="DT336" s="17"/>
      <c r="EH336" s="17"/>
      <c r="EI336" s="17"/>
      <c r="EW336" s="17"/>
      <c r="EX336" s="17"/>
      <c r="FL336" s="17"/>
      <c r="FM336" s="17"/>
      <c r="GA336" s="17"/>
      <c r="GB336" s="17"/>
      <c r="GP336" s="17"/>
      <c r="GQ336" s="17"/>
      <c r="HE336" s="17"/>
      <c r="HF336" s="17"/>
      <c r="HT336" s="17"/>
      <c r="HU336" s="17"/>
      <c r="II336" s="42"/>
      <c r="IJ336" s="42"/>
      <c r="IK336" s="42"/>
      <c r="IL336" s="42"/>
      <c r="IM336" s="42"/>
      <c r="IN336" s="42"/>
      <c r="IO336" s="42"/>
      <c r="IP336" s="42"/>
      <c r="IQ336" s="42"/>
      <c r="IR336" s="42"/>
      <c r="IS336" s="42"/>
      <c r="IT336" s="42"/>
      <c r="IU336" s="42"/>
      <c r="IV336" s="42"/>
      <c r="IW336" s="42"/>
      <c r="IX336" s="42"/>
      <c r="IY336" s="42"/>
      <c r="IZ336" s="42"/>
      <c r="JA336" s="42"/>
      <c r="JB336" s="42"/>
      <c r="JC336" s="42"/>
      <c r="JD336" s="42"/>
      <c r="JE336" s="42"/>
      <c r="JF336" s="42"/>
      <c r="JG336" s="42"/>
      <c r="JH336" s="42"/>
      <c r="JI336" s="42"/>
      <c r="JJ336" s="42"/>
      <c r="JK336" s="42"/>
      <c r="JL336" s="42"/>
      <c r="JM336" s="42"/>
      <c r="JN336" s="42"/>
      <c r="JO336" s="42"/>
      <c r="JP336" s="42"/>
      <c r="JQ336" s="42"/>
      <c r="JR336" s="42"/>
      <c r="JS336" s="42"/>
      <c r="JT336" s="42"/>
      <c r="JU336" s="42"/>
      <c r="JV336" s="42"/>
      <c r="JW336" s="42"/>
      <c r="JX336" s="42"/>
      <c r="JY336" s="42"/>
      <c r="JZ336" s="42"/>
      <c r="KA336" s="42"/>
    </row>
    <row r="337" spans="1:287" ht="31.5">
      <c r="A337" s="20" t="s">
        <v>822</v>
      </c>
      <c r="B337" s="24" t="s">
        <v>797</v>
      </c>
      <c r="C337" s="17"/>
      <c r="J337" s="18"/>
      <c r="Q337" s="18"/>
      <c r="R337" s="17"/>
      <c r="Y337" s="18"/>
      <c r="AF337" s="18"/>
      <c r="AG337" s="17"/>
      <c r="AV337" s="17"/>
      <c r="BK337" s="17"/>
      <c r="BZ337" s="17"/>
      <c r="CO337" s="17"/>
      <c r="DD337" s="17"/>
      <c r="DE337" s="17"/>
      <c r="DS337" s="17"/>
      <c r="DT337" s="17"/>
      <c r="EH337" s="17"/>
      <c r="EI337" s="17"/>
      <c r="EW337" s="17"/>
      <c r="EX337" s="17"/>
      <c r="FL337" s="17"/>
      <c r="FM337" s="17"/>
      <c r="GA337" s="17"/>
      <c r="GB337" s="17"/>
      <c r="GP337" s="17"/>
      <c r="GQ337" s="17"/>
      <c r="HE337" s="17"/>
      <c r="HF337" s="17"/>
      <c r="HT337" s="17"/>
      <c r="HU337" s="17"/>
      <c r="II337" s="39"/>
      <c r="IJ337" s="39"/>
      <c r="IK337" s="39"/>
      <c r="IL337" s="39"/>
      <c r="IM337" s="39"/>
      <c r="IN337" s="39"/>
      <c r="IO337" s="39"/>
      <c r="IP337" s="39"/>
      <c r="IQ337" s="39"/>
      <c r="IR337" s="39"/>
      <c r="IS337" s="39"/>
      <c r="IT337" s="39"/>
      <c r="IU337" s="39"/>
      <c r="IV337" s="39"/>
      <c r="IW337" s="39"/>
      <c r="IX337" s="39"/>
      <c r="IY337" s="39"/>
      <c r="IZ337" s="39"/>
      <c r="JA337" s="39"/>
      <c r="JB337" s="39"/>
      <c r="JC337" s="39"/>
      <c r="JD337" s="39"/>
      <c r="JE337" s="39"/>
      <c r="JF337" s="39"/>
      <c r="JG337" s="39"/>
      <c r="JH337" s="39"/>
      <c r="JI337" s="39"/>
      <c r="JJ337" s="39"/>
      <c r="JK337" s="39"/>
      <c r="JL337" s="39"/>
      <c r="JM337" s="39"/>
      <c r="JN337" s="39"/>
      <c r="JO337" s="39"/>
      <c r="JP337" s="39"/>
      <c r="JQ337" s="39"/>
      <c r="JR337" s="39"/>
      <c r="JS337" s="39"/>
      <c r="JT337" s="39"/>
      <c r="JU337" s="39"/>
      <c r="JV337" s="39"/>
      <c r="JW337" s="39"/>
      <c r="JX337" s="39"/>
      <c r="JY337" s="39"/>
      <c r="JZ337" s="39"/>
      <c r="KA337" s="39"/>
    </row>
    <row r="338" spans="1:287" ht="63">
      <c r="A338" s="13" t="s">
        <v>823</v>
      </c>
      <c r="B338" s="13" t="s">
        <v>797</v>
      </c>
      <c r="C338" s="15">
        <v>29.377662999999998</v>
      </c>
      <c r="D338" s="15">
        <v>-81.079721800000002</v>
      </c>
      <c r="G338" s="15">
        <v>39</v>
      </c>
      <c r="J338" s="18"/>
      <c r="Q338" s="18"/>
      <c r="R338" s="15">
        <v>29.3619351</v>
      </c>
      <c r="S338" s="15">
        <v>-81.072220000000002</v>
      </c>
      <c r="V338" s="15">
        <v>7</v>
      </c>
      <c r="Y338" s="19"/>
      <c r="AF338" s="18"/>
      <c r="AG338" s="15">
        <v>29.341069999999998</v>
      </c>
      <c r="AH338" s="15">
        <v>-81.062332100000006</v>
      </c>
      <c r="AK338" s="15">
        <v>41</v>
      </c>
      <c r="AV338" s="15">
        <v>29.327039800000001</v>
      </c>
      <c r="AW338" s="15">
        <v>-81.0560811</v>
      </c>
      <c r="AZ338" s="15">
        <v>16</v>
      </c>
      <c r="BK338" s="15">
        <v>29.2482212</v>
      </c>
      <c r="BL338" s="15">
        <v>-81.017328599999999</v>
      </c>
      <c r="BO338" s="15">
        <v>32</v>
      </c>
      <c r="BZ338" s="15">
        <v>29.227111000000001</v>
      </c>
      <c r="CA338" s="15">
        <v>-81.019033300000004</v>
      </c>
      <c r="CD338" s="15">
        <v>25</v>
      </c>
      <c r="CO338" s="15">
        <v>29.218780899999999</v>
      </c>
      <c r="CP338" s="15">
        <v>-81.002664999999993</v>
      </c>
      <c r="CS338" s="15">
        <v>31</v>
      </c>
      <c r="DD338" s="15">
        <v>29.213100499999999</v>
      </c>
      <c r="DE338" s="15">
        <v>-80.999565000000004</v>
      </c>
      <c r="DH338" s="15">
        <v>22</v>
      </c>
      <c r="DS338" s="17"/>
      <c r="DT338" s="17"/>
      <c r="EH338" s="17"/>
      <c r="EI338" s="17"/>
      <c r="EW338" s="17"/>
      <c r="EX338" s="17"/>
      <c r="FL338" s="17"/>
      <c r="FM338" s="17"/>
      <c r="GA338" s="17"/>
      <c r="GB338" s="17"/>
      <c r="GP338" s="17"/>
      <c r="GQ338" s="17"/>
      <c r="HE338" s="17"/>
      <c r="HF338" s="17"/>
      <c r="HT338" s="17"/>
      <c r="HU338" s="17"/>
      <c r="II338" s="39"/>
      <c r="IJ338" s="39"/>
      <c r="IK338" s="39"/>
      <c r="IL338" s="42"/>
      <c r="IM338" s="42"/>
      <c r="IN338" s="42"/>
      <c r="IO338" s="42"/>
      <c r="IP338" s="42"/>
      <c r="IQ338" s="42"/>
      <c r="IR338" s="42"/>
      <c r="IS338" s="42"/>
      <c r="IT338" s="42"/>
      <c r="IU338" s="42"/>
      <c r="IV338" s="42"/>
      <c r="IW338" s="42"/>
      <c r="IX338" s="39"/>
      <c r="IY338" s="39"/>
      <c r="IZ338" s="39"/>
      <c r="JA338" s="39"/>
      <c r="JB338" s="42"/>
      <c r="JC338" s="42"/>
      <c r="JD338" s="42"/>
      <c r="JE338" s="42"/>
      <c r="JF338" s="42"/>
      <c r="JG338" s="42"/>
      <c r="JH338" s="42"/>
      <c r="JI338" s="42"/>
      <c r="JJ338" s="42"/>
      <c r="JK338" s="42"/>
      <c r="JL338" s="42"/>
      <c r="JM338" s="39"/>
      <c r="JN338" s="39"/>
      <c r="JO338" s="39"/>
      <c r="JP338" s="42"/>
      <c r="JQ338" s="42"/>
      <c r="JR338" s="42"/>
      <c r="JS338" s="42"/>
      <c r="JT338" s="42"/>
      <c r="JU338" s="42"/>
      <c r="JV338" s="42"/>
      <c r="JW338" s="42"/>
      <c r="JX338" s="42"/>
      <c r="JY338" s="42"/>
      <c r="JZ338" s="42"/>
      <c r="KA338" s="39"/>
    </row>
    <row r="339" spans="1:287">
      <c r="A339" s="35" t="s">
        <v>827</v>
      </c>
      <c r="B339" s="13" t="s">
        <v>828</v>
      </c>
      <c r="C339" s="15">
        <v>29.978649999999998</v>
      </c>
      <c r="D339" s="15">
        <v>-84.350930000000005</v>
      </c>
      <c r="E339" s="15">
        <v>2</v>
      </c>
      <c r="F339" s="15" t="s">
        <v>1512</v>
      </c>
      <c r="J339" s="19"/>
      <c r="Q339" s="19"/>
      <c r="R339" s="17"/>
      <c r="Y339" s="19"/>
      <c r="AF339" s="19"/>
      <c r="AG339" s="17"/>
      <c r="AV339" s="17"/>
      <c r="BK339" s="17"/>
      <c r="BZ339" s="17"/>
      <c r="CO339" s="17"/>
      <c r="DD339" s="17"/>
      <c r="DE339" s="17"/>
      <c r="DS339" s="17"/>
      <c r="DT339" s="17"/>
      <c r="EH339" s="17"/>
      <c r="EI339" s="17"/>
      <c r="EW339" s="17"/>
      <c r="EX339" s="17"/>
      <c r="FL339" s="17"/>
      <c r="FM339" s="17"/>
      <c r="GA339" s="17"/>
      <c r="GB339" s="17"/>
      <c r="GP339" s="17"/>
      <c r="GQ339" s="17"/>
      <c r="HE339" s="17"/>
      <c r="HF339" s="17"/>
      <c r="HT339" s="17"/>
      <c r="HU339" s="17"/>
      <c r="II339" s="42"/>
      <c r="IJ339" s="42"/>
      <c r="IK339" s="42"/>
      <c r="IL339" s="42"/>
      <c r="IM339" s="42"/>
      <c r="IN339" s="42"/>
      <c r="IO339" s="42"/>
      <c r="IP339" s="42"/>
      <c r="IQ339" s="42"/>
      <c r="IR339" s="42"/>
      <c r="IS339" s="42"/>
      <c r="IT339" s="42"/>
      <c r="IU339" s="42"/>
      <c r="IV339" s="42"/>
      <c r="IW339" s="42"/>
      <c r="IX339" s="42"/>
      <c r="IY339" s="42"/>
      <c r="IZ339" s="42"/>
      <c r="JA339" s="42"/>
      <c r="JB339" s="42"/>
      <c r="JC339" s="42"/>
      <c r="JD339" s="42"/>
      <c r="JE339" s="42"/>
      <c r="JF339" s="42"/>
      <c r="JG339" s="42"/>
      <c r="JH339" s="42"/>
      <c r="JI339" s="42"/>
      <c r="JJ339" s="42"/>
      <c r="JK339" s="42"/>
      <c r="JL339" s="42"/>
      <c r="JM339" s="42"/>
      <c r="JN339" s="42"/>
      <c r="JO339" s="42"/>
      <c r="JP339" s="42"/>
      <c r="JQ339" s="42"/>
      <c r="JR339" s="42"/>
      <c r="JS339" s="42"/>
      <c r="JT339" s="42"/>
      <c r="JU339" s="42"/>
      <c r="JV339" s="42"/>
      <c r="JW339" s="42"/>
      <c r="JX339" s="42"/>
      <c r="JY339" s="42"/>
      <c r="JZ339" s="42"/>
      <c r="KA339" s="42"/>
    </row>
    <row r="340" spans="1:287" ht="77.25">
      <c r="A340" s="35" t="s">
        <v>829</v>
      </c>
      <c r="B340" s="13" t="s">
        <v>828</v>
      </c>
      <c r="C340" s="15">
        <v>30.111480700000001</v>
      </c>
      <c r="D340" s="15">
        <v>-84.132629699999995</v>
      </c>
      <c r="J340" s="19"/>
      <c r="Q340" s="18" t="s">
        <v>1513</v>
      </c>
      <c r="R340" s="15">
        <v>30.0916991</v>
      </c>
      <c r="S340" s="15">
        <v>-84.155352199999996</v>
      </c>
      <c r="Y340" s="19"/>
      <c r="AF340" s="18" t="s">
        <v>1514</v>
      </c>
      <c r="AG340" s="15">
        <v>30.0882231</v>
      </c>
      <c r="AH340" s="15">
        <v>-84.159671000000003</v>
      </c>
      <c r="AU340" s="15" t="s">
        <v>1515</v>
      </c>
      <c r="AV340" s="15">
        <v>30.0803397</v>
      </c>
      <c r="AW340" s="15">
        <v>-84.172062400000002</v>
      </c>
      <c r="BJ340" s="15" t="s">
        <v>1516</v>
      </c>
      <c r="II340" s="42"/>
      <c r="IJ340" s="42"/>
      <c r="IK340" s="42"/>
      <c r="IL340" s="42"/>
      <c r="IM340" s="42"/>
      <c r="IN340" s="42"/>
      <c r="IO340" s="42"/>
      <c r="IP340" s="42"/>
      <c r="IQ340" s="42"/>
      <c r="IR340" s="42"/>
      <c r="IS340" s="42"/>
      <c r="IT340" s="42"/>
      <c r="IU340" s="42"/>
      <c r="IV340" s="42"/>
      <c r="IW340" s="42"/>
      <c r="IX340" s="42"/>
      <c r="IY340" s="42"/>
      <c r="IZ340" s="42"/>
      <c r="JA340" s="42"/>
      <c r="JB340" s="42"/>
      <c r="JC340" s="42"/>
      <c r="JD340" s="42"/>
      <c r="JE340" s="42"/>
      <c r="JF340" s="42"/>
      <c r="JG340" s="42"/>
      <c r="JH340" s="42"/>
      <c r="JI340" s="42"/>
      <c r="JJ340" s="42"/>
      <c r="JK340" s="42"/>
      <c r="JL340" s="42"/>
      <c r="JM340" s="42"/>
      <c r="JN340" s="42"/>
      <c r="JO340" s="42"/>
      <c r="JP340" s="42"/>
      <c r="JQ340" s="42"/>
      <c r="JR340" s="42"/>
      <c r="JS340" s="42"/>
      <c r="JT340" s="42"/>
      <c r="JU340" s="42"/>
      <c r="JV340" s="42"/>
      <c r="JW340" s="42"/>
      <c r="JX340" s="42"/>
      <c r="JY340" s="42"/>
      <c r="JZ340" s="42"/>
      <c r="KA340" s="42"/>
    </row>
    <row r="341" spans="1:287" ht="77.25">
      <c r="A341" s="35" t="s">
        <v>832</v>
      </c>
      <c r="B341" s="13" t="s">
        <v>828</v>
      </c>
      <c r="C341" s="108">
        <v>30.02627</v>
      </c>
      <c r="D341" s="108">
        <v>-84.364459999999994</v>
      </c>
      <c r="E341" s="15">
        <v>0</v>
      </c>
      <c r="F341" s="15">
        <v>0</v>
      </c>
      <c r="G341" s="15">
        <v>0</v>
      </c>
      <c r="H341" s="15">
        <v>0</v>
      </c>
      <c r="I341" s="15">
        <v>0</v>
      </c>
      <c r="J341" s="18">
        <v>0</v>
      </c>
      <c r="K341" s="15">
        <v>0</v>
      </c>
      <c r="L341" s="15">
        <v>0</v>
      </c>
      <c r="M341" s="15">
        <v>0</v>
      </c>
      <c r="N341" s="15">
        <v>0</v>
      </c>
      <c r="O341" s="15">
        <v>0</v>
      </c>
      <c r="P341" s="15">
        <v>0</v>
      </c>
      <c r="Q341" s="18" t="s">
        <v>1517</v>
      </c>
      <c r="R341" s="15">
        <v>30.030149999999999</v>
      </c>
      <c r="S341" s="15">
        <v>-84.364750000000001</v>
      </c>
      <c r="T341" s="15">
        <v>0</v>
      </c>
      <c r="U341" s="15">
        <v>0</v>
      </c>
      <c r="V341" s="15">
        <v>0</v>
      </c>
      <c r="W341" s="15">
        <v>0</v>
      </c>
      <c r="X341" s="15">
        <v>0</v>
      </c>
      <c r="Y341" s="18">
        <v>0</v>
      </c>
      <c r="Z341" s="15">
        <v>0</v>
      </c>
      <c r="AA341" s="15">
        <v>0</v>
      </c>
      <c r="AB341" s="15">
        <v>0</v>
      </c>
      <c r="AC341" s="15">
        <v>0</v>
      </c>
      <c r="AD341" s="15">
        <v>0</v>
      </c>
      <c r="AE341" s="15">
        <v>0</v>
      </c>
      <c r="AF341" s="18" t="s">
        <v>1518</v>
      </c>
      <c r="AG341" s="15">
        <v>30.027740000000001</v>
      </c>
      <c r="AH341" s="15">
        <v>-84.360979999999998</v>
      </c>
      <c r="AI341" s="15">
        <v>1</v>
      </c>
      <c r="AJ341" s="15">
        <v>0</v>
      </c>
      <c r="AK341" s="15">
        <v>0</v>
      </c>
      <c r="AL341" s="15">
        <v>0</v>
      </c>
      <c r="AM341" s="15">
        <v>0</v>
      </c>
      <c r="AN341" s="15">
        <v>0</v>
      </c>
      <c r="AO341" s="15">
        <v>0</v>
      </c>
      <c r="AP341" s="15">
        <v>0</v>
      </c>
      <c r="AQ341" s="15">
        <v>0</v>
      </c>
      <c r="AR341" s="15">
        <v>0</v>
      </c>
      <c r="AS341" s="15">
        <v>0</v>
      </c>
      <c r="AT341" s="15">
        <v>0</v>
      </c>
      <c r="AU341" s="15">
        <v>0</v>
      </c>
      <c r="AV341" s="15">
        <v>30.027740000000001</v>
      </c>
      <c r="AW341" s="15">
        <v>-84.360119999999995</v>
      </c>
      <c r="AX341" s="15">
        <v>0</v>
      </c>
      <c r="AY341" s="15">
        <v>0</v>
      </c>
      <c r="AZ341" s="15">
        <v>0</v>
      </c>
      <c r="BA341" s="15">
        <v>0</v>
      </c>
      <c r="BB341" s="15">
        <v>0</v>
      </c>
      <c r="BC341" s="15">
        <v>0</v>
      </c>
      <c r="BD341" s="15">
        <v>0</v>
      </c>
      <c r="BE341" s="15">
        <v>0</v>
      </c>
      <c r="BF341" s="15">
        <v>0</v>
      </c>
      <c r="BG341" s="15">
        <v>0</v>
      </c>
      <c r="BH341" s="15">
        <v>0</v>
      </c>
      <c r="BI341" s="15">
        <v>0</v>
      </c>
      <c r="BJ341" s="15" t="s">
        <v>1519</v>
      </c>
      <c r="BK341" s="15">
        <v>30.041620000000002</v>
      </c>
      <c r="BL341" s="15">
        <v>-84.354569999999995</v>
      </c>
      <c r="BM341" s="15">
        <v>2</v>
      </c>
      <c r="BN341" s="15">
        <v>0</v>
      </c>
      <c r="BO341" s="15">
        <v>0</v>
      </c>
      <c r="BP341" s="15">
        <v>0</v>
      </c>
      <c r="BQ341" s="15">
        <v>0</v>
      </c>
      <c r="BR341" s="15">
        <v>0</v>
      </c>
      <c r="BS341" s="15">
        <v>0</v>
      </c>
      <c r="BT341" s="15">
        <v>0</v>
      </c>
      <c r="BU341" s="15">
        <v>0</v>
      </c>
      <c r="BV341" s="15">
        <v>0</v>
      </c>
      <c r="BW341" s="15">
        <v>0</v>
      </c>
      <c r="BX341" s="15">
        <v>0</v>
      </c>
      <c r="BY341" s="15">
        <v>0</v>
      </c>
      <c r="BZ341" s="15">
        <v>30.0366</v>
      </c>
      <c r="CA341" s="15">
        <v>-84.352320000000006</v>
      </c>
      <c r="CB341" s="15">
        <v>0</v>
      </c>
      <c r="CC341" s="15">
        <v>0</v>
      </c>
      <c r="CD341" s="15">
        <v>0</v>
      </c>
      <c r="CE341" s="15">
        <v>0</v>
      </c>
      <c r="CF341" s="15">
        <v>0</v>
      </c>
      <c r="CG341" s="15">
        <v>0</v>
      </c>
      <c r="CH341" s="15">
        <v>0</v>
      </c>
      <c r="CI341" s="15">
        <v>0</v>
      </c>
      <c r="CJ341" s="15">
        <v>0</v>
      </c>
      <c r="CK341" s="15">
        <v>0</v>
      </c>
      <c r="CL341" s="15">
        <v>0</v>
      </c>
      <c r="CM341" s="15">
        <v>0</v>
      </c>
      <c r="CN341" s="15" t="s">
        <v>1520</v>
      </c>
      <c r="CO341" s="15">
        <v>30.055879999999998</v>
      </c>
      <c r="CP341" s="15">
        <v>-84.345569999999995</v>
      </c>
      <c r="CQ341" s="15">
        <v>2</v>
      </c>
      <c r="CR341" s="15" t="s">
        <v>1521</v>
      </c>
      <c r="CS341" s="15">
        <v>0</v>
      </c>
      <c r="CT341" s="15">
        <v>0</v>
      </c>
      <c r="CU341" s="15">
        <v>0</v>
      </c>
      <c r="CV341" s="15">
        <v>0</v>
      </c>
      <c r="CW341" s="15">
        <v>0</v>
      </c>
      <c r="CX341" s="15">
        <v>0</v>
      </c>
      <c r="CY341" s="15">
        <v>0</v>
      </c>
      <c r="CZ341" s="15">
        <v>0</v>
      </c>
      <c r="DA341" s="15">
        <v>0</v>
      </c>
      <c r="DB341" s="15">
        <v>0</v>
      </c>
      <c r="DC341" s="15">
        <v>0</v>
      </c>
      <c r="DD341" s="15">
        <v>30.062010000000001</v>
      </c>
      <c r="DE341" s="15">
        <v>-84.345569999999995</v>
      </c>
      <c r="DF341" s="15">
        <v>2</v>
      </c>
      <c r="DG341" s="15">
        <v>0</v>
      </c>
      <c r="DH341" s="15">
        <v>0</v>
      </c>
      <c r="DI341" s="15">
        <v>0</v>
      </c>
      <c r="DJ341" s="15">
        <v>0</v>
      </c>
      <c r="DK341" s="15">
        <v>0</v>
      </c>
      <c r="DL341" s="15">
        <v>0</v>
      </c>
      <c r="DM341" s="15">
        <v>0</v>
      </c>
      <c r="DN341" s="15">
        <v>0</v>
      </c>
      <c r="DO341" s="15">
        <v>0</v>
      </c>
      <c r="DP341" s="15">
        <v>0</v>
      </c>
      <c r="DQ341" s="15">
        <v>0</v>
      </c>
      <c r="DR341" s="15">
        <v>0</v>
      </c>
      <c r="DS341" s="15">
        <v>30.066310000000001</v>
      </c>
      <c r="DT341" s="15">
        <v>-84.338099999999997</v>
      </c>
      <c r="DU341" s="15">
        <v>2</v>
      </c>
      <c r="DV341" s="15">
        <v>0</v>
      </c>
      <c r="DW341" s="15">
        <v>0</v>
      </c>
      <c r="DX341" s="15">
        <v>0</v>
      </c>
      <c r="DY341" s="15">
        <v>0</v>
      </c>
      <c r="DZ341" s="15">
        <v>0</v>
      </c>
      <c r="EA341" s="15">
        <v>0</v>
      </c>
      <c r="EB341" s="15">
        <v>0</v>
      </c>
      <c r="EC341" s="15">
        <v>0</v>
      </c>
      <c r="ED341" s="15">
        <v>0</v>
      </c>
      <c r="EE341" s="15">
        <v>0</v>
      </c>
      <c r="EF341" s="15">
        <v>0</v>
      </c>
      <c r="EG341" s="15">
        <v>0</v>
      </c>
      <c r="EH341" s="15">
        <v>30.069389999999999</v>
      </c>
      <c r="EI341" s="15">
        <v>-84.337909999999994</v>
      </c>
      <c r="EJ341" s="15">
        <v>2</v>
      </c>
      <c r="EK341" s="15">
        <v>0</v>
      </c>
      <c r="EL341" s="15">
        <v>0</v>
      </c>
      <c r="EM341" s="15">
        <v>0</v>
      </c>
      <c r="EN341" s="15">
        <v>0</v>
      </c>
      <c r="EO341" s="15">
        <v>0</v>
      </c>
      <c r="EP341" s="15">
        <v>0</v>
      </c>
      <c r="EQ341" s="15">
        <v>0</v>
      </c>
      <c r="ER341" s="15">
        <v>0</v>
      </c>
      <c r="ES341" s="15">
        <v>0</v>
      </c>
      <c r="ET341" s="15">
        <v>0</v>
      </c>
      <c r="EU341" s="15">
        <v>0</v>
      </c>
      <c r="EV341" s="15">
        <v>0</v>
      </c>
      <c r="EW341" s="15">
        <v>30.065329999999999</v>
      </c>
      <c r="EX341" s="15">
        <v>-84.311239999999998</v>
      </c>
      <c r="EY341" s="15">
        <v>2</v>
      </c>
      <c r="EZ341" s="15">
        <v>0</v>
      </c>
      <c r="FA341" s="15">
        <v>0</v>
      </c>
      <c r="FB341" s="15">
        <v>0</v>
      </c>
      <c r="FC341" s="15">
        <v>0</v>
      </c>
      <c r="FD341" s="15">
        <v>0</v>
      </c>
      <c r="FE341" s="15">
        <v>0</v>
      </c>
      <c r="FF341" s="15">
        <v>0</v>
      </c>
      <c r="FG341" s="15">
        <v>0</v>
      </c>
      <c r="FH341" s="15">
        <v>0</v>
      </c>
      <c r="FI341" s="15">
        <v>0</v>
      </c>
      <c r="FJ341" s="15">
        <v>0</v>
      </c>
      <c r="FK341" s="15">
        <v>0</v>
      </c>
      <c r="FL341" s="15">
        <v>30.063939999999999</v>
      </c>
      <c r="FM341" s="15">
        <v>-84.317279999999997</v>
      </c>
      <c r="FN341" s="15">
        <v>2</v>
      </c>
      <c r="FO341" s="15">
        <v>0</v>
      </c>
      <c r="FP341" s="15">
        <v>0</v>
      </c>
      <c r="FQ341" s="15">
        <v>0</v>
      </c>
      <c r="FR341" s="15">
        <v>0</v>
      </c>
      <c r="FS341" s="15">
        <v>0</v>
      </c>
      <c r="FT341" s="15">
        <v>0</v>
      </c>
      <c r="FU341" s="15">
        <v>0</v>
      </c>
      <c r="FV341" s="15">
        <v>0</v>
      </c>
      <c r="FW341" s="15">
        <v>0</v>
      </c>
      <c r="FX341" s="15">
        <v>0</v>
      </c>
      <c r="FY341" s="15">
        <v>0</v>
      </c>
      <c r="FZ341" s="15">
        <v>0</v>
      </c>
      <c r="GA341" s="15">
        <v>30.060700000000001</v>
      </c>
      <c r="GB341" s="15">
        <v>-84.313869999999994</v>
      </c>
      <c r="GC341" s="15">
        <v>3</v>
      </c>
      <c r="GD341" s="15">
        <v>0</v>
      </c>
      <c r="GE341" s="15">
        <v>0</v>
      </c>
      <c r="GF341" s="15">
        <v>0</v>
      </c>
      <c r="GG341" s="15">
        <v>0</v>
      </c>
      <c r="GH341" s="15">
        <v>0</v>
      </c>
      <c r="GI341" s="15">
        <v>0</v>
      </c>
      <c r="GJ341" s="15">
        <v>0</v>
      </c>
      <c r="GK341" s="15">
        <v>0</v>
      </c>
      <c r="GL341" s="15">
        <v>0</v>
      </c>
      <c r="GM341" s="15">
        <v>0</v>
      </c>
      <c r="GN341" s="15">
        <v>0</v>
      </c>
      <c r="GO341" s="15">
        <v>0</v>
      </c>
      <c r="GP341" s="15">
        <v>30.061209999999999</v>
      </c>
      <c r="GQ341" s="15">
        <v>-84.310130000000001</v>
      </c>
      <c r="GR341" s="15">
        <v>2</v>
      </c>
      <c r="GS341" s="15">
        <v>0</v>
      </c>
      <c r="GT341" s="15">
        <v>0</v>
      </c>
      <c r="GU341" s="15">
        <v>0</v>
      </c>
      <c r="GV341" s="15">
        <v>0</v>
      </c>
      <c r="GW341" s="15">
        <v>0</v>
      </c>
      <c r="GX341" s="15">
        <v>0</v>
      </c>
      <c r="GY341" s="15">
        <v>0</v>
      </c>
      <c r="GZ341" s="15">
        <v>0</v>
      </c>
      <c r="HA341" s="15">
        <v>0</v>
      </c>
      <c r="HB341" s="15">
        <v>0</v>
      </c>
      <c r="HC341" s="15">
        <v>0</v>
      </c>
      <c r="HD341" s="15">
        <v>0</v>
      </c>
      <c r="HE341" s="15">
        <v>30.0611</v>
      </c>
      <c r="HF341" s="15">
        <v>-84.306229999999999</v>
      </c>
      <c r="HG341" s="15">
        <v>6</v>
      </c>
      <c r="HH341" s="15">
        <v>0</v>
      </c>
      <c r="HI341" s="15">
        <v>0</v>
      </c>
      <c r="HJ341" s="15">
        <v>0</v>
      </c>
      <c r="HK341" s="15">
        <v>0</v>
      </c>
      <c r="HL341" s="15">
        <v>0</v>
      </c>
      <c r="HM341" s="15">
        <v>0</v>
      </c>
      <c r="HN341" s="15">
        <v>0</v>
      </c>
      <c r="HO341" s="15">
        <v>0</v>
      </c>
      <c r="HP341" s="15">
        <v>0</v>
      </c>
      <c r="HQ341" s="15">
        <v>0</v>
      </c>
      <c r="HR341" s="15">
        <v>0</v>
      </c>
      <c r="HS341" s="15">
        <v>0</v>
      </c>
      <c r="HT341" s="15">
        <v>30.05913</v>
      </c>
      <c r="HU341" s="15">
        <v>-84.310249999999996</v>
      </c>
      <c r="HV341" s="15">
        <v>2</v>
      </c>
      <c r="HW341" s="15">
        <v>0</v>
      </c>
      <c r="HX341" s="15">
        <v>0</v>
      </c>
      <c r="HY341" s="15">
        <v>0</v>
      </c>
      <c r="HZ341" s="15">
        <v>0</v>
      </c>
      <c r="IA341" s="15">
        <v>0</v>
      </c>
      <c r="IB341" s="15">
        <v>0</v>
      </c>
      <c r="IC341" s="15">
        <v>0</v>
      </c>
      <c r="ID341" s="15">
        <v>0</v>
      </c>
      <c r="IE341" s="15">
        <v>0</v>
      </c>
      <c r="IF341" s="15">
        <v>0</v>
      </c>
      <c r="IG341" s="15">
        <v>0</v>
      </c>
      <c r="IH341" s="15">
        <v>0</v>
      </c>
      <c r="II341" s="39">
        <v>30.05517</v>
      </c>
      <c r="IJ341" s="39">
        <v>-84.313370000000006</v>
      </c>
      <c r="IK341" s="39">
        <v>2</v>
      </c>
      <c r="IL341" s="39">
        <v>0</v>
      </c>
      <c r="IM341" s="39">
        <v>0</v>
      </c>
      <c r="IN341" s="39">
        <v>0</v>
      </c>
      <c r="IO341" s="39">
        <v>0</v>
      </c>
      <c r="IP341" s="39">
        <v>0</v>
      </c>
      <c r="IQ341" s="39">
        <v>0</v>
      </c>
      <c r="IR341" s="39">
        <v>0</v>
      </c>
      <c r="IS341" s="39">
        <v>0</v>
      </c>
      <c r="IT341" s="39">
        <v>0</v>
      </c>
      <c r="IU341" s="39">
        <v>0</v>
      </c>
      <c r="IV341" s="39">
        <v>0</v>
      </c>
      <c r="IW341" s="39">
        <v>0</v>
      </c>
      <c r="IX341" s="39">
        <v>30.057210000000001</v>
      </c>
      <c r="IY341" s="39">
        <v>-84.316500000000005</v>
      </c>
      <c r="IZ341" s="39">
        <v>1</v>
      </c>
      <c r="JA341" s="39">
        <v>0</v>
      </c>
      <c r="JB341" s="39">
        <v>0</v>
      </c>
      <c r="JC341" s="39">
        <v>0</v>
      </c>
      <c r="JD341" s="39">
        <v>0</v>
      </c>
      <c r="JE341" s="39">
        <v>0</v>
      </c>
      <c r="JF341" s="39">
        <v>0</v>
      </c>
      <c r="JG341" s="39">
        <v>0</v>
      </c>
      <c r="JH341" s="39">
        <v>0</v>
      </c>
      <c r="JI341" s="39">
        <v>0</v>
      </c>
      <c r="JJ341" s="39">
        <v>0</v>
      </c>
      <c r="JK341" s="39">
        <v>0</v>
      </c>
      <c r="JL341" s="39">
        <v>0</v>
      </c>
      <c r="JM341" s="39">
        <v>30.052769999999999</v>
      </c>
      <c r="JN341" s="39">
        <v>-84.316119999999998</v>
      </c>
      <c r="JO341" s="39">
        <v>1</v>
      </c>
      <c r="JP341" s="39">
        <v>0</v>
      </c>
      <c r="JQ341" s="39">
        <v>0</v>
      </c>
      <c r="JR341" s="39">
        <v>0</v>
      </c>
      <c r="JS341" s="39">
        <v>0</v>
      </c>
      <c r="JT341" s="39">
        <v>0</v>
      </c>
      <c r="JU341" s="39">
        <v>0</v>
      </c>
      <c r="JV341" s="39">
        <v>0</v>
      </c>
      <c r="JW341" s="39">
        <v>0</v>
      </c>
      <c r="JX341" s="39">
        <v>0</v>
      </c>
      <c r="JY341" s="39">
        <v>0</v>
      </c>
      <c r="JZ341" s="39">
        <v>0</v>
      </c>
      <c r="KA341" s="39">
        <v>0</v>
      </c>
    </row>
    <row r="342" spans="1:287">
      <c r="A342" s="31" t="s">
        <v>833</v>
      </c>
      <c r="B342" s="35" t="s">
        <v>834</v>
      </c>
      <c r="J342" s="19"/>
      <c r="Q342" s="19"/>
      <c r="Y342" s="19"/>
      <c r="AF342" s="19"/>
      <c r="II342" s="42"/>
      <c r="IJ342" s="42"/>
      <c r="IK342" s="42"/>
      <c r="IL342" s="42"/>
      <c r="IM342" s="42"/>
      <c r="IN342" s="42"/>
      <c r="IO342" s="42"/>
      <c r="IP342" s="42"/>
      <c r="IQ342" s="42"/>
      <c r="IR342" s="42"/>
      <c r="IS342" s="42"/>
      <c r="IT342" s="42"/>
      <c r="IU342" s="42"/>
      <c r="IV342" s="42"/>
      <c r="IW342" s="42"/>
      <c r="IX342" s="42"/>
      <c r="IY342" s="42"/>
      <c r="IZ342" s="42"/>
      <c r="JA342" s="42"/>
      <c r="JB342" s="42"/>
      <c r="JC342" s="42"/>
      <c r="JD342" s="42"/>
      <c r="JE342" s="42"/>
      <c r="JF342" s="42"/>
      <c r="JG342" s="42"/>
      <c r="JH342" s="42"/>
      <c r="JI342" s="42"/>
      <c r="JJ342" s="42"/>
      <c r="JK342" s="42"/>
      <c r="JL342" s="42"/>
      <c r="JM342" s="42"/>
      <c r="JN342" s="42"/>
      <c r="JO342" s="42"/>
      <c r="JP342" s="42"/>
      <c r="JQ342" s="42"/>
      <c r="JR342" s="42"/>
      <c r="JS342" s="42"/>
      <c r="JT342" s="42"/>
      <c r="JU342" s="42"/>
      <c r="JV342" s="42"/>
      <c r="JW342" s="42"/>
      <c r="JX342" s="42"/>
      <c r="JY342" s="42"/>
      <c r="JZ342" s="42"/>
      <c r="KA342" s="42"/>
    </row>
    <row r="343" spans="1:287">
      <c r="A343" s="35" t="s">
        <v>835</v>
      </c>
      <c r="B343" s="35" t="s">
        <v>834</v>
      </c>
      <c r="C343" s="17"/>
      <c r="J343" s="18"/>
      <c r="Q343" s="18"/>
      <c r="R343" s="17"/>
      <c r="Y343" s="19"/>
      <c r="AF343" s="19"/>
      <c r="AG343" s="17"/>
      <c r="AV343" s="17"/>
      <c r="BK343" s="17"/>
      <c r="BZ343" s="17"/>
      <c r="CO343" s="17"/>
      <c r="DD343" s="17"/>
      <c r="DE343" s="17"/>
      <c r="DS343" s="17"/>
      <c r="DT343" s="17"/>
      <c r="EH343" s="17"/>
      <c r="EI343" s="17"/>
      <c r="EW343" s="17"/>
      <c r="EX343" s="17"/>
      <c r="FL343" s="17"/>
      <c r="FM343" s="17"/>
      <c r="GA343" s="17"/>
      <c r="GB343" s="17"/>
      <c r="GP343" s="17"/>
      <c r="GQ343" s="17"/>
      <c r="HE343" s="17"/>
      <c r="HF343" s="17"/>
      <c r="HT343" s="17"/>
      <c r="HU343" s="17"/>
      <c r="II343" s="42"/>
      <c r="IJ343" s="42"/>
      <c r="IK343" s="42"/>
      <c r="IL343" s="42"/>
      <c r="IM343" s="42"/>
      <c r="IN343" s="42"/>
      <c r="IO343" s="42"/>
      <c r="IP343" s="42"/>
      <c r="IQ343" s="42"/>
      <c r="IR343" s="42"/>
      <c r="IS343" s="42"/>
      <c r="IT343" s="42"/>
      <c r="IU343" s="42"/>
      <c r="IV343" s="42"/>
      <c r="IW343" s="42"/>
      <c r="IX343" s="42"/>
      <c r="IY343" s="42"/>
      <c r="IZ343" s="42"/>
      <c r="JA343" s="42"/>
      <c r="JB343" s="42"/>
      <c r="JC343" s="42"/>
      <c r="JD343" s="42"/>
      <c r="JE343" s="42"/>
      <c r="JF343" s="42"/>
      <c r="JG343" s="42"/>
      <c r="JH343" s="42"/>
      <c r="JI343" s="42"/>
      <c r="JJ343" s="42"/>
      <c r="JK343" s="42"/>
      <c r="JL343" s="42"/>
      <c r="JM343" s="42"/>
      <c r="JN343" s="42"/>
      <c r="JO343" s="42"/>
      <c r="JP343" s="42"/>
      <c r="JQ343" s="42"/>
      <c r="JR343" s="42"/>
      <c r="JS343" s="42"/>
      <c r="JT343" s="42"/>
      <c r="JU343" s="42"/>
      <c r="JV343" s="42"/>
      <c r="JW343" s="42"/>
      <c r="JX343" s="42"/>
      <c r="JY343" s="42"/>
      <c r="JZ343" s="42"/>
      <c r="KA343" s="42"/>
    </row>
    <row r="344" spans="1:287">
      <c r="A344" s="86" t="s">
        <v>836</v>
      </c>
      <c r="B344" s="35" t="s">
        <v>834</v>
      </c>
      <c r="C344" s="17"/>
      <c r="J344" s="19"/>
      <c r="Q344" s="19"/>
      <c r="R344" s="17"/>
      <c r="Y344" s="19"/>
      <c r="AF344" s="19"/>
      <c r="AG344" s="17"/>
      <c r="AV344" s="17"/>
      <c r="BK344" s="17"/>
      <c r="BZ344" s="17"/>
      <c r="CO344" s="17"/>
      <c r="DD344" s="17"/>
      <c r="DE344" s="17"/>
      <c r="DS344" s="17"/>
      <c r="DT344" s="17"/>
      <c r="EH344" s="17"/>
      <c r="EI344" s="17"/>
      <c r="EW344" s="17"/>
      <c r="EX344" s="17"/>
      <c r="FL344" s="17"/>
      <c r="FM344" s="17"/>
      <c r="GA344" s="17"/>
      <c r="GB344" s="17"/>
      <c r="GP344" s="17"/>
      <c r="GQ344" s="17"/>
      <c r="HE344" s="17"/>
      <c r="HF344" s="17"/>
      <c r="HT344" s="17"/>
      <c r="HU344" s="17"/>
      <c r="II344" s="42"/>
      <c r="IJ344" s="42"/>
      <c r="IK344" s="42"/>
      <c r="IL344" s="42"/>
      <c r="IM344" s="42"/>
      <c r="IN344" s="42"/>
      <c r="IO344" s="42"/>
      <c r="IP344" s="42"/>
      <c r="IQ344" s="42"/>
      <c r="IR344" s="42"/>
      <c r="IS344" s="42"/>
      <c r="IT344" s="42"/>
      <c r="IU344" s="42"/>
      <c r="IV344" s="42"/>
      <c r="IW344" s="42"/>
      <c r="IX344" s="42"/>
      <c r="IY344" s="42"/>
      <c r="IZ344" s="42"/>
      <c r="JA344" s="42"/>
      <c r="JB344" s="42"/>
      <c r="JC344" s="42"/>
      <c r="JD344" s="42"/>
      <c r="JE344" s="42"/>
      <c r="JF344" s="42"/>
      <c r="JG344" s="42"/>
      <c r="JH344" s="42"/>
      <c r="JI344" s="42"/>
      <c r="JJ344" s="42"/>
      <c r="JK344" s="42"/>
      <c r="JL344" s="42"/>
      <c r="JM344" s="42"/>
      <c r="JN344" s="42"/>
      <c r="JO344" s="42"/>
      <c r="JP344" s="42"/>
      <c r="JQ344" s="42"/>
      <c r="JR344" s="42"/>
      <c r="JS344" s="42"/>
      <c r="JT344" s="42"/>
      <c r="JU344" s="42"/>
      <c r="JV344" s="42"/>
      <c r="JW344" s="42"/>
      <c r="JX344" s="42"/>
      <c r="JY344" s="42"/>
      <c r="JZ344" s="42"/>
      <c r="KA344" s="42"/>
    </row>
    <row r="345" spans="1:287">
      <c r="A345" s="29" t="s">
        <v>837</v>
      </c>
      <c r="B345" s="31" t="s">
        <v>834</v>
      </c>
      <c r="J345" s="19"/>
      <c r="Q345" s="19"/>
      <c r="Y345" s="19"/>
      <c r="AF345" s="19"/>
      <c r="II345" s="42"/>
      <c r="IJ345" s="42"/>
      <c r="IK345" s="42"/>
      <c r="IL345" s="42"/>
      <c r="IM345" s="42"/>
      <c r="IN345" s="42"/>
      <c r="IO345" s="42"/>
      <c r="IP345" s="42"/>
      <c r="IQ345" s="42"/>
      <c r="IR345" s="42"/>
      <c r="IS345" s="42"/>
      <c r="IT345" s="42"/>
      <c r="IU345" s="42"/>
      <c r="IV345" s="42"/>
      <c r="IW345" s="42"/>
      <c r="IX345" s="42"/>
      <c r="IY345" s="42"/>
      <c r="IZ345" s="42"/>
      <c r="JA345" s="42"/>
      <c r="JB345" s="42"/>
      <c r="JC345" s="42"/>
      <c r="JD345" s="42"/>
      <c r="JE345" s="42"/>
      <c r="JF345" s="42"/>
      <c r="JG345" s="42"/>
      <c r="JH345" s="42"/>
      <c r="JI345" s="42"/>
      <c r="JJ345" s="42"/>
      <c r="JK345" s="42"/>
      <c r="JL345" s="42"/>
      <c r="JM345" s="42"/>
      <c r="JN345" s="42"/>
      <c r="JO345" s="42"/>
      <c r="JP345" s="42"/>
      <c r="JQ345" s="42"/>
      <c r="JR345" s="42"/>
      <c r="JS345" s="42"/>
      <c r="JT345" s="42"/>
      <c r="JU345" s="42"/>
      <c r="JV345" s="42"/>
      <c r="JW345" s="42"/>
      <c r="JX345" s="42"/>
      <c r="JY345" s="42"/>
      <c r="JZ345" s="42"/>
      <c r="KA345" s="42"/>
    </row>
    <row r="346" spans="1:287">
      <c r="A346" s="13" t="s">
        <v>838</v>
      </c>
      <c r="B346" s="35" t="s">
        <v>834</v>
      </c>
      <c r="C346" s="15">
        <v>30.32798</v>
      </c>
      <c r="D346" s="15">
        <v>-86.167760000000001</v>
      </c>
      <c r="E346" s="15">
        <v>0</v>
      </c>
      <c r="F346" s="15">
        <v>0</v>
      </c>
      <c r="G346" s="15">
        <v>0</v>
      </c>
      <c r="H346" s="15">
        <v>0</v>
      </c>
      <c r="I346" s="15">
        <v>0</v>
      </c>
      <c r="J346" s="18">
        <v>0</v>
      </c>
      <c r="K346" s="15">
        <v>0</v>
      </c>
      <c r="L346" s="15">
        <v>0</v>
      </c>
      <c r="M346" s="15">
        <v>1</v>
      </c>
      <c r="N346" s="15" t="s">
        <v>1522</v>
      </c>
      <c r="Q346" s="19"/>
      <c r="Y346" s="19"/>
      <c r="AF346" s="19"/>
      <c r="II346" s="42"/>
      <c r="IJ346" s="42"/>
      <c r="IK346" s="42"/>
      <c r="IL346" s="42"/>
      <c r="IM346" s="42"/>
      <c r="IN346" s="42"/>
      <c r="IO346" s="42"/>
      <c r="IP346" s="42"/>
      <c r="IQ346" s="42"/>
      <c r="IR346" s="42"/>
      <c r="IS346" s="42"/>
      <c r="IT346" s="42"/>
      <c r="IU346" s="42"/>
      <c r="IV346" s="42"/>
      <c r="IW346" s="42"/>
      <c r="IX346" s="42"/>
      <c r="IY346" s="42"/>
      <c r="IZ346" s="42"/>
      <c r="JA346" s="42"/>
      <c r="JB346" s="42"/>
      <c r="JC346" s="42"/>
      <c r="JD346" s="42"/>
      <c r="JE346" s="42"/>
      <c r="JF346" s="42"/>
      <c r="JG346" s="42"/>
      <c r="JH346" s="42"/>
      <c r="JI346" s="42"/>
      <c r="JJ346" s="42"/>
      <c r="JK346" s="42"/>
      <c r="JL346" s="42"/>
      <c r="JM346" s="42"/>
      <c r="JN346" s="42"/>
      <c r="JO346" s="42"/>
      <c r="JP346" s="42"/>
      <c r="JQ346" s="42"/>
      <c r="JR346" s="42"/>
      <c r="JS346" s="42"/>
      <c r="JT346" s="42"/>
      <c r="JU346" s="42"/>
      <c r="JV346" s="42"/>
      <c r="JW346" s="42"/>
      <c r="JX346" s="42"/>
      <c r="JY346" s="42"/>
      <c r="JZ346" s="42"/>
      <c r="KA346" s="42"/>
    </row>
    <row r="347" spans="1:287" ht="39">
      <c r="A347" s="13" t="s">
        <v>839</v>
      </c>
      <c r="B347" s="13" t="s">
        <v>834</v>
      </c>
      <c r="C347" s="15">
        <v>30.365639999999999</v>
      </c>
      <c r="D347" s="15">
        <v>-86.311260000000004</v>
      </c>
      <c r="E347" s="15">
        <v>0</v>
      </c>
      <c r="F347" s="15">
        <v>0</v>
      </c>
      <c r="G347" s="15">
        <v>0</v>
      </c>
      <c r="H347" s="15">
        <v>0</v>
      </c>
      <c r="I347" s="15">
        <v>0</v>
      </c>
      <c r="J347" s="18">
        <v>0</v>
      </c>
      <c r="K347" s="15">
        <v>0</v>
      </c>
      <c r="L347" s="15">
        <v>0</v>
      </c>
      <c r="M347" s="15">
        <v>3</v>
      </c>
      <c r="N347" s="18" t="s">
        <v>1523</v>
      </c>
      <c r="O347" s="15">
        <v>0</v>
      </c>
      <c r="P347" s="15">
        <v>0</v>
      </c>
      <c r="Q347" s="19"/>
      <c r="R347" s="15">
        <v>30.366309999999999</v>
      </c>
      <c r="S347" s="15">
        <v>-86.314040000000006</v>
      </c>
      <c r="T347" s="15">
        <v>0</v>
      </c>
      <c r="U347" s="15">
        <v>0</v>
      </c>
      <c r="V347" s="15">
        <v>0</v>
      </c>
      <c r="W347" s="15">
        <v>0</v>
      </c>
      <c r="X347" s="15">
        <v>0</v>
      </c>
      <c r="Y347" s="18">
        <v>0</v>
      </c>
      <c r="Z347" s="15">
        <v>0</v>
      </c>
      <c r="AA347" s="15">
        <v>0</v>
      </c>
      <c r="AB347" s="15">
        <v>1</v>
      </c>
      <c r="AC347" s="15" t="s">
        <v>1524</v>
      </c>
      <c r="AD347" s="15">
        <v>0</v>
      </c>
      <c r="AE347" s="15">
        <v>0</v>
      </c>
      <c r="AF347" s="19"/>
      <c r="II347" s="42"/>
      <c r="IJ347" s="42"/>
      <c r="IK347" s="42"/>
      <c r="IL347" s="42"/>
      <c r="IM347" s="42"/>
      <c r="IN347" s="42"/>
      <c r="IO347" s="42"/>
      <c r="IP347" s="42"/>
      <c r="IQ347" s="42"/>
      <c r="IR347" s="42"/>
      <c r="IS347" s="42"/>
      <c r="IT347" s="42"/>
      <c r="IU347" s="42"/>
      <c r="IV347" s="42"/>
      <c r="IW347" s="42"/>
      <c r="IX347" s="42"/>
      <c r="IY347" s="42"/>
      <c r="IZ347" s="42"/>
      <c r="JA347" s="42"/>
      <c r="JB347" s="42"/>
      <c r="JC347" s="42"/>
      <c r="JD347" s="42"/>
      <c r="JE347" s="42"/>
      <c r="JF347" s="42"/>
      <c r="JG347" s="42"/>
      <c r="JH347" s="42"/>
      <c r="JI347" s="42"/>
      <c r="JJ347" s="42"/>
      <c r="JK347" s="42"/>
      <c r="JL347" s="42"/>
      <c r="JM347" s="42"/>
      <c r="JN347" s="42"/>
      <c r="JO347" s="42"/>
      <c r="JP347" s="42"/>
      <c r="JQ347" s="42"/>
      <c r="JR347" s="42"/>
      <c r="JS347" s="42"/>
      <c r="JT347" s="42"/>
      <c r="JU347" s="42"/>
      <c r="JV347" s="42"/>
      <c r="JW347" s="42"/>
      <c r="JX347" s="42"/>
      <c r="JY347" s="42"/>
      <c r="JZ347" s="42"/>
      <c r="KA347" s="42"/>
    </row>
    <row r="348" spans="1:287">
      <c r="A348" s="13" t="s">
        <v>840</v>
      </c>
      <c r="B348" s="13" t="s">
        <v>834</v>
      </c>
      <c r="J348" s="19"/>
      <c r="Q348" s="19"/>
      <c r="Y348" s="19"/>
      <c r="AF348" s="19"/>
      <c r="II348" s="42"/>
      <c r="IJ348" s="42"/>
      <c r="IK348" s="42"/>
      <c r="IL348" s="42"/>
      <c r="IM348" s="42"/>
      <c r="IN348" s="42"/>
      <c r="IO348" s="42"/>
      <c r="IP348" s="42"/>
      <c r="IQ348" s="42"/>
      <c r="IR348" s="42"/>
      <c r="IS348" s="42"/>
      <c r="IT348" s="42"/>
      <c r="IU348" s="42"/>
      <c r="IV348" s="42"/>
      <c r="IW348" s="42"/>
      <c r="IX348" s="42"/>
      <c r="IY348" s="42"/>
      <c r="IZ348" s="42"/>
      <c r="JA348" s="42"/>
      <c r="JB348" s="42"/>
      <c r="JC348" s="42"/>
      <c r="JD348" s="42"/>
      <c r="JE348" s="42"/>
      <c r="JF348" s="42"/>
      <c r="JG348" s="42"/>
      <c r="JH348" s="42"/>
      <c r="JI348" s="42"/>
      <c r="JJ348" s="42"/>
      <c r="JK348" s="42"/>
      <c r="JL348" s="42"/>
      <c r="JM348" s="42"/>
      <c r="JN348" s="42"/>
      <c r="JO348" s="42"/>
      <c r="JP348" s="42"/>
      <c r="JQ348" s="42"/>
      <c r="JR348" s="42"/>
      <c r="JS348" s="42"/>
      <c r="JT348" s="42"/>
      <c r="JU348" s="42"/>
      <c r="JV348" s="42"/>
      <c r="JW348" s="42"/>
      <c r="JX348" s="42"/>
      <c r="JY348" s="42"/>
      <c r="JZ348" s="42"/>
      <c r="KA348" s="42"/>
    </row>
    <row r="349" spans="1:287" ht="12.75">
      <c r="A349" s="48" t="s">
        <v>841</v>
      </c>
      <c r="B349" s="48" t="s">
        <v>282</v>
      </c>
      <c r="J349" s="19"/>
      <c r="Q349" s="19"/>
      <c r="Y349" s="19"/>
      <c r="AF349" s="19"/>
      <c r="II349" s="42"/>
      <c r="IJ349" s="42"/>
      <c r="IK349" s="42"/>
      <c r="IL349" s="42"/>
      <c r="IM349" s="42"/>
      <c r="IN349" s="42"/>
      <c r="IO349" s="42"/>
      <c r="IP349" s="42"/>
      <c r="IQ349" s="42"/>
      <c r="IR349" s="42"/>
      <c r="IS349" s="42"/>
      <c r="IT349" s="42"/>
      <c r="IU349" s="42"/>
      <c r="IV349" s="42"/>
      <c r="IW349" s="42"/>
      <c r="IX349" s="42"/>
      <c r="IY349" s="42"/>
      <c r="IZ349" s="42"/>
      <c r="JA349" s="42"/>
      <c r="JB349" s="42"/>
      <c r="JC349" s="42"/>
      <c r="JD349" s="42"/>
      <c r="JE349" s="42"/>
      <c r="JF349" s="42"/>
      <c r="JG349" s="42"/>
      <c r="JH349" s="42"/>
      <c r="JI349" s="42"/>
      <c r="JJ349" s="42"/>
      <c r="JK349" s="42"/>
      <c r="JL349" s="42"/>
      <c r="JM349" s="42"/>
      <c r="JN349" s="42"/>
      <c r="JO349" s="42"/>
      <c r="JP349" s="42"/>
      <c r="JQ349" s="42"/>
      <c r="JR349" s="42"/>
      <c r="JS349" s="42"/>
      <c r="JT349" s="42"/>
      <c r="JU349" s="42"/>
      <c r="JV349" s="42"/>
      <c r="JW349" s="42"/>
      <c r="JX349" s="42"/>
      <c r="JY349" s="42"/>
      <c r="JZ349" s="42"/>
      <c r="KA349" s="42"/>
    </row>
    <row r="350" spans="1:287" ht="153">
      <c r="A350" s="48" t="s">
        <v>751</v>
      </c>
      <c r="B350" s="48" t="s">
        <v>747</v>
      </c>
      <c r="C350" s="15">
        <v>29.86965</v>
      </c>
      <c r="D350" s="15">
        <v>-81.268370000000004</v>
      </c>
      <c r="G350" s="15">
        <v>6</v>
      </c>
      <c r="J350" s="19"/>
      <c r="K350" s="15">
        <v>7</v>
      </c>
      <c r="Q350" s="18" t="s">
        <v>1525</v>
      </c>
      <c r="R350" s="15">
        <v>29.90615</v>
      </c>
      <c r="S350" s="15">
        <v>-81.278869999999998</v>
      </c>
      <c r="X350" s="15">
        <v>1</v>
      </c>
      <c r="Y350" s="19"/>
      <c r="AF350" s="18" t="s">
        <v>1526</v>
      </c>
      <c r="AG350" s="15">
        <v>29.907301</v>
      </c>
      <c r="AH350" s="15">
        <v>-81.288284000000004</v>
      </c>
      <c r="AU350" s="15" t="s">
        <v>1527</v>
      </c>
      <c r="II350" s="42"/>
      <c r="IJ350" s="42"/>
      <c r="IK350" s="42"/>
      <c r="IL350" s="42"/>
      <c r="IM350" s="42"/>
      <c r="IN350" s="42"/>
      <c r="IO350" s="42"/>
      <c r="IP350" s="42"/>
      <c r="IQ350" s="42"/>
      <c r="IR350" s="42"/>
      <c r="IS350" s="42"/>
      <c r="IT350" s="42"/>
      <c r="IU350" s="42"/>
      <c r="IV350" s="42"/>
      <c r="IW350" s="42"/>
      <c r="IX350" s="42"/>
      <c r="IY350" s="42"/>
      <c r="IZ350" s="42"/>
      <c r="JA350" s="42"/>
      <c r="JB350" s="42"/>
      <c r="JC350" s="42"/>
      <c r="JD350" s="42"/>
      <c r="JE350" s="42"/>
      <c r="JF350" s="42"/>
      <c r="JG350" s="42"/>
      <c r="JH350" s="42"/>
      <c r="JI350" s="42"/>
      <c r="JJ350" s="42"/>
      <c r="JK350" s="42"/>
      <c r="JL350" s="42"/>
      <c r="JM350" s="42"/>
      <c r="JN350" s="42"/>
      <c r="JO350" s="42"/>
      <c r="JP350" s="42"/>
      <c r="JQ350" s="42"/>
      <c r="JR350" s="42"/>
      <c r="JS350" s="42"/>
      <c r="JT350" s="42"/>
      <c r="JU350" s="42"/>
      <c r="JV350" s="42"/>
      <c r="JW350" s="42"/>
      <c r="JX350" s="42"/>
      <c r="JY350" s="42"/>
      <c r="JZ350" s="42"/>
      <c r="KA350" s="42"/>
    </row>
    <row r="351" spans="1:287" ht="15">
      <c r="A351" s="88" t="s">
        <v>849</v>
      </c>
      <c r="B351" s="48" t="s">
        <v>1528</v>
      </c>
      <c r="C351" s="15">
        <v>27.940770000000001</v>
      </c>
      <c r="D351" s="15">
        <v>-82.430099999999996</v>
      </c>
      <c r="E351" s="15">
        <v>6</v>
      </c>
      <c r="F351" s="15" t="s">
        <v>1529</v>
      </c>
      <c r="J351" s="19"/>
      <c r="Q351" s="19"/>
      <c r="R351" s="15">
        <v>27.94181</v>
      </c>
      <c r="S351" s="15">
        <v>-82.416269999999997</v>
      </c>
      <c r="T351" s="15">
        <v>6</v>
      </c>
      <c r="Y351" s="19"/>
      <c r="AF351" s="19"/>
      <c r="AG351" s="15">
        <v>27.910910000000001</v>
      </c>
      <c r="AH351" s="15">
        <v>-82.44538</v>
      </c>
      <c r="AI351" s="15">
        <v>8</v>
      </c>
      <c r="AK351" s="15">
        <v>62</v>
      </c>
      <c r="AL351" s="15" t="s">
        <v>1530</v>
      </c>
      <c r="AV351" s="15">
        <v>27.919409999999999</v>
      </c>
      <c r="AW351" s="15">
        <v>-82.444730000000007</v>
      </c>
      <c r="AX351" s="15">
        <v>1</v>
      </c>
      <c r="AZ351" s="15">
        <v>8</v>
      </c>
      <c r="II351" s="42"/>
      <c r="IJ351" s="42"/>
      <c r="IK351" s="42"/>
      <c r="IL351" s="42"/>
      <c r="IM351" s="42"/>
      <c r="IN351" s="42"/>
      <c r="IO351" s="42"/>
      <c r="IP351" s="42"/>
      <c r="IQ351" s="42"/>
      <c r="IR351" s="42"/>
      <c r="IS351" s="42"/>
      <c r="IT351" s="42"/>
      <c r="IU351" s="42"/>
      <c r="IV351" s="42"/>
      <c r="IW351" s="42"/>
      <c r="IX351" s="42"/>
      <c r="IY351" s="42"/>
      <c r="IZ351" s="42"/>
      <c r="JA351" s="42"/>
      <c r="JB351" s="42"/>
      <c r="JC351" s="42"/>
      <c r="JD351" s="42"/>
      <c r="JE351" s="42"/>
      <c r="JF351" s="42"/>
      <c r="JG351" s="42"/>
      <c r="JH351" s="42"/>
      <c r="JI351" s="42"/>
      <c r="JJ351" s="42"/>
      <c r="JK351" s="42"/>
      <c r="JL351" s="42"/>
      <c r="JM351" s="42"/>
      <c r="JN351" s="42"/>
      <c r="JO351" s="42"/>
      <c r="JP351" s="42"/>
      <c r="JQ351" s="42"/>
      <c r="JR351" s="42"/>
      <c r="JS351" s="42"/>
      <c r="JT351" s="42"/>
      <c r="JU351" s="42"/>
      <c r="JV351" s="42"/>
      <c r="JW351" s="42"/>
      <c r="JX351" s="42"/>
      <c r="JY351" s="42"/>
      <c r="JZ351" s="42"/>
      <c r="KA351" s="42"/>
    </row>
    <row r="352" spans="1:287" ht="12.75">
      <c r="A352" s="48" t="s">
        <v>853</v>
      </c>
      <c r="B352" s="48" t="s">
        <v>1528</v>
      </c>
      <c r="C352" s="102">
        <v>27.849900000000002</v>
      </c>
      <c r="D352" s="105">
        <v>-82.403019999999998</v>
      </c>
      <c r="E352" s="15">
        <v>2</v>
      </c>
      <c r="J352" s="19"/>
      <c r="Q352" s="19"/>
      <c r="R352" s="102">
        <v>27.84355</v>
      </c>
      <c r="S352" s="105">
        <v>-82.419240000000002</v>
      </c>
      <c r="T352" s="15">
        <v>2</v>
      </c>
      <c r="Y352" s="19"/>
      <c r="AF352" s="19"/>
      <c r="AG352" s="15">
        <v>27.845669999999998</v>
      </c>
      <c r="AH352" s="15">
        <v>-82.420241000000004</v>
      </c>
      <c r="AI352" s="15">
        <v>2</v>
      </c>
      <c r="II352" s="42"/>
      <c r="IJ352" s="42"/>
      <c r="IK352" s="42"/>
      <c r="IL352" s="42"/>
      <c r="IM352" s="42"/>
      <c r="IN352" s="42"/>
      <c r="IO352" s="42"/>
      <c r="IP352" s="42"/>
      <c r="IQ352" s="42"/>
      <c r="IR352" s="42"/>
      <c r="IS352" s="42"/>
      <c r="IT352" s="42"/>
      <c r="IU352" s="42"/>
      <c r="IV352" s="42"/>
      <c r="IW352" s="42"/>
      <c r="IX352" s="42"/>
      <c r="IY352" s="42"/>
      <c r="IZ352" s="42"/>
      <c r="JA352" s="42"/>
      <c r="JB352" s="42"/>
      <c r="JC352" s="42"/>
      <c r="JD352" s="42"/>
      <c r="JE352" s="42"/>
      <c r="JF352" s="42"/>
      <c r="JG352" s="42"/>
      <c r="JH352" s="42"/>
      <c r="JI352" s="42"/>
      <c r="JJ352" s="42"/>
      <c r="JK352" s="42"/>
      <c r="JL352" s="42"/>
      <c r="JM352" s="42"/>
      <c r="JN352" s="42"/>
      <c r="JO352" s="42"/>
      <c r="JP352" s="42"/>
      <c r="JQ352" s="42"/>
      <c r="JR352" s="42"/>
      <c r="JS352" s="42"/>
      <c r="JT352" s="42"/>
      <c r="JU352" s="42"/>
      <c r="JV352" s="42"/>
      <c r="JW352" s="42"/>
      <c r="JX352" s="42"/>
      <c r="JY352" s="42"/>
      <c r="JZ352" s="42"/>
      <c r="KA352" s="42"/>
    </row>
    <row r="353" spans="1:287" ht="63.75">
      <c r="A353" s="48" t="s">
        <v>1531</v>
      </c>
      <c r="B353" s="48" t="s">
        <v>145</v>
      </c>
      <c r="C353" s="15">
        <v>26.11872</v>
      </c>
      <c r="D353" s="15">
        <v>-80.103956999999994</v>
      </c>
      <c r="J353" s="19"/>
      <c r="Q353" s="18" t="s">
        <v>1532</v>
      </c>
      <c r="Y353" s="19"/>
      <c r="AF353" s="19"/>
      <c r="II353" s="42"/>
      <c r="IJ353" s="42"/>
      <c r="IK353" s="42"/>
      <c r="IL353" s="42"/>
      <c r="IM353" s="42"/>
      <c r="IN353" s="42"/>
      <c r="IO353" s="42"/>
      <c r="IP353" s="42"/>
      <c r="IQ353" s="42"/>
      <c r="IR353" s="42"/>
      <c r="IS353" s="42"/>
      <c r="IT353" s="42"/>
      <c r="IU353" s="42"/>
      <c r="IV353" s="42"/>
      <c r="IW353" s="42"/>
      <c r="IX353" s="42"/>
      <c r="IY353" s="42"/>
      <c r="IZ353" s="42"/>
      <c r="JA353" s="42"/>
      <c r="JB353" s="42"/>
      <c r="JC353" s="42"/>
      <c r="JD353" s="42"/>
      <c r="JE353" s="42"/>
      <c r="JF353" s="42"/>
      <c r="JG353" s="42"/>
      <c r="JH353" s="42"/>
      <c r="JI353" s="42"/>
      <c r="JJ353" s="42"/>
      <c r="JK353" s="42"/>
      <c r="JL353" s="42"/>
      <c r="JM353" s="42"/>
      <c r="JN353" s="42"/>
      <c r="JO353" s="42"/>
      <c r="JP353" s="42"/>
      <c r="JQ353" s="42"/>
      <c r="JR353" s="42"/>
      <c r="JS353" s="42"/>
      <c r="JT353" s="42"/>
      <c r="JU353" s="42"/>
      <c r="JV353" s="42"/>
      <c r="JW353" s="42"/>
      <c r="JX353" s="42"/>
      <c r="JY353" s="42"/>
      <c r="JZ353" s="42"/>
      <c r="KA353" s="42"/>
    </row>
    <row r="354" spans="1:287" ht="76.5">
      <c r="A354" s="48" t="s">
        <v>1533</v>
      </c>
      <c r="B354" s="48" t="s">
        <v>145</v>
      </c>
      <c r="C354" s="15">
        <v>26.236995</v>
      </c>
      <c r="D354" s="15">
        <v>-80.087592999999998</v>
      </c>
      <c r="G354" s="15">
        <v>191</v>
      </c>
      <c r="J354" s="19"/>
      <c r="Q354" s="18" t="s">
        <v>1534</v>
      </c>
      <c r="Y354" s="19"/>
      <c r="AF354" s="19"/>
      <c r="II354" s="42"/>
      <c r="IJ354" s="42"/>
      <c r="IK354" s="42"/>
      <c r="IL354" s="42"/>
      <c r="IM354" s="42"/>
      <c r="IN354" s="42"/>
      <c r="IO354" s="42"/>
      <c r="IP354" s="42"/>
      <c r="IQ354" s="42"/>
      <c r="IR354" s="42"/>
      <c r="IS354" s="42"/>
      <c r="IT354" s="42"/>
      <c r="IU354" s="42"/>
      <c r="IV354" s="42"/>
      <c r="IW354" s="42"/>
      <c r="IX354" s="42"/>
      <c r="IY354" s="42"/>
      <c r="IZ354" s="42"/>
      <c r="JA354" s="42"/>
      <c r="JB354" s="42"/>
      <c r="JC354" s="42"/>
      <c r="JD354" s="42"/>
      <c r="JE354" s="42"/>
      <c r="JF354" s="42"/>
      <c r="JG354" s="42"/>
      <c r="JH354" s="42"/>
      <c r="JI354" s="42"/>
      <c r="JJ354" s="42"/>
      <c r="JK354" s="42"/>
      <c r="JL354" s="42"/>
      <c r="JM354" s="42"/>
      <c r="JN354" s="42"/>
      <c r="JO354" s="42"/>
      <c r="JP354" s="42"/>
      <c r="JQ354" s="42"/>
      <c r="JR354" s="42"/>
      <c r="JS354" s="42"/>
      <c r="JT354" s="42"/>
      <c r="JU354" s="42"/>
      <c r="JV354" s="42"/>
      <c r="JW354" s="42"/>
      <c r="JX354" s="42"/>
      <c r="JY354" s="42"/>
      <c r="JZ354" s="42"/>
      <c r="KA354" s="42"/>
    </row>
    <row r="355" spans="1:287" ht="12.75">
      <c r="A355" s="48" t="s">
        <v>860</v>
      </c>
      <c r="B355" s="87"/>
      <c r="J355" s="19"/>
      <c r="Q355" s="19"/>
      <c r="Y355" s="19"/>
      <c r="AF355" s="19"/>
      <c r="II355" s="42"/>
      <c r="IJ355" s="42"/>
      <c r="IK355" s="42"/>
      <c r="IL355" s="42"/>
      <c r="IM355" s="42"/>
      <c r="IN355" s="42"/>
      <c r="IO355" s="42"/>
      <c r="IP355" s="42"/>
      <c r="IQ355" s="42"/>
      <c r="IR355" s="42"/>
      <c r="IS355" s="42"/>
      <c r="IT355" s="42"/>
      <c r="IU355" s="42"/>
      <c r="IV355" s="42"/>
      <c r="IW355" s="42"/>
      <c r="IX355" s="42"/>
      <c r="IY355" s="42"/>
      <c r="IZ355" s="42"/>
      <c r="JA355" s="42"/>
      <c r="JB355" s="42"/>
      <c r="JC355" s="42"/>
      <c r="JD355" s="42"/>
      <c r="JE355" s="42"/>
      <c r="JF355" s="42"/>
      <c r="JG355" s="42"/>
      <c r="JH355" s="42"/>
      <c r="JI355" s="42"/>
      <c r="JJ355" s="42"/>
      <c r="JK355" s="42"/>
      <c r="JL355" s="42"/>
      <c r="JM355" s="42"/>
      <c r="JN355" s="42"/>
      <c r="JO355" s="42"/>
      <c r="JP355" s="42"/>
      <c r="JQ355" s="42"/>
      <c r="JR355" s="42"/>
      <c r="JS355" s="42"/>
      <c r="JT355" s="42"/>
      <c r="JU355" s="42"/>
      <c r="JV355" s="42"/>
      <c r="JW355" s="42"/>
      <c r="JX355" s="42"/>
      <c r="JY355" s="42"/>
      <c r="JZ355" s="42"/>
      <c r="KA355" s="42"/>
    </row>
    <row r="356" spans="1:287" ht="12.75">
      <c r="A356" s="87"/>
      <c r="B356" s="87"/>
      <c r="J356" s="19"/>
      <c r="Q356" s="19"/>
      <c r="Y356" s="19"/>
      <c r="AF356" s="19"/>
      <c r="II356" s="42"/>
      <c r="IJ356" s="42"/>
      <c r="IK356" s="42"/>
      <c r="IL356" s="42"/>
      <c r="IM356" s="42"/>
      <c r="IN356" s="42"/>
      <c r="IO356" s="42"/>
      <c r="IP356" s="42"/>
      <c r="IQ356" s="42"/>
      <c r="IR356" s="42"/>
      <c r="IS356" s="42"/>
      <c r="IT356" s="42"/>
      <c r="IU356" s="42"/>
      <c r="IV356" s="42"/>
      <c r="IW356" s="42"/>
      <c r="IX356" s="42"/>
      <c r="IY356" s="42"/>
      <c r="IZ356" s="42"/>
      <c r="JA356" s="42"/>
      <c r="JB356" s="42"/>
      <c r="JC356" s="42"/>
      <c r="JD356" s="42"/>
      <c r="JE356" s="42"/>
      <c r="JF356" s="42"/>
      <c r="JG356" s="42"/>
      <c r="JH356" s="42"/>
      <c r="JI356" s="42"/>
      <c r="JJ356" s="42"/>
      <c r="JK356" s="42"/>
      <c r="JL356" s="42"/>
      <c r="JM356" s="42"/>
      <c r="JN356" s="42"/>
      <c r="JO356" s="42"/>
      <c r="JP356" s="42"/>
      <c r="JQ356" s="42"/>
      <c r="JR356" s="42"/>
      <c r="JS356" s="42"/>
      <c r="JT356" s="42"/>
      <c r="JU356" s="42"/>
      <c r="JV356" s="42"/>
      <c r="JW356" s="42"/>
      <c r="JX356" s="42"/>
      <c r="JY356" s="42"/>
      <c r="JZ356" s="42"/>
      <c r="KA356" s="42"/>
    </row>
    <row r="357" spans="1:287" ht="12.75">
      <c r="A357" s="87"/>
      <c r="B357" s="87"/>
      <c r="J357" s="19"/>
      <c r="Q357" s="19"/>
      <c r="Y357" s="19"/>
      <c r="AF357" s="19"/>
      <c r="II357" s="42"/>
      <c r="IJ357" s="42"/>
      <c r="IK357" s="42"/>
      <c r="IL357" s="42"/>
      <c r="IM357" s="42"/>
      <c r="IN357" s="42"/>
      <c r="IO357" s="42"/>
      <c r="IP357" s="42"/>
      <c r="IQ357" s="42"/>
      <c r="IR357" s="42"/>
      <c r="IS357" s="42"/>
      <c r="IT357" s="42"/>
      <c r="IU357" s="42"/>
      <c r="IV357" s="42"/>
      <c r="IW357" s="42"/>
      <c r="IX357" s="42"/>
      <c r="IY357" s="42"/>
      <c r="IZ357" s="42"/>
      <c r="JA357" s="42"/>
      <c r="JB357" s="42"/>
      <c r="JC357" s="42"/>
      <c r="JD357" s="42"/>
      <c r="JE357" s="42"/>
      <c r="JF357" s="42"/>
      <c r="JG357" s="42"/>
      <c r="JH357" s="42"/>
      <c r="JI357" s="42"/>
      <c r="JJ357" s="42"/>
      <c r="JK357" s="42"/>
      <c r="JL357" s="42"/>
      <c r="JM357" s="42"/>
      <c r="JN357" s="42"/>
      <c r="JO357" s="42"/>
      <c r="JP357" s="42"/>
      <c r="JQ357" s="42"/>
      <c r="JR357" s="42"/>
      <c r="JS357" s="42"/>
      <c r="JT357" s="42"/>
      <c r="JU357" s="42"/>
      <c r="JV357" s="42"/>
      <c r="JW357" s="42"/>
      <c r="JX357" s="42"/>
      <c r="JY357" s="42"/>
      <c r="JZ357" s="42"/>
      <c r="KA357" s="42"/>
    </row>
    <row r="358" spans="1:287" ht="12.75">
      <c r="A358" s="87"/>
      <c r="B358" s="87"/>
      <c r="J358" s="19"/>
      <c r="Q358" s="19"/>
      <c r="Y358" s="19"/>
      <c r="AF358" s="19"/>
      <c r="II358" s="42"/>
      <c r="IJ358" s="42"/>
      <c r="IK358" s="42"/>
      <c r="IL358" s="42"/>
      <c r="IM358" s="42"/>
      <c r="IN358" s="42"/>
      <c r="IO358" s="42"/>
      <c r="IP358" s="42"/>
      <c r="IQ358" s="42"/>
      <c r="IR358" s="42"/>
      <c r="IS358" s="42"/>
      <c r="IT358" s="42"/>
      <c r="IU358" s="42"/>
      <c r="IV358" s="42"/>
      <c r="IW358" s="42"/>
      <c r="IX358" s="42"/>
      <c r="IY358" s="42"/>
      <c r="IZ358" s="42"/>
      <c r="JA358" s="42"/>
      <c r="JB358" s="42"/>
      <c r="JC358" s="42"/>
      <c r="JD358" s="42"/>
      <c r="JE358" s="42"/>
      <c r="JF358" s="42"/>
      <c r="JG358" s="42"/>
      <c r="JH358" s="42"/>
      <c r="JI358" s="42"/>
      <c r="JJ358" s="42"/>
      <c r="JK358" s="42"/>
      <c r="JL358" s="42"/>
      <c r="JM358" s="42"/>
      <c r="JN358" s="42"/>
      <c r="JO358" s="42"/>
      <c r="JP358" s="42"/>
      <c r="JQ358" s="42"/>
      <c r="JR358" s="42"/>
      <c r="JS358" s="42"/>
      <c r="JT358" s="42"/>
      <c r="JU358" s="42"/>
      <c r="JV358" s="42"/>
      <c r="JW358" s="42"/>
      <c r="JX358" s="42"/>
      <c r="JY358" s="42"/>
      <c r="JZ358" s="42"/>
      <c r="KA358" s="42"/>
    </row>
    <row r="359" spans="1:287" ht="12.75">
      <c r="A359" s="87"/>
      <c r="B359" s="87"/>
      <c r="J359" s="19"/>
      <c r="Q359" s="19"/>
      <c r="Y359" s="19"/>
      <c r="AF359" s="19"/>
      <c r="II359" s="42"/>
      <c r="IJ359" s="42"/>
      <c r="IK359" s="42"/>
      <c r="IL359" s="42"/>
      <c r="IM359" s="42"/>
      <c r="IN359" s="42"/>
      <c r="IO359" s="42"/>
      <c r="IP359" s="42"/>
      <c r="IQ359" s="42"/>
      <c r="IR359" s="42"/>
      <c r="IS359" s="42"/>
      <c r="IT359" s="42"/>
      <c r="IU359" s="42"/>
      <c r="IV359" s="42"/>
      <c r="IW359" s="42"/>
      <c r="IX359" s="42"/>
      <c r="IY359" s="42"/>
      <c r="IZ359" s="42"/>
      <c r="JA359" s="42"/>
      <c r="JB359" s="42"/>
      <c r="JC359" s="42"/>
      <c r="JD359" s="42"/>
      <c r="JE359" s="42"/>
      <c r="JF359" s="42"/>
      <c r="JG359" s="42"/>
      <c r="JH359" s="42"/>
      <c r="JI359" s="42"/>
      <c r="JJ359" s="42"/>
      <c r="JK359" s="42"/>
      <c r="JL359" s="42"/>
      <c r="JM359" s="42"/>
      <c r="JN359" s="42"/>
      <c r="JO359" s="42"/>
      <c r="JP359" s="42"/>
      <c r="JQ359" s="42"/>
      <c r="JR359" s="42"/>
      <c r="JS359" s="42"/>
      <c r="JT359" s="42"/>
      <c r="JU359" s="42"/>
      <c r="JV359" s="42"/>
      <c r="JW359" s="42"/>
      <c r="JX359" s="42"/>
      <c r="JY359" s="42"/>
      <c r="JZ359" s="42"/>
      <c r="KA359" s="42"/>
    </row>
    <row r="360" spans="1:287" ht="12.75">
      <c r="A360" s="87"/>
      <c r="B360" s="87"/>
      <c r="J360" s="19"/>
      <c r="Q360" s="19"/>
      <c r="Y360" s="19"/>
      <c r="AF360" s="19"/>
      <c r="II360" s="42"/>
      <c r="IJ360" s="42"/>
      <c r="IK360" s="42"/>
      <c r="IL360" s="42"/>
      <c r="IM360" s="42"/>
      <c r="IN360" s="42"/>
      <c r="IO360" s="42"/>
      <c r="IP360" s="42"/>
      <c r="IQ360" s="42"/>
      <c r="IR360" s="42"/>
      <c r="IS360" s="42"/>
      <c r="IT360" s="42"/>
      <c r="IU360" s="42"/>
      <c r="IV360" s="42"/>
      <c r="IW360" s="42"/>
      <c r="IX360" s="42"/>
      <c r="IY360" s="42"/>
      <c r="IZ360" s="42"/>
      <c r="JA360" s="42"/>
      <c r="JB360" s="42"/>
      <c r="JC360" s="42"/>
      <c r="JD360" s="42"/>
      <c r="JE360" s="42"/>
      <c r="JF360" s="42"/>
      <c r="JG360" s="42"/>
      <c r="JH360" s="42"/>
      <c r="JI360" s="42"/>
      <c r="JJ360" s="42"/>
      <c r="JK360" s="42"/>
      <c r="JL360" s="42"/>
      <c r="JM360" s="42"/>
      <c r="JN360" s="42"/>
      <c r="JO360" s="42"/>
      <c r="JP360" s="42"/>
      <c r="JQ360" s="42"/>
      <c r="JR360" s="42"/>
      <c r="JS360" s="42"/>
      <c r="JT360" s="42"/>
      <c r="JU360" s="42"/>
      <c r="JV360" s="42"/>
      <c r="JW360" s="42"/>
      <c r="JX360" s="42"/>
      <c r="JY360" s="42"/>
      <c r="JZ360" s="42"/>
      <c r="KA360" s="42"/>
    </row>
    <row r="361" spans="1:287" ht="12.75">
      <c r="A361" s="89"/>
      <c r="B361" s="89"/>
      <c r="J361" s="19"/>
      <c r="Q361" s="19"/>
      <c r="Y361" s="19"/>
      <c r="AF361" s="19"/>
      <c r="II361" s="42"/>
      <c r="IJ361" s="42"/>
      <c r="IK361" s="42"/>
      <c r="IL361" s="42"/>
      <c r="IM361" s="42"/>
      <c r="IN361" s="42"/>
      <c r="IO361" s="42"/>
      <c r="IP361" s="42"/>
      <c r="IQ361" s="42"/>
      <c r="IR361" s="42"/>
      <c r="IS361" s="42"/>
      <c r="IT361" s="42"/>
      <c r="IU361" s="42"/>
      <c r="IV361" s="42"/>
      <c r="IW361" s="42"/>
      <c r="IX361" s="42"/>
      <c r="IY361" s="42"/>
      <c r="IZ361" s="42"/>
      <c r="JA361" s="42"/>
      <c r="JB361" s="42"/>
      <c r="JC361" s="42"/>
      <c r="JD361" s="42"/>
      <c r="JE361" s="42"/>
      <c r="JF361" s="42"/>
      <c r="JG361" s="42"/>
      <c r="JH361" s="42"/>
      <c r="JI361" s="42"/>
      <c r="JJ361" s="42"/>
      <c r="JK361" s="42"/>
      <c r="JL361" s="42"/>
      <c r="JM361" s="42"/>
      <c r="JN361" s="42"/>
      <c r="JO361" s="42"/>
      <c r="JP361" s="42"/>
      <c r="JQ361" s="42"/>
      <c r="JR361" s="42"/>
      <c r="JS361" s="42"/>
      <c r="JT361" s="42"/>
      <c r="JU361" s="42"/>
      <c r="JV361" s="42"/>
      <c r="JW361" s="42"/>
      <c r="JX361" s="42"/>
      <c r="JY361" s="42"/>
      <c r="JZ361" s="42"/>
      <c r="KA361" s="42"/>
    </row>
    <row r="362" spans="1:287" ht="12.75">
      <c r="A362" s="89"/>
      <c r="B362" s="89"/>
      <c r="J362" s="19"/>
      <c r="Q362" s="19"/>
      <c r="Y362" s="19"/>
      <c r="AF362" s="19"/>
      <c r="II362" s="42"/>
      <c r="IJ362" s="42"/>
      <c r="IK362" s="42"/>
      <c r="IL362" s="42"/>
      <c r="IM362" s="42"/>
      <c r="IN362" s="42"/>
      <c r="IO362" s="42"/>
      <c r="IP362" s="42"/>
      <c r="IQ362" s="42"/>
      <c r="IR362" s="42"/>
      <c r="IS362" s="42"/>
      <c r="IT362" s="42"/>
      <c r="IU362" s="42"/>
      <c r="IV362" s="42"/>
      <c r="IW362" s="42"/>
      <c r="IX362" s="42"/>
      <c r="IY362" s="42"/>
      <c r="IZ362" s="42"/>
      <c r="JA362" s="42"/>
      <c r="JB362" s="42"/>
      <c r="JC362" s="42"/>
      <c r="JD362" s="42"/>
      <c r="JE362" s="42"/>
      <c r="JF362" s="42"/>
      <c r="JG362" s="42"/>
      <c r="JH362" s="42"/>
      <c r="JI362" s="42"/>
      <c r="JJ362" s="42"/>
      <c r="JK362" s="42"/>
      <c r="JL362" s="42"/>
      <c r="JM362" s="42"/>
      <c r="JN362" s="42"/>
      <c r="JO362" s="42"/>
      <c r="JP362" s="42"/>
      <c r="JQ362" s="42"/>
      <c r="JR362" s="42"/>
      <c r="JS362" s="42"/>
      <c r="JT362" s="42"/>
      <c r="JU362" s="42"/>
      <c r="JV362" s="42"/>
      <c r="JW362" s="42"/>
      <c r="JX362" s="42"/>
      <c r="JY362" s="42"/>
      <c r="JZ362" s="42"/>
      <c r="KA362" s="42"/>
    </row>
    <row r="363" spans="1:287" ht="12.75">
      <c r="A363" s="89"/>
      <c r="B363" s="89"/>
      <c r="J363" s="19"/>
      <c r="Q363" s="19"/>
      <c r="Y363" s="19"/>
      <c r="AF363" s="19"/>
      <c r="II363" s="42"/>
      <c r="IJ363" s="42"/>
      <c r="IK363" s="42"/>
      <c r="IL363" s="42"/>
      <c r="IM363" s="42"/>
      <c r="IN363" s="42"/>
      <c r="IO363" s="42"/>
      <c r="IP363" s="42"/>
      <c r="IQ363" s="42"/>
      <c r="IR363" s="42"/>
      <c r="IS363" s="42"/>
      <c r="IT363" s="42"/>
      <c r="IU363" s="42"/>
      <c r="IV363" s="42"/>
      <c r="IW363" s="42"/>
      <c r="IX363" s="42"/>
      <c r="IY363" s="42"/>
      <c r="IZ363" s="42"/>
      <c r="JA363" s="42"/>
      <c r="JB363" s="42"/>
      <c r="JC363" s="42"/>
      <c r="JD363" s="42"/>
      <c r="JE363" s="42"/>
      <c r="JF363" s="42"/>
      <c r="JG363" s="42"/>
      <c r="JH363" s="42"/>
      <c r="JI363" s="42"/>
      <c r="JJ363" s="42"/>
      <c r="JK363" s="42"/>
      <c r="JL363" s="42"/>
      <c r="JM363" s="42"/>
      <c r="JN363" s="42"/>
      <c r="JO363" s="42"/>
      <c r="JP363" s="42"/>
      <c r="JQ363" s="42"/>
      <c r="JR363" s="42"/>
      <c r="JS363" s="42"/>
      <c r="JT363" s="42"/>
      <c r="JU363" s="42"/>
      <c r="JV363" s="42"/>
      <c r="JW363" s="42"/>
      <c r="JX363" s="42"/>
      <c r="JY363" s="42"/>
      <c r="JZ363" s="42"/>
      <c r="KA363" s="42"/>
    </row>
    <row r="364" spans="1:287" ht="12.75">
      <c r="A364" s="89"/>
      <c r="B364" s="89"/>
      <c r="J364" s="19"/>
      <c r="Q364" s="19"/>
      <c r="Y364" s="19"/>
      <c r="AF364" s="19"/>
      <c r="II364" s="42"/>
      <c r="IJ364" s="42"/>
      <c r="IK364" s="42"/>
      <c r="IL364" s="42"/>
      <c r="IM364" s="42"/>
      <c r="IN364" s="42"/>
      <c r="IO364" s="42"/>
      <c r="IP364" s="42"/>
      <c r="IQ364" s="42"/>
      <c r="IR364" s="42"/>
      <c r="IS364" s="42"/>
      <c r="IT364" s="42"/>
      <c r="IU364" s="42"/>
      <c r="IV364" s="42"/>
      <c r="IW364" s="42"/>
      <c r="IX364" s="42"/>
      <c r="IY364" s="42"/>
      <c r="IZ364" s="42"/>
      <c r="JA364" s="42"/>
      <c r="JB364" s="42"/>
      <c r="JC364" s="42"/>
      <c r="JD364" s="42"/>
      <c r="JE364" s="42"/>
      <c r="JF364" s="42"/>
      <c r="JG364" s="42"/>
      <c r="JH364" s="42"/>
      <c r="JI364" s="42"/>
      <c r="JJ364" s="42"/>
      <c r="JK364" s="42"/>
      <c r="JL364" s="42"/>
      <c r="JM364" s="42"/>
      <c r="JN364" s="42"/>
      <c r="JO364" s="42"/>
      <c r="JP364" s="42"/>
      <c r="JQ364" s="42"/>
      <c r="JR364" s="42"/>
      <c r="JS364" s="42"/>
      <c r="JT364" s="42"/>
      <c r="JU364" s="42"/>
      <c r="JV364" s="42"/>
      <c r="JW364" s="42"/>
      <c r="JX364" s="42"/>
      <c r="JY364" s="42"/>
      <c r="JZ364" s="42"/>
      <c r="KA364" s="42"/>
    </row>
    <row r="365" spans="1:287" ht="12.75">
      <c r="A365" s="89"/>
      <c r="B365" s="89"/>
      <c r="J365" s="19"/>
      <c r="Q365" s="19"/>
      <c r="Y365" s="19"/>
      <c r="AF365" s="19"/>
      <c r="II365" s="42"/>
      <c r="IJ365" s="42"/>
      <c r="IK365" s="42"/>
      <c r="IL365" s="42"/>
      <c r="IM365" s="42"/>
      <c r="IN365" s="42"/>
      <c r="IO365" s="42"/>
      <c r="IP365" s="42"/>
      <c r="IQ365" s="42"/>
      <c r="IR365" s="42"/>
      <c r="IS365" s="42"/>
      <c r="IT365" s="42"/>
      <c r="IU365" s="42"/>
      <c r="IV365" s="42"/>
      <c r="IW365" s="42"/>
      <c r="IX365" s="42"/>
      <c r="IY365" s="42"/>
      <c r="IZ365" s="42"/>
      <c r="JA365" s="42"/>
      <c r="JB365" s="42"/>
      <c r="JC365" s="42"/>
      <c r="JD365" s="42"/>
      <c r="JE365" s="42"/>
      <c r="JF365" s="42"/>
      <c r="JG365" s="42"/>
      <c r="JH365" s="42"/>
      <c r="JI365" s="42"/>
      <c r="JJ365" s="42"/>
      <c r="JK365" s="42"/>
      <c r="JL365" s="42"/>
      <c r="JM365" s="42"/>
      <c r="JN365" s="42"/>
      <c r="JO365" s="42"/>
      <c r="JP365" s="42"/>
      <c r="JQ365" s="42"/>
      <c r="JR365" s="42"/>
      <c r="JS365" s="42"/>
      <c r="JT365" s="42"/>
      <c r="JU365" s="42"/>
      <c r="JV365" s="42"/>
      <c r="JW365" s="42"/>
      <c r="JX365" s="42"/>
      <c r="JY365" s="42"/>
      <c r="JZ365" s="42"/>
      <c r="KA365" s="42"/>
    </row>
    <row r="366" spans="1:287" ht="12.75">
      <c r="A366" s="89"/>
      <c r="B366" s="89"/>
      <c r="J366" s="19"/>
      <c r="Q366" s="19"/>
      <c r="Y366" s="19"/>
      <c r="AF366" s="19"/>
      <c r="II366" s="42"/>
      <c r="IJ366" s="42"/>
      <c r="IK366" s="42"/>
      <c r="IL366" s="42"/>
      <c r="IM366" s="42"/>
      <c r="IN366" s="42"/>
      <c r="IO366" s="42"/>
      <c r="IP366" s="42"/>
      <c r="IQ366" s="42"/>
      <c r="IR366" s="42"/>
      <c r="IS366" s="42"/>
      <c r="IT366" s="42"/>
      <c r="IU366" s="42"/>
      <c r="IV366" s="42"/>
      <c r="IW366" s="42"/>
      <c r="IX366" s="42"/>
      <c r="IY366" s="42"/>
      <c r="IZ366" s="42"/>
      <c r="JA366" s="42"/>
      <c r="JB366" s="42"/>
      <c r="JC366" s="42"/>
      <c r="JD366" s="42"/>
      <c r="JE366" s="42"/>
      <c r="JF366" s="42"/>
      <c r="JG366" s="42"/>
      <c r="JH366" s="42"/>
      <c r="JI366" s="42"/>
      <c r="JJ366" s="42"/>
      <c r="JK366" s="42"/>
      <c r="JL366" s="42"/>
      <c r="JM366" s="42"/>
      <c r="JN366" s="42"/>
      <c r="JO366" s="42"/>
      <c r="JP366" s="42"/>
      <c r="JQ366" s="42"/>
      <c r="JR366" s="42"/>
      <c r="JS366" s="42"/>
      <c r="JT366" s="42"/>
      <c r="JU366" s="42"/>
      <c r="JV366" s="42"/>
      <c r="JW366" s="42"/>
      <c r="JX366" s="42"/>
      <c r="JY366" s="42"/>
      <c r="JZ366" s="42"/>
      <c r="KA366" s="42"/>
    </row>
    <row r="367" spans="1:287" ht="12.75">
      <c r="A367" s="89"/>
      <c r="B367" s="89"/>
      <c r="J367" s="19"/>
      <c r="Q367" s="19"/>
      <c r="Y367" s="19"/>
      <c r="AF367" s="19"/>
      <c r="II367" s="42"/>
      <c r="IJ367" s="42"/>
      <c r="IK367" s="42"/>
      <c r="IL367" s="42"/>
      <c r="IM367" s="42"/>
      <c r="IN367" s="42"/>
      <c r="IO367" s="42"/>
      <c r="IP367" s="42"/>
      <c r="IQ367" s="42"/>
      <c r="IR367" s="42"/>
      <c r="IS367" s="42"/>
      <c r="IT367" s="42"/>
      <c r="IU367" s="42"/>
      <c r="IV367" s="42"/>
      <c r="IW367" s="42"/>
      <c r="IX367" s="42"/>
      <c r="IY367" s="42"/>
      <c r="IZ367" s="42"/>
      <c r="JA367" s="42"/>
      <c r="JB367" s="42"/>
      <c r="JC367" s="42"/>
      <c r="JD367" s="42"/>
      <c r="JE367" s="42"/>
      <c r="JF367" s="42"/>
      <c r="JG367" s="42"/>
      <c r="JH367" s="42"/>
      <c r="JI367" s="42"/>
      <c r="JJ367" s="42"/>
      <c r="JK367" s="42"/>
      <c r="JL367" s="42"/>
      <c r="JM367" s="42"/>
      <c r="JN367" s="42"/>
      <c r="JO367" s="42"/>
      <c r="JP367" s="42"/>
      <c r="JQ367" s="42"/>
      <c r="JR367" s="42"/>
      <c r="JS367" s="42"/>
      <c r="JT367" s="42"/>
      <c r="JU367" s="42"/>
      <c r="JV367" s="42"/>
      <c r="JW367" s="42"/>
      <c r="JX367" s="42"/>
      <c r="JY367" s="42"/>
      <c r="JZ367" s="42"/>
      <c r="KA367" s="42"/>
    </row>
    <row r="368" spans="1:287" ht="12.75">
      <c r="A368" s="89"/>
      <c r="B368" s="89"/>
      <c r="J368" s="19"/>
      <c r="Q368" s="19"/>
      <c r="Y368" s="19"/>
      <c r="AF368" s="19"/>
      <c r="II368" s="42"/>
      <c r="IJ368" s="42"/>
      <c r="IK368" s="42"/>
      <c r="IL368" s="42"/>
      <c r="IM368" s="42"/>
      <c r="IN368" s="42"/>
      <c r="IO368" s="42"/>
      <c r="IP368" s="42"/>
      <c r="IQ368" s="42"/>
      <c r="IR368" s="42"/>
      <c r="IS368" s="42"/>
      <c r="IT368" s="42"/>
      <c r="IU368" s="42"/>
      <c r="IV368" s="42"/>
      <c r="IW368" s="42"/>
      <c r="IX368" s="42"/>
      <c r="IY368" s="42"/>
      <c r="IZ368" s="42"/>
      <c r="JA368" s="42"/>
      <c r="JB368" s="42"/>
      <c r="JC368" s="42"/>
      <c r="JD368" s="42"/>
      <c r="JE368" s="42"/>
      <c r="JF368" s="42"/>
      <c r="JG368" s="42"/>
      <c r="JH368" s="42"/>
      <c r="JI368" s="42"/>
      <c r="JJ368" s="42"/>
      <c r="JK368" s="42"/>
      <c r="JL368" s="42"/>
      <c r="JM368" s="42"/>
      <c r="JN368" s="42"/>
      <c r="JO368" s="42"/>
      <c r="JP368" s="42"/>
      <c r="JQ368" s="42"/>
      <c r="JR368" s="42"/>
      <c r="JS368" s="42"/>
      <c r="JT368" s="42"/>
      <c r="JU368" s="42"/>
      <c r="JV368" s="42"/>
      <c r="JW368" s="42"/>
      <c r="JX368" s="42"/>
      <c r="JY368" s="42"/>
      <c r="JZ368" s="42"/>
      <c r="KA368" s="42"/>
    </row>
    <row r="369" spans="1:287" ht="12.75">
      <c r="A369" s="89"/>
      <c r="B369" s="89"/>
      <c r="J369" s="19"/>
      <c r="Q369" s="19"/>
      <c r="Y369" s="19"/>
      <c r="AF369" s="19"/>
      <c r="II369" s="42"/>
      <c r="IJ369" s="42"/>
      <c r="IK369" s="42"/>
      <c r="IL369" s="42"/>
      <c r="IM369" s="42"/>
      <c r="IN369" s="42"/>
      <c r="IO369" s="42"/>
      <c r="IP369" s="42"/>
      <c r="IQ369" s="42"/>
      <c r="IR369" s="42"/>
      <c r="IS369" s="42"/>
      <c r="IT369" s="42"/>
      <c r="IU369" s="42"/>
      <c r="IV369" s="42"/>
      <c r="IW369" s="42"/>
      <c r="IX369" s="42"/>
      <c r="IY369" s="42"/>
      <c r="IZ369" s="42"/>
      <c r="JA369" s="42"/>
      <c r="JB369" s="42"/>
      <c r="JC369" s="42"/>
      <c r="JD369" s="42"/>
      <c r="JE369" s="42"/>
      <c r="JF369" s="42"/>
      <c r="JG369" s="42"/>
      <c r="JH369" s="42"/>
      <c r="JI369" s="42"/>
      <c r="JJ369" s="42"/>
      <c r="JK369" s="42"/>
      <c r="JL369" s="42"/>
      <c r="JM369" s="42"/>
      <c r="JN369" s="42"/>
      <c r="JO369" s="42"/>
      <c r="JP369" s="42"/>
      <c r="JQ369" s="42"/>
      <c r="JR369" s="42"/>
      <c r="JS369" s="42"/>
      <c r="JT369" s="42"/>
      <c r="JU369" s="42"/>
      <c r="JV369" s="42"/>
      <c r="JW369" s="42"/>
      <c r="JX369" s="42"/>
      <c r="JY369" s="42"/>
      <c r="JZ369" s="42"/>
      <c r="KA369" s="42"/>
    </row>
    <row r="370" spans="1:287" ht="12.75">
      <c r="A370" s="89"/>
      <c r="B370" s="89"/>
      <c r="J370" s="19"/>
      <c r="Q370" s="19"/>
      <c r="Y370" s="19"/>
      <c r="AF370" s="19"/>
      <c r="II370" s="42"/>
      <c r="IJ370" s="42"/>
      <c r="IK370" s="42"/>
      <c r="IL370" s="42"/>
      <c r="IM370" s="42"/>
      <c r="IN370" s="42"/>
      <c r="IO370" s="42"/>
      <c r="IP370" s="42"/>
      <c r="IQ370" s="42"/>
      <c r="IR370" s="42"/>
      <c r="IS370" s="42"/>
      <c r="IT370" s="42"/>
      <c r="IU370" s="42"/>
      <c r="IV370" s="42"/>
      <c r="IW370" s="42"/>
      <c r="IX370" s="42"/>
      <c r="IY370" s="42"/>
      <c r="IZ370" s="42"/>
      <c r="JA370" s="42"/>
      <c r="JB370" s="42"/>
      <c r="JC370" s="42"/>
      <c r="JD370" s="42"/>
      <c r="JE370" s="42"/>
      <c r="JF370" s="42"/>
      <c r="JG370" s="42"/>
      <c r="JH370" s="42"/>
      <c r="JI370" s="42"/>
      <c r="JJ370" s="42"/>
      <c r="JK370" s="42"/>
      <c r="JL370" s="42"/>
      <c r="JM370" s="42"/>
      <c r="JN370" s="42"/>
      <c r="JO370" s="42"/>
      <c r="JP370" s="42"/>
      <c r="JQ370" s="42"/>
      <c r="JR370" s="42"/>
      <c r="JS370" s="42"/>
      <c r="JT370" s="42"/>
      <c r="JU370" s="42"/>
      <c r="JV370" s="42"/>
      <c r="JW370" s="42"/>
      <c r="JX370" s="42"/>
      <c r="JY370" s="42"/>
      <c r="JZ370" s="42"/>
      <c r="KA370" s="42"/>
    </row>
    <row r="371" spans="1:287" ht="12.75">
      <c r="A371" s="89"/>
      <c r="B371" s="89"/>
      <c r="J371" s="19"/>
      <c r="Q371" s="19"/>
      <c r="Y371" s="19"/>
      <c r="AF371" s="19"/>
      <c r="II371" s="42"/>
      <c r="IJ371" s="42"/>
      <c r="IK371" s="42"/>
      <c r="IL371" s="42"/>
      <c r="IM371" s="42"/>
      <c r="IN371" s="42"/>
      <c r="IO371" s="42"/>
      <c r="IP371" s="42"/>
      <c r="IQ371" s="42"/>
      <c r="IR371" s="42"/>
      <c r="IS371" s="42"/>
      <c r="IT371" s="42"/>
      <c r="IU371" s="42"/>
      <c r="IV371" s="42"/>
      <c r="IW371" s="42"/>
      <c r="IX371" s="42"/>
      <c r="IY371" s="42"/>
      <c r="IZ371" s="42"/>
      <c r="JA371" s="42"/>
      <c r="JB371" s="42"/>
      <c r="JC371" s="42"/>
      <c r="JD371" s="42"/>
      <c r="JE371" s="42"/>
      <c r="JF371" s="42"/>
      <c r="JG371" s="42"/>
      <c r="JH371" s="42"/>
      <c r="JI371" s="42"/>
      <c r="JJ371" s="42"/>
      <c r="JK371" s="42"/>
      <c r="JL371" s="42"/>
      <c r="JM371" s="42"/>
      <c r="JN371" s="42"/>
      <c r="JO371" s="42"/>
      <c r="JP371" s="42"/>
      <c r="JQ371" s="42"/>
      <c r="JR371" s="42"/>
      <c r="JS371" s="42"/>
      <c r="JT371" s="42"/>
      <c r="JU371" s="42"/>
      <c r="JV371" s="42"/>
      <c r="JW371" s="42"/>
      <c r="JX371" s="42"/>
      <c r="JY371" s="42"/>
      <c r="JZ371" s="42"/>
      <c r="KA371" s="42"/>
    </row>
    <row r="372" spans="1:287" ht="12.75">
      <c r="A372" s="89"/>
      <c r="B372" s="89"/>
      <c r="J372" s="19"/>
      <c r="Q372" s="19"/>
      <c r="Y372" s="19"/>
      <c r="AF372" s="19"/>
      <c r="II372" s="42"/>
      <c r="IJ372" s="42"/>
      <c r="IK372" s="42"/>
      <c r="IL372" s="42"/>
      <c r="IM372" s="42"/>
      <c r="IN372" s="42"/>
      <c r="IO372" s="42"/>
      <c r="IP372" s="42"/>
      <c r="IQ372" s="42"/>
      <c r="IR372" s="42"/>
      <c r="IS372" s="42"/>
      <c r="IT372" s="42"/>
      <c r="IU372" s="42"/>
      <c r="IV372" s="42"/>
      <c r="IW372" s="42"/>
      <c r="IX372" s="42"/>
      <c r="IY372" s="42"/>
      <c r="IZ372" s="42"/>
      <c r="JA372" s="42"/>
      <c r="JB372" s="42"/>
      <c r="JC372" s="42"/>
      <c r="JD372" s="42"/>
      <c r="JE372" s="42"/>
      <c r="JF372" s="42"/>
      <c r="JG372" s="42"/>
      <c r="JH372" s="42"/>
      <c r="JI372" s="42"/>
      <c r="JJ372" s="42"/>
      <c r="JK372" s="42"/>
      <c r="JL372" s="42"/>
      <c r="JM372" s="42"/>
      <c r="JN372" s="42"/>
      <c r="JO372" s="42"/>
      <c r="JP372" s="42"/>
      <c r="JQ372" s="42"/>
      <c r="JR372" s="42"/>
      <c r="JS372" s="42"/>
      <c r="JT372" s="42"/>
      <c r="JU372" s="42"/>
      <c r="JV372" s="42"/>
      <c r="JW372" s="42"/>
      <c r="JX372" s="42"/>
      <c r="JY372" s="42"/>
      <c r="JZ372" s="42"/>
      <c r="KA372" s="42"/>
    </row>
    <row r="373" spans="1:287" ht="12.75">
      <c r="A373" s="89"/>
      <c r="B373" s="89"/>
      <c r="J373" s="19"/>
      <c r="Q373" s="19"/>
      <c r="Y373" s="19"/>
      <c r="AF373" s="19"/>
      <c r="II373" s="42"/>
      <c r="IJ373" s="42"/>
      <c r="IK373" s="42"/>
      <c r="IL373" s="42"/>
      <c r="IM373" s="42"/>
      <c r="IN373" s="42"/>
      <c r="IO373" s="42"/>
      <c r="IP373" s="42"/>
      <c r="IQ373" s="42"/>
      <c r="IR373" s="42"/>
      <c r="IS373" s="42"/>
      <c r="IT373" s="42"/>
      <c r="IU373" s="42"/>
      <c r="IV373" s="42"/>
      <c r="IW373" s="42"/>
      <c r="IX373" s="42"/>
      <c r="IY373" s="42"/>
      <c r="IZ373" s="42"/>
      <c r="JA373" s="42"/>
      <c r="JB373" s="42"/>
      <c r="JC373" s="42"/>
      <c r="JD373" s="42"/>
      <c r="JE373" s="42"/>
      <c r="JF373" s="42"/>
      <c r="JG373" s="42"/>
      <c r="JH373" s="42"/>
      <c r="JI373" s="42"/>
      <c r="JJ373" s="42"/>
      <c r="JK373" s="42"/>
      <c r="JL373" s="42"/>
      <c r="JM373" s="42"/>
      <c r="JN373" s="42"/>
      <c r="JO373" s="42"/>
      <c r="JP373" s="42"/>
      <c r="JQ373" s="42"/>
      <c r="JR373" s="42"/>
      <c r="JS373" s="42"/>
      <c r="JT373" s="42"/>
      <c r="JU373" s="42"/>
      <c r="JV373" s="42"/>
      <c r="JW373" s="42"/>
      <c r="JX373" s="42"/>
      <c r="JY373" s="42"/>
      <c r="JZ373" s="42"/>
      <c r="KA373" s="42"/>
    </row>
    <row r="374" spans="1:287" ht="12.75">
      <c r="A374" s="89"/>
      <c r="B374" s="89"/>
      <c r="J374" s="19"/>
      <c r="Q374" s="19"/>
      <c r="Y374" s="19"/>
      <c r="AF374" s="19"/>
      <c r="II374" s="42"/>
      <c r="IJ374" s="42"/>
      <c r="IK374" s="42"/>
      <c r="IL374" s="42"/>
      <c r="IM374" s="42"/>
      <c r="IN374" s="42"/>
      <c r="IO374" s="42"/>
      <c r="IP374" s="42"/>
      <c r="IQ374" s="42"/>
      <c r="IR374" s="42"/>
      <c r="IS374" s="42"/>
      <c r="IT374" s="42"/>
      <c r="IU374" s="42"/>
      <c r="IV374" s="42"/>
      <c r="IW374" s="42"/>
      <c r="IX374" s="42"/>
      <c r="IY374" s="42"/>
      <c r="IZ374" s="42"/>
      <c r="JA374" s="42"/>
      <c r="JB374" s="42"/>
      <c r="JC374" s="42"/>
      <c r="JD374" s="42"/>
      <c r="JE374" s="42"/>
      <c r="JF374" s="42"/>
      <c r="JG374" s="42"/>
      <c r="JH374" s="42"/>
      <c r="JI374" s="42"/>
      <c r="JJ374" s="42"/>
      <c r="JK374" s="42"/>
      <c r="JL374" s="42"/>
      <c r="JM374" s="42"/>
      <c r="JN374" s="42"/>
      <c r="JO374" s="42"/>
      <c r="JP374" s="42"/>
      <c r="JQ374" s="42"/>
      <c r="JR374" s="42"/>
      <c r="JS374" s="42"/>
      <c r="JT374" s="42"/>
      <c r="JU374" s="42"/>
      <c r="JV374" s="42"/>
      <c r="JW374" s="42"/>
      <c r="JX374" s="42"/>
      <c r="JY374" s="42"/>
      <c r="JZ374" s="42"/>
      <c r="KA374" s="42"/>
    </row>
    <row r="375" spans="1:287" ht="12.75">
      <c r="A375" s="89"/>
      <c r="B375" s="89"/>
      <c r="J375" s="19"/>
      <c r="Q375" s="19"/>
      <c r="Y375" s="19"/>
      <c r="AF375" s="19"/>
      <c r="II375" s="42"/>
      <c r="IJ375" s="42"/>
      <c r="IK375" s="42"/>
      <c r="IL375" s="42"/>
      <c r="IM375" s="42"/>
      <c r="IN375" s="42"/>
      <c r="IO375" s="42"/>
      <c r="IP375" s="42"/>
      <c r="IQ375" s="42"/>
      <c r="IR375" s="42"/>
      <c r="IS375" s="42"/>
      <c r="IT375" s="42"/>
      <c r="IU375" s="42"/>
      <c r="IV375" s="42"/>
      <c r="IW375" s="42"/>
      <c r="IX375" s="42"/>
      <c r="IY375" s="42"/>
      <c r="IZ375" s="42"/>
      <c r="JA375" s="42"/>
      <c r="JB375" s="42"/>
      <c r="JC375" s="42"/>
      <c r="JD375" s="42"/>
      <c r="JE375" s="42"/>
      <c r="JF375" s="42"/>
      <c r="JG375" s="42"/>
      <c r="JH375" s="42"/>
      <c r="JI375" s="42"/>
      <c r="JJ375" s="42"/>
      <c r="JK375" s="42"/>
      <c r="JL375" s="42"/>
      <c r="JM375" s="42"/>
      <c r="JN375" s="42"/>
      <c r="JO375" s="42"/>
      <c r="JP375" s="42"/>
      <c r="JQ375" s="42"/>
      <c r="JR375" s="42"/>
      <c r="JS375" s="42"/>
      <c r="JT375" s="42"/>
      <c r="JU375" s="42"/>
      <c r="JV375" s="42"/>
      <c r="JW375" s="42"/>
      <c r="JX375" s="42"/>
      <c r="JY375" s="42"/>
      <c r="JZ375" s="42"/>
      <c r="KA375" s="42"/>
    </row>
    <row r="376" spans="1:287" ht="12.75">
      <c r="A376" s="89"/>
      <c r="B376" s="89"/>
      <c r="J376" s="19"/>
      <c r="Q376" s="19"/>
      <c r="Y376" s="19"/>
      <c r="AF376" s="19"/>
      <c r="II376" s="42"/>
      <c r="IJ376" s="42"/>
      <c r="IK376" s="42"/>
      <c r="IL376" s="42"/>
      <c r="IM376" s="42"/>
      <c r="IN376" s="42"/>
      <c r="IO376" s="42"/>
      <c r="IP376" s="42"/>
      <c r="IQ376" s="42"/>
      <c r="IR376" s="42"/>
      <c r="IS376" s="42"/>
      <c r="IT376" s="42"/>
      <c r="IU376" s="42"/>
      <c r="IV376" s="42"/>
      <c r="IW376" s="42"/>
      <c r="IX376" s="42"/>
      <c r="IY376" s="42"/>
      <c r="IZ376" s="42"/>
      <c r="JA376" s="42"/>
      <c r="JB376" s="42"/>
      <c r="JC376" s="42"/>
      <c r="JD376" s="42"/>
      <c r="JE376" s="42"/>
      <c r="JF376" s="42"/>
      <c r="JG376" s="42"/>
      <c r="JH376" s="42"/>
      <c r="JI376" s="42"/>
      <c r="JJ376" s="42"/>
      <c r="JK376" s="42"/>
      <c r="JL376" s="42"/>
      <c r="JM376" s="42"/>
      <c r="JN376" s="42"/>
      <c r="JO376" s="42"/>
      <c r="JP376" s="42"/>
      <c r="JQ376" s="42"/>
      <c r="JR376" s="42"/>
      <c r="JS376" s="42"/>
      <c r="JT376" s="42"/>
      <c r="JU376" s="42"/>
      <c r="JV376" s="42"/>
      <c r="JW376" s="42"/>
      <c r="JX376" s="42"/>
      <c r="JY376" s="42"/>
      <c r="JZ376" s="42"/>
      <c r="KA376" s="42"/>
    </row>
    <row r="377" spans="1:287" ht="12.75">
      <c r="A377" s="89"/>
      <c r="B377" s="89"/>
      <c r="J377" s="19"/>
      <c r="Q377" s="19"/>
      <c r="Y377" s="19"/>
      <c r="AF377" s="19"/>
      <c r="II377" s="42"/>
      <c r="IJ377" s="42"/>
      <c r="IK377" s="42"/>
      <c r="IL377" s="42"/>
      <c r="IM377" s="42"/>
      <c r="IN377" s="42"/>
      <c r="IO377" s="42"/>
      <c r="IP377" s="42"/>
      <c r="IQ377" s="42"/>
      <c r="IR377" s="42"/>
      <c r="IS377" s="42"/>
      <c r="IT377" s="42"/>
      <c r="IU377" s="42"/>
      <c r="IV377" s="42"/>
      <c r="IW377" s="42"/>
      <c r="IX377" s="42"/>
      <c r="IY377" s="42"/>
      <c r="IZ377" s="42"/>
      <c r="JA377" s="42"/>
      <c r="JB377" s="42"/>
      <c r="JC377" s="42"/>
      <c r="JD377" s="42"/>
      <c r="JE377" s="42"/>
      <c r="JF377" s="42"/>
      <c r="JG377" s="42"/>
      <c r="JH377" s="42"/>
      <c r="JI377" s="42"/>
      <c r="JJ377" s="42"/>
      <c r="JK377" s="42"/>
      <c r="JL377" s="42"/>
      <c r="JM377" s="42"/>
      <c r="JN377" s="42"/>
      <c r="JO377" s="42"/>
      <c r="JP377" s="42"/>
      <c r="JQ377" s="42"/>
      <c r="JR377" s="42"/>
      <c r="JS377" s="42"/>
      <c r="JT377" s="42"/>
      <c r="JU377" s="42"/>
      <c r="JV377" s="42"/>
      <c r="JW377" s="42"/>
      <c r="JX377" s="42"/>
      <c r="JY377" s="42"/>
      <c r="JZ377" s="42"/>
      <c r="KA377" s="42"/>
    </row>
    <row r="378" spans="1:287" ht="12.75">
      <c r="A378" s="89"/>
      <c r="B378" s="89"/>
      <c r="J378" s="19"/>
      <c r="Q378" s="19"/>
      <c r="Y378" s="19"/>
      <c r="AF378" s="19"/>
      <c r="II378" s="42"/>
      <c r="IJ378" s="42"/>
      <c r="IK378" s="42"/>
      <c r="IL378" s="42"/>
      <c r="IM378" s="42"/>
      <c r="IN378" s="42"/>
      <c r="IO378" s="42"/>
      <c r="IP378" s="42"/>
      <c r="IQ378" s="42"/>
      <c r="IR378" s="42"/>
      <c r="IS378" s="42"/>
      <c r="IT378" s="42"/>
      <c r="IU378" s="42"/>
      <c r="IV378" s="42"/>
      <c r="IW378" s="42"/>
      <c r="IX378" s="42"/>
      <c r="IY378" s="42"/>
      <c r="IZ378" s="42"/>
      <c r="JA378" s="42"/>
      <c r="JB378" s="42"/>
      <c r="JC378" s="42"/>
      <c r="JD378" s="42"/>
      <c r="JE378" s="42"/>
      <c r="JF378" s="42"/>
      <c r="JG378" s="42"/>
      <c r="JH378" s="42"/>
      <c r="JI378" s="42"/>
      <c r="JJ378" s="42"/>
      <c r="JK378" s="42"/>
      <c r="JL378" s="42"/>
      <c r="JM378" s="42"/>
      <c r="JN378" s="42"/>
      <c r="JO378" s="42"/>
      <c r="JP378" s="42"/>
      <c r="JQ378" s="42"/>
      <c r="JR378" s="42"/>
      <c r="JS378" s="42"/>
      <c r="JT378" s="42"/>
      <c r="JU378" s="42"/>
      <c r="JV378" s="42"/>
      <c r="JW378" s="42"/>
      <c r="JX378" s="42"/>
      <c r="JY378" s="42"/>
      <c r="JZ378" s="42"/>
      <c r="KA378" s="42"/>
    </row>
    <row r="379" spans="1:287" ht="12.75">
      <c r="A379" s="89"/>
      <c r="B379" s="89"/>
      <c r="J379" s="19"/>
      <c r="Q379" s="19"/>
      <c r="Y379" s="19"/>
      <c r="AF379" s="19"/>
      <c r="II379" s="42"/>
      <c r="IJ379" s="42"/>
      <c r="IK379" s="42"/>
      <c r="IL379" s="42"/>
      <c r="IM379" s="42"/>
      <c r="IN379" s="42"/>
      <c r="IO379" s="42"/>
      <c r="IP379" s="42"/>
      <c r="IQ379" s="42"/>
      <c r="IR379" s="42"/>
      <c r="IS379" s="42"/>
      <c r="IT379" s="42"/>
      <c r="IU379" s="42"/>
      <c r="IV379" s="42"/>
      <c r="IW379" s="42"/>
      <c r="IX379" s="42"/>
      <c r="IY379" s="42"/>
      <c r="IZ379" s="42"/>
      <c r="JA379" s="42"/>
      <c r="JB379" s="42"/>
      <c r="JC379" s="42"/>
      <c r="JD379" s="42"/>
      <c r="JE379" s="42"/>
      <c r="JF379" s="42"/>
      <c r="JG379" s="42"/>
      <c r="JH379" s="42"/>
      <c r="JI379" s="42"/>
      <c r="JJ379" s="42"/>
      <c r="JK379" s="42"/>
      <c r="JL379" s="42"/>
      <c r="JM379" s="42"/>
      <c r="JN379" s="42"/>
      <c r="JO379" s="42"/>
      <c r="JP379" s="42"/>
      <c r="JQ379" s="42"/>
      <c r="JR379" s="42"/>
      <c r="JS379" s="42"/>
      <c r="JT379" s="42"/>
      <c r="JU379" s="42"/>
      <c r="JV379" s="42"/>
      <c r="JW379" s="42"/>
      <c r="JX379" s="42"/>
      <c r="JY379" s="42"/>
      <c r="JZ379" s="42"/>
      <c r="KA379" s="42"/>
    </row>
    <row r="380" spans="1:287" ht="12.75">
      <c r="A380" s="89"/>
      <c r="B380" s="89"/>
      <c r="J380" s="19"/>
      <c r="Q380" s="19"/>
      <c r="Y380" s="19"/>
      <c r="AF380" s="19"/>
      <c r="II380" s="42"/>
      <c r="IJ380" s="42"/>
      <c r="IK380" s="42"/>
      <c r="IL380" s="42"/>
      <c r="IM380" s="42"/>
      <c r="IN380" s="42"/>
      <c r="IO380" s="42"/>
      <c r="IP380" s="42"/>
      <c r="IQ380" s="42"/>
      <c r="IR380" s="42"/>
      <c r="IS380" s="42"/>
      <c r="IT380" s="42"/>
      <c r="IU380" s="42"/>
      <c r="IV380" s="42"/>
      <c r="IW380" s="42"/>
      <c r="IX380" s="42"/>
      <c r="IY380" s="42"/>
      <c r="IZ380" s="42"/>
      <c r="JA380" s="42"/>
      <c r="JB380" s="42"/>
      <c r="JC380" s="42"/>
      <c r="JD380" s="42"/>
      <c r="JE380" s="42"/>
      <c r="JF380" s="42"/>
      <c r="JG380" s="42"/>
      <c r="JH380" s="42"/>
      <c r="JI380" s="42"/>
      <c r="JJ380" s="42"/>
      <c r="JK380" s="42"/>
      <c r="JL380" s="42"/>
      <c r="JM380" s="42"/>
      <c r="JN380" s="42"/>
      <c r="JO380" s="42"/>
      <c r="JP380" s="42"/>
      <c r="JQ380" s="42"/>
      <c r="JR380" s="42"/>
      <c r="JS380" s="42"/>
      <c r="JT380" s="42"/>
      <c r="JU380" s="42"/>
      <c r="JV380" s="42"/>
      <c r="JW380" s="42"/>
      <c r="JX380" s="42"/>
      <c r="JY380" s="42"/>
      <c r="JZ380" s="42"/>
      <c r="KA380" s="42"/>
    </row>
    <row r="381" spans="1:287" ht="12.75">
      <c r="A381" s="89"/>
      <c r="B381" s="89"/>
      <c r="J381" s="19"/>
      <c r="Q381" s="19"/>
      <c r="Y381" s="19"/>
      <c r="AF381" s="19"/>
      <c r="II381" s="42"/>
      <c r="IJ381" s="42"/>
      <c r="IK381" s="42"/>
      <c r="IL381" s="42"/>
      <c r="IM381" s="42"/>
      <c r="IN381" s="42"/>
      <c r="IO381" s="42"/>
      <c r="IP381" s="42"/>
      <c r="IQ381" s="42"/>
      <c r="IR381" s="42"/>
      <c r="IS381" s="42"/>
      <c r="IT381" s="42"/>
      <c r="IU381" s="42"/>
      <c r="IV381" s="42"/>
      <c r="IW381" s="42"/>
      <c r="IX381" s="42"/>
      <c r="IY381" s="42"/>
      <c r="IZ381" s="42"/>
      <c r="JA381" s="42"/>
      <c r="JB381" s="42"/>
      <c r="JC381" s="42"/>
      <c r="JD381" s="42"/>
      <c r="JE381" s="42"/>
      <c r="JF381" s="42"/>
      <c r="JG381" s="42"/>
      <c r="JH381" s="42"/>
      <c r="JI381" s="42"/>
      <c r="JJ381" s="42"/>
      <c r="JK381" s="42"/>
      <c r="JL381" s="42"/>
      <c r="JM381" s="42"/>
      <c r="JN381" s="42"/>
      <c r="JO381" s="42"/>
      <c r="JP381" s="42"/>
      <c r="JQ381" s="42"/>
      <c r="JR381" s="42"/>
      <c r="JS381" s="42"/>
      <c r="JT381" s="42"/>
      <c r="JU381" s="42"/>
      <c r="JV381" s="42"/>
      <c r="JW381" s="42"/>
      <c r="JX381" s="42"/>
      <c r="JY381" s="42"/>
      <c r="JZ381" s="42"/>
      <c r="KA381" s="42"/>
    </row>
    <row r="382" spans="1:287" ht="12.75">
      <c r="A382" s="89"/>
      <c r="B382" s="89"/>
      <c r="J382" s="19"/>
      <c r="Q382" s="19"/>
      <c r="Y382" s="19"/>
      <c r="AF382" s="19"/>
      <c r="II382" s="42"/>
      <c r="IJ382" s="42"/>
      <c r="IK382" s="42"/>
      <c r="IL382" s="42"/>
      <c r="IM382" s="42"/>
      <c r="IN382" s="42"/>
      <c r="IO382" s="42"/>
      <c r="IP382" s="42"/>
      <c r="IQ382" s="42"/>
      <c r="IR382" s="42"/>
      <c r="IS382" s="42"/>
      <c r="IT382" s="42"/>
      <c r="IU382" s="42"/>
      <c r="IV382" s="42"/>
      <c r="IW382" s="42"/>
      <c r="IX382" s="42"/>
      <c r="IY382" s="42"/>
      <c r="IZ382" s="42"/>
      <c r="JA382" s="42"/>
      <c r="JB382" s="42"/>
      <c r="JC382" s="42"/>
      <c r="JD382" s="42"/>
      <c r="JE382" s="42"/>
      <c r="JF382" s="42"/>
      <c r="JG382" s="42"/>
      <c r="JH382" s="42"/>
      <c r="JI382" s="42"/>
      <c r="JJ382" s="42"/>
      <c r="JK382" s="42"/>
      <c r="JL382" s="42"/>
      <c r="JM382" s="42"/>
      <c r="JN382" s="42"/>
      <c r="JO382" s="42"/>
      <c r="JP382" s="42"/>
      <c r="JQ382" s="42"/>
      <c r="JR382" s="42"/>
      <c r="JS382" s="42"/>
      <c r="JT382" s="42"/>
      <c r="JU382" s="42"/>
      <c r="JV382" s="42"/>
      <c r="JW382" s="42"/>
      <c r="JX382" s="42"/>
      <c r="JY382" s="42"/>
      <c r="JZ382" s="42"/>
      <c r="KA382" s="42"/>
    </row>
    <row r="383" spans="1:287" ht="12.75">
      <c r="A383" s="89"/>
      <c r="B383" s="89"/>
      <c r="J383" s="19"/>
      <c r="Q383" s="19"/>
      <c r="Y383" s="19"/>
      <c r="AF383" s="19"/>
      <c r="II383" s="42"/>
      <c r="IJ383" s="42"/>
      <c r="IK383" s="42"/>
      <c r="IL383" s="42"/>
      <c r="IM383" s="42"/>
      <c r="IN383" s="42"/>
      <c r="IO383" s="42"/>
      <c r="IP383" s="42"/>
      <c r="IQ383" s="42"/>
      <c r="IR383" s="42"/>
      <c r="IS383" s="42"/>
      <c r="IT383" s="42"/>
      <c r="IU383" s="42"/>
      <c r="IV383" s="42"/>
      <c r="IW383" s="42"/>
      <c r="IX383" s="42"/>
      <c r="IY383" s="42"/>
      <c r="IZ383" s="42"/>
      <c r="JA383" s="42"/>
      <c r="JB383" s="42"/>
      <c r="JC383" s="42"/>
      <c r="JD383" s="42"/>
      <c r="JE383" s="42"/>
      <c r="JF383" s="42"/>
      <c r="JG383" s="42"/>
      <c r="JH383" s="42"/>
      <c r="JI383" s="42"/>
      <c r="JJ383" s="42"/>
      <c r="JK383" s="42"/>
      <c r="JL383" s="42"/>
      <c r="JM383" s="42"/>
      <c r="JN383" s="42"/>
      <c r="JO383" s="42"/>
      <c r="JP383" s="42"/>
      <c r="JQ383" s="42"/>
      <c r="JR383" s="42"/>
      <c r="JS383" s="42"/>
      <c r="JT383" s="42"/>
      <c r="JU383" s="42"/>
      <c r="JV383" s="42"/>
      <c r="JW383" s="42"/>
      <c r="JX383" s="42"/>
      <c r="JY383" s="42"/>
      <c r="JZ383" s="42"/>
      <c r="KA383" s="42"/>
    </row>
    <row r="384" spans="1:287" ht="12.75">
      <c r="A384" s="89"/>
      <c r="B384" s="89"/>
      <c r="J384" s="19"/>
      <c r="Q384" s="19"/>
      <c r="Y384" s="19"/>
      <c r="AF384" s="19"/>
      <c r="II384" s="42"/>
      <c r="IJ384" s="42"/>
      <c r="IK384" s="42"/>
      <c r="IL384" s="42"/>
      <c r="IM384" s="42"/>
      <c r="IN384" s="42"/>
      <c r="IO384" s="42"/>
      <c r="IP384" s="42"/>
      <c r="IQ384" s="42"/>
      <c r="IR384" s="42"/>
      <c r="IS384" s="42"/>
      <c r="IT384" s="42"/>
      <c r="IU384" s="42"/>
      <c r="IV384" s="42"/>
      <c r="IW384" s="42"/>
      <c r="IX384" s="42"/>
      <c r="IY384" s="42"/>
      <c r="IZ384" s="42"/>
      <c r="JA384" s="42"/>
      <c r="JB384" s="42"/>
      <c r="JC384" s="42"/>
      <c r="JD384" s="42"/>
      <c r="JE384" s="42"/>
      <c r="JF384" s="42"/>
      <c r="JG384" s="42"/>
      <c r="JH384" s="42"/>
      <c r="JI384" s="42"/>
      <c r="JJ384" s="42"/>
      <c r="JK384" s="42"/>
      <c r="JL384" s="42"/>
      <c r="JM384" s="42"/>
      <c r="JN384" s="42"/>
      <c r="JO384" s="42"/>
      <c r="JP384" s="42"/>
      <c r="JQ384" s="42"/>
      <c r="JR384" s="42"/>
      <c r="JS384" s="42"/>
      <c r="JT384" s="42"/>
      <c r="JU384" s="42"/>
      <c r="JV384" s="42"/>
      <c r="JW384" s="42"/>
      <c r="JX384" s="42"/>
      <c r="JY384" s="42"/>
      <c r="JZ384" s="42"/>
      <c r="KA384" s="42"/>
    </row>
    <row r="385" spans="1:287" ht="12.75">
      <c r="A385" s="89"/>
      <c r="B385" s="89"/>
      <c r="J385" s="19"/>
      <c r="Q385" s="19"/>
      <c r="Y385" s="19"/>
      <c r="AF385" s="19"/>
      <c r="II385" s="42"/>
      <c r="IJ385" s="42"/>
      <c r="IK385" s="42"/>
      <c r="IL385" s="42"/>
      <c r="IM385" s="42"/>
      <c r="IN385" s="42"/>
      <c r="IO385" s="42"/>
      <c r="IP385" s="42"/>
      <c r="IQ385" s="42"/>
      <c r="IR385" s="42"/>
      <c r="IS385" s="42"/>
      <c r="IT385" s="42"/>
      <c r="IU385" s="42"/>
      <c r="IV385" s="42"/>
      <c r="IW385" s="42"/>
      <c r="IX385" s="42"/>
      <c r="IY385" s="42"/>
      <c r="IZ385" s="42"/>
      <c r="JA385" s="42"/>
      <c r="JB385" s="42"/>
      <c r="JC385" s="42"/>
      <c r="JD385" s="42"/>
      <c r="JE385" s="42"/>
      <c r="JF385" s="42"/>
      <c r="JG385" s="42"/>
      <c r="JH385" s="42"/>
      <c r="JI385" s="42"/>
      <c r="JJ385" s="42"/>
      <c r="JK385" s="42"/>
      <c r="JL385" s="42"/>
      <c r="JM385" s="42"/>
      <c r="JN385" s="42"/>
      <c r="JO385" s="42"/>
      <c r="JP385" s="42"/>
      <c r="JQ385" s="42"/>
      <c r="JR385" s="42"/>
      <c r="JS385" s="42"/>
      <c r="JT385" s="42"/>
      <c r="JU385" s="42"/>
      <c r="JV385" s="42"/>
      <c r="JW385" s="42"/>
      <c r="JX385" s="42"/>
      <c r="JY385" s="42"/>
      <c r="JZ385" s="42"/>
      <c r="KA385" s="42"/>
    </row>
    <row r="386" spans="1:287" ht="12.75">
      <c r="A386" s="89"/>
      <c r="B386" s="89"/>
      <c r="J386" s="19"/>
      <c r="Q386" s="19"/>
      <c r="Y386" s="19"/>
      <c r="AF386" s="19"/>
      <c r="II386" s="42"/>
      <c r="IJ386" s="42"/>
      <c r="IK386" s="42"/>
      <c r="IL386" s="42"/>
      <c r="IM386" s="42"/>
      <c r="IN386" s="42"/>
      <c r="IO386" s="42"/>
      <c r="IP386" s="42"/>
      <c r="IQ386" s="42"/>
      <c r="IR386" s="42"/>
      <c r="IS386" s="42"/>
      <c r="IT386" s="42"/>
      <c r="IU386" s="42"/>
      <c r="IV386" s="42"/>
      <c r="IW386" s="42"/>
      <c r="IX386" s="42"/>
      <c r="IY386" s="42"/>
      <c r="IZ386" s="42"/>
      <c r="JA386" s="42"/>
      <c r="JB386" s="42"/>
      <c r="JC386" s="42"/>
      <c r="JD386" s="42"/>
      <c r="JE386" s="42"/>
      <c r="JF386" s="42"/>
      <c r="JG386" s="42"/>
      <c r="JH386" s="42"/>
      <c r="JI386" s="42"/>
      <c r="JJ386" s="42"/>
      <c r="JK386" s="42"/>
      <c r="JL386" s="42"/>
      <c r="JM386" s="42"/>
      <c r="JN386" s="42"/>
      <c r="JO386" s="42"/>
      <c r="JP386" s="42"/>
      <c r="JQ386" s="42"/>
      <c r="JR386" s="42"/>
      <c r="JS386" s="42"/>
      <c r="JT386" s="42"/>
      <c r="JU386" s="42"/>
      <c r="JV386" s="42"/>
      <c r="JW386" s="42"/>
      <c r="JX386" s="42"/>
      <c r="JY386" s="42"/>
      <c r="JZ386" s="42"/>
      <c r="KA386" s="42"/>
    </row>
    <row r="387" spans="1:287" ht="12.75">
      <c r="A387" s="89"/>
      <c r="B387" s="89"/>
      <c r="J387" s="19"/>
      <c r="Q387" s="19"/>
      <c r="Y387" s="19"/>
      <c r="AF387" s="19"/>
      <c r="II387" s="42"/>
      <c r="IJ387" s="42"/>
      <c r="IK387" s="42"/>
      <c r="IL387" s="42"/>
      <c r="IM387" s="42"/>
      <c r="IN387" s="42"/>
      <c r="IO387" s="42"/>
      <c r="IP387" s="42"/>
      <c r="IQ387" s="42"/>
      <c r="IR387" s="42"/>
      <c r="IS387" s="42"/>
      <c r="IT387" s="42"/>
      <c r="IU387" s="42"/>
      <c r="IV387" s="42"/>
      <c r="IW387" s="42"/>
      <c r="IX387" s="42"/>
      <c r="IY387" s="42"/>
      <c r="IZ387" s="42"/>
      <c r="JA387" s="42"/>
      <c r="JB387" s="42"/>
      <c r="JC387" s="42"/>
      <c r="JD387" s="42"/>
      <c r="JE387" s="42"/>
      <c r="JF387" s="42"/>
      <c r="JG387" s="42"/>
      <c r="JH387" s="42"/>
      <c r="JI387" s="42"/>
      <c r="JJ387" s="42"/>
      <c r="JK387" s="42"/>
      <c r="JL387" s="42"/>
      <c r="JM387" s="42"/>
      <c r="JN387" s="42"/>
      <c r="JO387" s="42"/>
      <c r="JP387" s="42"/>
      <c r="JQ387" s="42"/>
      <c r="JR387" s="42"/>
      <c r="JS387" s="42"/>
      <c r="JT387" s="42"/>
      <c r="JU387" s="42"/>
      <c r="JV387" s="42"/>
      <c r="JW387" s="42"/>
      <c r="JX387" s="42"/>
      <c r="JY387" s="42"/>
      <c r="JZ387" s="42"/>
      <c r="KA387" s="42"/>
    </row>
    <row r="388" spans="1:287" ht="12.75">
      <c r="A388" s="89"/>
      <c r="B388" s="89"/>
      <c r="J388" s="19"/>
      <c r="Q388" s="19"/>
      <c r="Y388" s="19"/>
      <c r="AF388" s="19"/>
      <c r="II388" s="42"/>
      <c r="IJ388" s="42"/>
      <c r="IK388" s="42"/>
      <c r="IL388" s="42"/>
      <c r="IM388" s="42"/>
      <c r="IN388" s="42"/>
      <c r="IO388" s="42"/>
      <c r="IP388" s="42"/>
      <c r="IQ388" s="42"/>
      <c r="IR388" s="42"/>
      <c r="IS388" s="42"/>
      <c r="IT388" s="42"/>
      <c r="IU388" s="42"/>
      <c r="IV388" s="42"/>
      <c r="IW388" s="42"/>
      <c r="IX388" s="42"/>
      <c r="IY388" s="42"/>
      <c r="IZ388" s="42"/>
      <c r="JA388" s="42"/>
      <c r="JB388" s="42"/>
      <c r="JC388" s="42"/>
      <c r="JD388" s="42"/>
      <c r="JE388" s="42"/>
      <c r="JF388" s="42"/>
      <c r="JG388" s="42"/>
      <c r="JH388" s="42"/>
      <c r="JI388" s="42"/>
      <c r="JJ388" s="42"/>
      <c r="JK388" s="42"/>
      <c r="JL388" s="42"/>
      <c r="JM388" s="42"/>
      <c r="JN388" s="42"/>
      <c r="JO388" s="42"/>
      <c r="JP388" s="42"/>
      <c r="JQ388" s="42"/>
      <c r="JR388" s="42"/>
      <c r="JS388" s="42"/>
      <c r="JT388" s="42"/>
      <c r="JU388" s="42"/>
      <c r="JV388" s="42"/>
      <c r="JW388" s="42"/>
      <c r="JX388" s="42"/>
      <c r="JY388" s="42"/>
      <c r="JZ388" s="42"/>
      <c r="KA388" s="42"/>
    </row>
    <row r="389" spans="1:287" ht="12.75">
      <c r="A389" s="89"/>
      <c r="B389" s="89"/>
      <c r="J389" s="19"/>
      <c r="Q389" s="19"/>
      <c r="Y389" s="19"/>
      <c r="AF389" s="19"/>
      <c r="II389" s="42"/>
      <c r="IJ389" s="42"/>
      <c r="IK389" s="42"/>
      <c r="IL389" s="42"/>
      <c r="IM389" s="42"/>
      <c r="IN389" s="42"/>
      <c r="IO389" s="42"/>
      <c r="IP389" s="42"/>
      <c r="IQ389" s="42"/>
      <c r="IR389" s="42"/>
      <c r="IS389" s="42"/>
      <c r="IT389" s="42"/>
      <c r="IU389" s="42"/>
      <c r="IV389" s="42"/>
      <c r="IW389" s="42"/>
      <c r="IX389" s="42"/>
      <c r="IY389" s="42"/>
      <c r="IZ389" s="42"/>
      <c r="JA389" s="42"/>
      <c r="JB389" s="42"/>
      <c r="JC389" s="42"/>
      <c r="JD389" s="42"/>
      <c r="JE389" s="42"/>
      <c r="JF389" s="42"/>
      <c r="JG389" s="42"/>
      <c r="JH389" s="42"/>
      <c r="JI389" s="42"/>
      <c r="JJ389" s="42"/>
      <c r="JK389" s="42"/>
      <c r="JL389" s="42"/>
      <c r="JM389" s="42"/>
      <c r="JN389" s="42"/>
      <c r="JO389" s="42"/>
      <c r="JP389" s="42"/>
      <c r="JQ389" s="42"/>
      <c r="JR389" s="42"/>
      <c r="JS389" s="42"/>
      <c r="JT389" s="42"/>
      <c r="JU389" s="42"/>
      <c r="JV389" s="42"/>
      <c r="JW389" s="42"/>
      <c r="JX389" s="42"/>
      <c r="JY389" s="42"/>
      <c r="JZ389" s="42"/>
      <c r="KA389" s="42"/>
    </row>
    <row r="390" spans="1:287" ht="12.75">
      <c r="A390" s="89"/>
      <c r="B390" s="89"/>
      <c r="J390" s="19"/>
      <c r="Q390" s="19"/>
      <c r="Y390" s="19"/>
      <c r="AF390" s="19"/>
      <c r="II390" s="42"/>
      <c r="IJ390" s="42"/>
      <c r="IK390" s="42"/>
      <c r="IL390" s="42"/>
      <c r="IM390" s="42"/>
      <c r="IN390" s="42"/>
      <c r="IO390" s="42"/>
      <c r="IP390" s="42"/>
      <c r="IQ390" s="42"/>
      <c r="IR390" s="42"/>
      <c r="IS390" s="42"/>
      <c r="IT390" s="42"/>
      <c r="IU390" s="42"/>
      <c r="IV390" s="42"/>
      <c r="IW390" s="42"/>
      <c r="IX390" s="42"/>
      <c r="IY390" s="42"/>
      <c r="IZ390" s="42"/>
      <c r="JA390" s="42"/>
      <c r="JB390" s="42"/>
      <c r="JC390" s="42"/>
      <c r="JD390" s="42"/>
      <c r="JE390" s="42"/>
      <c r="JF390" s="42"/>
      <c r="JG390" s="42"/>
      <c r="JH390" s="42"/>
      <c r="JI390" s="42"/>
      <c r="JJ390" s="42"/>
      <c r="JK390" s="42"/>
      <c r="JL390" s="42"/>
      <c r="JM390" s="42"/>
      <c r="JN390" s="42"/>
      <c r="JO390" s="42"/>
      <c r="JP390" s="42"/>
      <c r="JQ390" s="42"/>
      <c r="JR390" s="42"/>
      <c r="JS390" s="42"/>
      <c r="JT390" s="42"/>
      <c r="JU390" s="42"/>
      <c r="JV390" s="42"/>
      <c r="JW390" s="42"/>
      <c r="JX390" s="42"/>
      <c r="JY390" s="42"/>
      <c r="JZ390" s="42"/>
      <c r="KA390" s="42"/>
    </row>
    <row r="391" spans="1:287" ht="12.75">
      <c r="A391" s="89"/>
      <c r="B391" s="89"/>
      <c r="J391" s="19"/>
      <c r="Q391" s="19"/>
      <c r="Y391" s="19"/>
      <c r="AF391" s="19"/>
      <c r="II391" s="42"/>
      <c r="IJ391" s="42"/>
      <c r="IK391" s="42"/>
      <c r="IL391" s="42"/>
      <c r="IM391" s="42"/>
      <c r="IN391" s="42"/>
      <c r="IO391" s="42"/>
      <c r="IP391" s="42"/>
      <c r="IQ391" s="42"/>
      <c r="IR391" s="42"/>
      <c r="IS391" s="42"/>
      <c r="IT391" s="42"/>
      <c r="IU391" s="42"/>
      <c r="IV391" s="42"/>
      <c r="IW391" s="42"/>
      <c r="IX391" s="42"/>
      <c r="IY391" s="42"/>
      <c r="IZ391" s="42"/>
      <c r="JA391" s="42"/>
      <c r="JB391" s="42"/>
      <c r="JC391" s="42"/>
      <c r="JD391" s="42"/>
      <c r="JE391" s="42"/>
      <c r="JF391" s="42"/>
      <c r="JG391" s="42"/>
      <c r="JH391" s="42"/>
      <c r="JI391" s="42"/>
      <c r="JJ391" s="42"/>
      <c r="JK391" s="42"/>
      <c r="JL391" s="42"/>
      <c r="JM391" s="42"/>
      <c r="JN391" s="42"/>
      <c r="JO391" s="42"/>
      <c r="JP391" s="42"/>
      <c r="JQ391" s="42"/>
      <c r="JR391" s="42"/>
      <c r="JS391" s="42"/>
      <c r="JT391" s="42"/>
      <c r="JU391" s="42"/>
      <c r="JV391" s="42"/>
      <c r="JW391" s="42"/>
      <c r="JX391" s="42"/>
      <c r="JY391" s="42"/>
      <c r="JZ391" s="42"/>
      <c r="KA391" s="42"/>
    </row>
    <row r="392" spans="1:287" ht="12.75">
      <c r="A392" s="89"/>
      <c r="B392" s="89"/>
      <c r="J392" s="19"/>
      <c r="Q392" s="19"/>
      <c r="Y392" s="19"/>
      <c r="AF392" s="19"/>
      <c r="II392" s="42"/>
      <c r="IJ392" s="42"/>
      <c r="IK392" s="42"/>
      <c r="IL392" s="42"/>
      <c r="IM392" s="42"/>
      <c r="IN392" s="42"/>
      <c r="IO392" s="42"/>
      <c r="IP392" s="42"/>
      <c r="IQ392" s="42"/>
      <c r="IR392" s="42"/>
      <c r="IS392" s="42"/>
      <c r="IT392" s="42"/>
      <c r="IU392" s="42"/>
      <c r="IV392" s="42"/>
      <c r="IW392" s="42"/>
      <c r="IX392" s="42"/>
      <c r="IY392" s="42"/>
      <c r="IZ392" s="42"/>
      <c r="JA392" s="42"/>
      <c r="JB392" s="42"/>
      <c r="JC392" s="42"/>
      <c r="JD392" s="42"/>
      <c r="JE392" s="42"/>
      <c r="JF392" s="42"/>
      <c r="JG392" s="42"/>
      <c r="JH392" s="42"/>
      <c r="JI392" s="42"/>
      <c r="JJ392" s="42"/>
      <c r="JK392" s="42"/>
      <c r="JL392" s="42"/>
      <c r="JM392" s="42"/>
      <c r="JN392" s="42"/>
      <c r="JO392" s="42"/>
      <c r="JP392" s="42"/>
      <c r="JQ392" s="42"/>
      <c r="JR392" s="42"/>
      <c r="JS392" s="42"/>
      <c r="JT392" s="42"/>
      <c r="JU392" s="42"/>
      <c r="JV392" s="42"/>
      <c r="JW392" s="42"/>
      <c r="JX392" s="42"/>
      <c r="JY392" s="42"/>
      <c r="JZ392" s="42"/>
      <c r="KA392" s="42"/>
    </row>
    <row r="393" spans="1:287" ht="12.75">
      <c r="A393" s="89"/>
      <c r="B393" s="89"/>
      <c r="J393" s="19"/>
      <c r="Q393" s="19"/>
      <c r="Y393" s="19"/>
      <c r="AF393" s="19"/>
      <c r="II393" s="42"/>
      <c r="IJ393" s="42"/>
      <c r="IK393" s="42"/>
      <c r="IL393" s="42"/>
      <c r="IM393" s="42"/>
      <c r="IN393" s="42"/>
      <c r="IO393" s="42"/>
      <c r="IP393" s="42"/>
      <c r="IQ393" s="42"/>
      <c r="IR393" s="42"/>
      <c r="IS393" s="42"/>
      <c r="IT393" s="42"/>
      <c r="IU393" s="42"/>
      <c r="IV393" s="42"/>
      <c r="IW393" s="42"/>
      <c r="IX393" s="42"/>
      <c r="IY393" s="42"/>
      <c r="IZ393" s="42"/>
      <c r="JA393" s="42"/>
      <c r="JB393" s="42"/>
      <c r="JC393" s="42"/>
      <c r="JD393" s="42"/>
      <c r="JE393" s="42"/>
      <c r="JF393" s="42"/>
      <c r="JG393" s="42"/>
      <c r="JH393" s="42"/>
      <c r="JI393" s="42"/>
      <c r="JJ393" s="42"/>
      <c r="JK393" s="42"/>
      <c r="JL393" s="42"/>
      <c r="JM393" s="42"/>
      <c r="JN393" s="42"/>
      <c r="JO393" s="42"/>
      <c r="JP393" s="42"/>
      <c r="JQ393" s="42"/>
      <c r="JR393" s="42"/>
      <c r="JS393" s="42"/>
      <c r="JT393" s="42"/>
      <c r="JU393" s="42"/>
      <c r="JV393" s="42"/>
      <c r="JW393" s="42"/>
      <c r="JX393" s="42"/>
      <c r="JY393" s="42"/>
      <c r="JZ393" s="42"/>
      <c r="KA393" s="42"/>
    </row>
    <row r="394" spans="1:287" ht="12.75">
      <c r="A394" s="89"/>
      <c r="B394" s="89"/>
      <c r="J394" s="19"/>
      <c r="Q394" s="19"/>
      <c r="Y394" s="19"/>
      <c r="AF394" s="19"/>
      <c r="II394" s="42"/>
      <c r="IJ394" s="42"/>
      <c r="IK394" s="42"/>
      <c r="IL394" s="42"/>
      <c r="IM394" s="42"/>
      <c r="IN394" s="42"/>
      <c r="IO394" s="42"/>
      <c r="IP394" s="42"/>
      <c r="IQ394" s="42"/>
      <c r="IR394" s="42"/>
      <c r="IS394" s="42"/>
      <c r="IT394" s="42"/>
      <c r="IU394" s="42"/>
      <c r="IV394" s="42"/>
      <c r="IW394" s="42"/>
      <c r="IX394" s="42"/>
      <c r="IY394" s="42"/>
      <c r="IZ394" s="42"/>
      <c r="JA394" s="42"/>
      <c r="JB394" s="42"/>
      <c r="JC394" s="42"/>
      <c r="JD394" s="42"/>
      <c r="JE394" s="42"/>
      <c r="JF394" s="42"/>
      <c r="JG394" s="42"/>
      <c r="JH394" s="42"/>
      <c r="JI394" s="42"/>
      <c r="JJ394" s="42"/>
      <c r="JK394" s="42"/>
      <c r="JL394" s="42"/>
      <c r="JM394" s="42"/>
      <c r="JN394" s="42"/>
      <c r="JO394" s="42"/>
      <c r="JP394" s="42"/>
      <c r="JQ394" s="42"/>
      <c r="JR394" s="42"/>
      <c r="JS394" s="42"/>
      <c r="JT394" s="42"/>
      <c r="JU394" s="42"/>
      <c r="JV394" s="42"/>
      <c r="JW394" s="42"/>
      <c r="JX394" s="42"/>
      <c r="JY394" s="42"/>
      <c r="JZ394" s="42"/>
      <c r="KA394" s="42"/>
    </row>
    <row r="395" spans="1:287" ht="12.75">
      <c r="A395" s="89"/>
      <c r="B395" s="89"/>
      <c r="J395" s="19"/>
      <c r="Q395" s="19"/>
      <c r="Y395" s="19"/>
      <c r="AF395" s="19"/>
      <c r="II395" s="42"/>
      <c r="IJ395" s="42"/>
      <c r="IK395" s="42"/>
      <c r="IL395" s="42"/>
      <c r="IM395" s="42"/>
      <c r="IN395" s="42"/>
      <c r="IO395" s="42"/>
      <c r="IP395" s="42"/>
      <c r="IQ395" s="42"/>
      <c r="IR395" s="42"/>
      <c r="IS395" s="42"/>
      <c r="IT395" s="42"/>
      <c r="IU395" s="42"/>
      <c r="IV395" s="42"/>
      <c r="IW395" s="42"/>
      <c r="IX395" s="42"/>
      <c r="IY395" s="42"/>
      <c r="IZ395" s="42"/>
      <c r="JA395" s="42"/>
      <c r="JB395" s="42"/>
      <c r="JC395" s="42"/>
      <c r="JD395" s="42"/>
      <c r="JE395" s="42"/>
      <c r="JF395" s="42"/>
      <c r="JG395" s="42"/>
      <c r="JH395" s="42"/>
      <c r="JI395" s="42"/>
      <c r="JJ395" s="42"/>
      <c r="JK395" s="42"/>
      <c r="JL395" s="42"/>
      <c r="JM395" s="42"/>
      <c r="JN395" s="42"/>
      <c r="JO395" s="42"/>
      <c r="JP395" s="42"/>
      <c r="JQ395" s="42"/>
      <c r="JR395" s="42"/>
      <c r="JS395" s="42"/>
      <c r="JT395" s="42"/>
      <c r="JU395" s="42"/>
      <c r="JV395" s="42"/>
      <c r="JW395" s="42"/>
      <c r="JX395" s="42"/>
      <c r="JY395" s="42"/>
      <c r="JZ395" s="42"/>
      <c r="KA395" s="42"/>
    </row>
    <row r="396" spans="1:287" ht="12.75">
      <c r="A396" s="89"/>
      <c r="B396" s="89"/>
      <c r="J396" s="19"/>
      <c r="Q396" s="19"/>
      <c r="Y396" s="19"/>
      <c r="AF396" s="19"/>
      <c r="II396" s="42"/>
      <c r="IJ396" s="42"/>
      <c r="IK396" s="42"/>
      <c r="IL396" s="42"/>
      <c r="IM396" s="42"/>
      <c r="IN396" s="42"/>
      <c r="IO396" s="42"/>
      <c r="IP396" s="42"/>
      <c r="IQ396" s="42"/>
      <c r="IR396" s="42"/>
      <c r="IS396" s="42"/>
      <c r="IT396" s="42"/>
      <c r="IU396" s="42"/>
      <c r="IV396" s="42"/>
      <c r="IW396" s="42"/>
      <c r="IX396" s="42"/>
      <c r="IY396" s="42"/>
      <c r="IZ396" s="42"/>
      <c r="JA396" s="42"/>
      <c r="JB396" s="42"/>
      <c r="JC396" s="42"/>
      <c r="JD396" s="42"/>
      <c r="JE396" s="42"/>
      <c r="JF396" s="42"/>
      <c r="JG396" s="42"/>
      <c r="JH396" s="42"/>
      <c r="JI396" s="42"/>
      <c r="JJ396" s="42"/>
      <c r="JK396" s="42"/>
      <c r="JL396" s="42"/>
      <c r="JM396" s="42"/>
      <c r="JN396" s="42"/>
      <c r="JO396" s="42"/>
      <c r="JP396" s="42"/>
      <c r="JQ396" s="42"/>
      <c r="JR396" s="42"/>
      <c r="JS396" s="42"/>
      <c r="JT396" s="42"/>
      <c r="JU396" s="42"/>
      <c r="JV396" s="42"/>
      <c r="JW396" s="42"/>
      <c r="JX396" s="42"/>
      <c r="JY396" s="42"/>
      <c r="JZ396" s="42"/>
      <c r="KA396" s="42"/>
    </row>
    <row r="397" spans="1:287" ht="12.75">
      <c r="A397" s="89"/>
      <c r="B397" s="89"/>
      <c r="J397" s="19"/>
      <c r="Q397" s="19"/>
      <c r="Y397" s="19"/>
      <c r="AF397" s="19"/>
      <c r="II397" s="42"/>
      <c r="IJ397" s="42"/>
      <c r="IK397" s="42"/>
      <c r="IL397" s="42"/>
      <c r="IM397" s="42"/>
      <c r="IN397" s="42"/>
      <c r="IO397" s="42"/>
      <c r="IP397" s="42"/>
      <c r="IQ397" s="42"/>
      <c r="IR397" s="42"/>
      <c r="IS397" s="42"/>
      <c r="IT397" s="42"/>
      <c r="IU397" s="42"/>
      <c r="IV397" s="42"/>
      <c r="IW397" s="42"/>
      <c r="IX397" s="42"/>
      <c r="IY397" s="42"/>
      <c r="IZ397" s="42"/>
      <c r="JA397" s="42"/>
      <c r="JB397" s="42"/>
      <c r="JC397" s="42"/>
      <c r="JD397" s="42"/>
      <c r="JE397" s="42"/>
      <c r="JF397" s="42"/>
      <c r="JG397" s="42"/>
      <c r="JH397" s="42"/>
      <c r="JI397" s="42"/>
      <c r="JJ397" s="42"/>
      <c r="JK397" s="42"/>
      <c r="JL397" s="42"/>
      <c r="JM397" s="42"/>
      <c r="JN397" s="42"/>
      <c r="JO397" s="42"/>
      <c r="JP397" s="42"/>
      <c r="JQ397" s="42"/>
      <c r="JR397" s="42"/>
      <c r="JS397" s="42"/>
      <c r="JT397" s="42"/>
      <c r="JU397" s="42"/>
      <c r="JV397" s="42"/>
      <c r="JW397" s="42"/>
      <c r="JX397" s="42"/>
      <c r="JY397" s="42"/>
      <c r="JZ397" s="42"/>
      <c r="KA397" s="42"/>
    </row>
    <row r="398" spans="1:287" ht="12.75">
      <c r="A398" s="89"/>
      <c r="B398" s="89"/>
      <c r="J398" s="19"/>
      <c r="Q398" s="19"/>
      <c r="Y398" s="19"/>
      <c r="AF398" s="19"/>
      <c r="II398" s="42"/>
      <c r="IJ398" s="42"/>
      <c r="IK398" s="42"/>
      <c r="IL398" s="42"/>
      <c r="IM398" s="42"/>
      <c r="IN398" s="42"/>
      <c r="IO398" s="42"/>
      <c r="IP398" s="42"/>
      <c r="IQ398" s="42"/>
      <c r="IR398" s="42"/>
      <c r="IS398" s="42"/>
      <c r="IT398" s="42"/>
      <c r="IU398" s="42"/>
      <c r="IV398" s="42"/>
      <c r="IW398" s="42"/>
      <c r="IX398" s="42"/>
      <c r="IY398" s="42"/>
      <c r="IZ398" s="42"/>
      <c r="JA398" s="42"/>
      <c r="JB398" s="42"/>
      <c r="JC398" s="42"/>
      <c r="JD398" s="42"/>
      <c r="JE398" s="42"/>
      <c r="JF398" s="42"/>
      <c r="JG398" s="42"/>
      <c r="JH398" s="42"/>
      <c r="JI398" s="42"/>
      <c r="JJ398" s="42"/>
      <c r="JK398" s="42"/>
      <c r="JL398" s="42"/>
      <c r="JM398" s="42"/>
      <c r="JN398" s="42"/>
      <c r="JO398" s="42"/>
      <c r="JP398" s="42"/>
      <c r="JQ398" s="42"/>
      <c r="JR398" s="42"/>
      <c r="JS398" s="42"/>
      <c r="JT398" s="42"/>
      <c r="JU398" s="42"/>
      <c r="JV398" s="42"/>
      <c r="JW398" s="42"/>
      <c r="JX398" s="42"/>
      <c r="JY398" s="42"/>
      <c r="JZ398" s="42"/>
      <c r="KA398" s="42"/>
    </row>
    <row r="399" spans="1:287" ht="12.75">
      <c r="A399" s="89"/>
      <c r="B399" s="89"/>
      <c r="J399" s="19"/>
      <c r="Q399" s="19"/>
      <c r="Y399" s="19"/>
      <c r="AF399" s="19"/>
      <c r="II399" s="42"/>
      <c r="IJ399" s="42"/>
      <c r="IK399" s="42"/>
      <c r="IL399" s="42"/>
      <c r="IM399" s="42"/>
      <c r="IN399" s="42"/>
      <c r="IO399" s="42"/>
      <c r="IP399" s="42"/>
      <c r="IQ399" s="42"/>
      <c r="IR399" s="42"/>
      <c r="IS399" s="42"/>
      <c r="IT399" s="42"/>
      <c r="IU399" s="42"/>
      <c r="IV399" s="42"/>
      <c r="IW399" s="42"/>
      <c r="IX399" s="42"/>
      <c r="IY399" s="42"/>
      <c r="IZ399" s="42"/>
      <c r="JA399" s="42"/>
      <c r="JB399" s="42"/>
      <c r="JC399" s="42"/>
      <c r="JD399" s="42"/>
      <c r="JE399" s="42"/>
      <c r="JF399" s="42"/>
      <c r="JG399" s="42"/>
      <c r="JH399" s="42"/>
      <c r="JI399" s="42"/>
      <c r="JJ399" s="42"/>
      <c r="JK399" s="42"/>
      <c r="JL399" s="42"/>
      <c r="JM399" s="42"/>
      <c r="JN399" s="42"/>
      <c r="JO399" s="42"/>
      <c r="JP399" s="42"/>
      <c r="JQ399" s="42"/>
      <c r="JR399" s="42"/>
      <c r="JS399" s="42"/>
      <c r="JT399" s="42"/>
      <c r="JU399" s="42"/>
      <c r="JV399" s="42"/>
      <c r="JW399" s="42"/>
      <c r="JX399" s="42"/>
      <c r="JY399" s="42"/>
      <c r="JZ399" s="42"/>
      <c r="KA399" s="42"/>
    </row>
    <row r="400" spans="1:287" ht="12.75">
      <c r="A400" s="89"/>
      <c r="B400" s="89"/>
      <c r="J400" s="19"/>
      <c r="Q400" s="19"/>
      <c r="Y400" s="19"/>
      <c r="AF400" s="19"/>
      <c r="II400" s="42"/>
      <c r="IJ400" s="42"/>
      <c r="IK400" s="42"/>
      <c r="IL400" s="42"/>
      <c r="IM400" s="42"/>
      <c r="IN400" s="42"/>
      <c r="IO400" s="42"/>
      <c r="IP400" s="42"/>
      <c r="IQ400" s="42"/>
      <c r="IR400" s="42"/>
      <c r="IS400" s="42"/>
      <c r="IT400" s="42"/>
      <c r="IU400" s="42"/>
      <c r="IV400" s="42"/>
      <c r="IW400" s="42"/>
      <c r="IX400" s="42"/>
      <c r="IY400" s="42"/>
      <c r="IZ400" s="42"/>
      <c r="JA400" s="42"/>
      <c r="JB400" s="42"/>
      <c r="JC400" s="42"/>
      <c r="JD400" s="42"/>
      <c r="JE400" s="42"/>
      <c r="JF400" s="42"/>
      <c r="JG400" s="42"/>
      <c r="JH400" s="42"/>
      <c r="JI400" s="42"/>
      <c r="JJ400" s="42"/>
      <c r="JK400" s="42"/>
      <c r="JL400" s="42"/>
      <c r="JM400" s="42"/>
      <c r="JN400" s="42"/>
      <c r="JO400" s="42"/>
      <c r="JP400" s="42"/>
      <c r="JQ400" s="42"/>
      <c r="JR400" s="42"/>
      <c r="JS400" s="42"/>
      <c r="JT400" s="42"/>
      <c r="JU400" s="42"/>
      <c r="JV400" s="42"/>
      <c r="JW400" s="42"/>
      <c r="JX400" s="42"/>
      <c r="JY400" s="42"/>
      <c r="JZ400" s="42"/>
      <c r="KA400" s="42"/>
    </row>
    <row r="401" spans="1:287" ht="12.75">
      <c r="A401" s="89"/>
      <c r="B401" s="89"/>
      <c r="J401" s="19"/>
      <c r="Q401" s="19"/>
      <c r="Y401" s="19"/>
      <c r="AF401" s="19"/>
      <c r="II401" s="42"/>
      <c r="IJ401" s="42"/>
      <c r="IK401" s="42"/>
      <c r="IL401" s="42"/>
      <c r="IM401" s="42"/>
      <c r="IN401" s="42"/>
      <c r="IO401" s="42"/>
      <c r="IP401" s="42"/>
      <c r="IQ401" s="42"/>
      <c r="IR401" s="42"/>
      <c r="IS401" s="42"/>
      <c r="IT401" s="42"/>
      <c r="IU401" s="42"/>
      <c r="IV401" s="42"/>
      <c r="IW401" s="42"/>
      <c r="IX401" s="42"/>
      <c r="IY401" s="42"/>
      <c r="IZ401" s="42"/>
      <c r="JA401" s="42"/>
      <c r="JB401" s="42"/>
      <c r="JC401" s="42"/>
      <c r="JD401" s="42"/>
      <c r="JE401" s="42"/>
      <c r="JF401" s="42"/>
      <c r="JG401" s="42"/>
      <c r="JH401" s="42"/>
      <c r="JI401" s="42"/>
      <c r="JJ401" s="42"/>
      <c r="JK401" s="42"/>
      <c r="JL401" s="42"/>
      <c r="JM401" s="42"/>
      <c r="JN401" s="42"/>
      <c r="JO401" s="42"/>
      <c r="JP401" s="42"/>
      <c r="JQ401" s="42"/>
      <c r="JR401" s="42"/>
      <c r="JS401" s="42"/>
      <c r="JT401" s="42"/>
      <c r="JU401" s="42"/>
      <c r="JV401" s="42"/>
      <c r="JW401" s="42"/>
      <c r="JX401" s="42"/>
      <c r="JY401" s="42"/>
      <c r="JZ401" s="42"/>
      <c r="KA401" s="42"/>
    </row>
    <row r="402" spans="1:287" ht="12.75">
      <c r="A402" s="89"/>
      <c r="B402" s="89"/>
      <c r="J402" s="19"/>
      <c r="Q402" s="19"/>
      <c r="Y402" s="19"/>
      <c r="AF402" s="19"/>
      <c r="II402" s="42"/>
      <c r="IJ402" s="42"/>
      <c r="IK402" s="42"/>
      <c r="IL402" s="42"/>
      <c r="IM402" s="42"/>
      <c r="IN402" s="42"/>
      <c r="IO402" s="42"/>
      <c r="IP402" s="42"/>
      <c r="IQ402" s="42"/>
      <c r="IR402" s="42"/>
      <c r="IS402" s="42"/>
      <c r="IT402" s="42"/>
      <c r="IU402" s="42"/>
      <c r="IV402" s="42"/>
      <c r="IW402" s="42"/>
      <c r="IX402" s="42"/>
      <c r="IY402" s="42"/>
      <c r="IZ402" s="42"/>
      <c r="JA402" s="42"/>
      <c r="JB402" s="42"/>
      <c r="JC402" s="42"/>
      <c r="JD402" s="42"/>
      <c r="JE402" s="42"/>
      <c r="JF402" s="42"/>
      <c r="JG402" s="42"/>
      <c r="JH402" s="42"/>
      <c r="JI402" s="42"/>
      <c r="JJ402" s="42"/>
      <c r="JK402" s="42"/>
      <c r="JL402" s="42"/>
      <c r="JM402" s="42"/>
      <c r="JN402" s="42"/>
      <c r="JO402" s="42"/>
      <c r="JP402" s="42"/>
      <c r="JQ402" s="42"/>
      <c r="JR402" s="42"/>
      <c r="JS402" s="42"/>
      <c r="JT402" s="42"/>
      <c r="JU402" s="42"/>
      <c r="JV402" s="42"/>
      <c r="JW402" s="42"/>
      <c r="JX402" s="42"/>
      <c r="JY402" s="42"/>
      <c r="JZ402" s="42"/>
      <c r="KA402" s="42"/>
    </row>
    <row r="403" spans="1:287" ht="12.75">
      <c r="A403" s="89"/>
      <c r="B403" s="89"/>
      <c r="J403" s="19"/>
      <c r="Q403" s="19"/>
      <c r="Y403" s="19"/>
      <c r="AF403" s="19"/>
      <c r="II403" s="42"/>
      <c r="IJ403" s="42"/>
      <c r="IK403" s="42"/>
      <c r="IL403" s="42"/>
      <c r="IM403" s="42"/>
      <c r="IN403" s="42"/>
      <c r="IO403" s="42"/>
      <c r="IP403" s="42"/>
      <c r="IQ403" s="42"/>
      <c r="IR403" s="42"/>
      <c r="IS403" s="42"/>
      <c r="IT403" s="42"/>
      <c r="IU403" s="42"/>
      <c r="IV403" s="42"/>
      <c r="IW403" s="42"/>
      <c r="IX403" s="42"/>
      <c r="IY403" s="42"/>
      <c r="IZ403" s="42"/>
      <c r="JA403" s="42"/>
      <c r="JB403" s="42"/>
      <c r="JC403" s="42"/>
      <c r="JD403" s="42"/>
      <c r="JE403" s="42"/>
      <c r="JF403" s="42"/>
      <c r="JG403" s="42"/>
      <c r="JH403" s="42"/>
      <c r="JI403" s="42"/>
      <c r="JJ403" s="42"/>
      <c r="JK403" s="42"/>
      <c r="JL403" s="42"/>
      <c r="JM403" s="42"/>
      <c r="JN403" s="42"/>
      <c r="JO403" s="42"/>
      <c r="JP403" s="42"/>
      <c r="JQ403" s="42"/>
      <c r="JR403" s="42"/>
      <c r="JS403" s="42"/>
      <c r="JT403" s="42"/>
      <c r="JU403" s="42"/>
      <c r="JV403" s="42"/>
      <c r="JW403" s="42"/>
      <c r="JX403" s="42"/>
      <c r="JY403" s="42"/>
      <c r="JZ403" s="42"/>
      <c r="KA403" s="42"/>
    </row>
    <row r="404" spans="1:287" ht="12.75">
      <c r="A404" s="89"/>
      <c r="B404" s="89"/>
      <c r="J404" s="19"/>
      <c r="Q404" s="19"/>
      <c r="Y404" s="19"/>
      <c r="AF404" s="19"/>
      <c r="II404" s="42"/>
      <c r="IJ404" s="42"/>
      <c r="IK404" s="42"/>
      <c r="IL404" s="42"/>
      <c r="IM404" s="42"/>
      <c r="IN404" s="42"/>
      <c r="IO404" s="42"/>
      <c r="IP404" s="42"/>
      <c r="IQ404" s="42"/>
      <c r="IR404" s="42"/>
      <c r="IS404" s="42"/>
      <c r="IT404" s="42"/>
      <c r="IU404" s="42"/>
      <c r="IV404" s="42"/>
      <c r="IW404" s="42"/>
      <c r="IX404" s="42"/>
      <c r="IY404" s="42"/>
      <c r="IZ404" s="42"/>
      <c r="JA404" s="42"/>
      <c r="JB404" s="42"/>
      <c r="JC404" s="42"/>
      <c r="JD404" s="42"/>
      <c r="JE404" s="42"/>
      <c r="JF404" s="42"/>
      <c r="JG404" s="42"/>
      <c r="JH404" s="42"/>
      <c r="JI404" s="42"/>
      <c r="JJ404" s="42"/>
      <c r="JK404" s="42"/>
      <c r="JL404" s="42"/>
      <c r="JM404" s="42"/>
      <c r="JN404" s="42"/>
      <c r="JO404" s="42"/>
      <c r="JP404" s="42"/>
      <c r="JQ404" s="42"/>
      <c r="JR404" s="42"/>
      <c r="JS404" s="42"/>
      <c r="JT404" s="42"/>
      <c r="JU404" s="42"/>
      <c r="JV404" s="42"/>
      <c r="JW404" s="42"/>
      <c r="JX404" s="42"/>
      <c r="JY404" s="42"/>
      <c r="JZ404" s="42"/>
      <c r="KA404" s="42"/>
    </row>
    <row r="405" spans="1:287" ht="12.75">
      <c r="A405" s="89"/>
      <c r="B405" s="89"/>
      <c r="J405" s="19"/>
      <c r="Q405" s="19"/>
      <c r="Y405" s="19"/>
      <c r="AF405" s="19"/>
      <c r="II405" s="42"/>
      <c r="IJ405" s="42"/>
      <c r="IK405" s="42"/>
      <c r="IL405" s="42"/>
      <c r="IM405" s="42"/>
      <c r="IN405" s="42"/>
      <c r="IO405" s="42"/>
      <c r="IP405" s="42"/>
      <c r="IQ405" s="42"/>
      <c r="IR405" s="42"/>
      <c r="IS405" s="42"/>
      <c r="IT405" s="42"/>
      <c r="IU405" s="42"/>
      <c r="IV405" s="42"/>
      <c r="IW405" s="42"/>
      <c r="IX405" s="42"/>
      <c r="IY405" s="42"/>
      <c r="IZ405" s="42"/>
      <c r="JA405" s="42"/>
      <c r="JB405" s="42"/>
      <c r="JC405" s="42"/>
      <c r="JD405" s="42"/>
      <c r="JE405" s="42"/>
      <c r="JF405" s="42"/>
      <c r="JG405" s="42"/>
      <c r="JH405" s="42"/>
      <c r="JI405" s="42"/>
      <c r="JJ405" s="42"/>
      <c r="JK405" s="42"/>
      <c r="JL405" s="42"/>
      <c r="JM405" s="42"/>
      <c r="JN405" s="42"/>
      <c r="JO405" s="42"/>
      <c r="JP405" s="42"/>
      <c r="JQ405" s="42"/>
      <c r="JR405" s="42"/>
      <c r="JS405" s="42"/>
      <c r="JT405" s="42"/>
      <c r="JU405" s="42"/>
      <c r="JV405" s="42"/>
      <c r="JW405" s="42"/>
      <c r="JX405" s="42"/>
      <c r="JY405" s="42"/>
      <c r="JZ405" s="42"/>
      <c r="KA405" s="42"/>
    </row>
    <row r="406" spans="1:287" ht="12.75">
      <c r="A406" s="89"/>
      <c r="B406" s="89"/>
      <c r="J406" s="19"/>
      <c r="Q406" s="19"/>
      <c r="Y406" s="19"/>
      <c r="AF406" s="19"/>
      <c r="II406" s="42"/>
      <c r="IJ406" s="42"/>
      <c r="IK406" s="42"/>
      <c r="IL406" s="42"/>
      <c r="IM406" s="42"/>
      <c r="IN406" s="42"/>
      <c r="IO406" s="42"/>
      <c r="IP406" s="42"/>
      <c r="IQ406" s="42"/>
      <c r="IR406" s="42"/>
      <c r="IS406" s="42"/>
      <c r="IT406" s="42"/>
      <c r="IU406" s="42"/>
      <c r="IV406" s="42"/>
      <c r="IW406" s="42"/>
      <c r="IX406" s="42"/>
      <c r="IY406" s="42"/>
      <c r="IZ406" s="42"/>
      <c r="JA406" s="42"/>
      <c r="JB406" s="42"/>
      <c r="JC406" s="42"/>
      <c r="JD406" s="42"/>
      <c r="JE406" s="42"/>
      <c r="JF406" s="42"/>
      <c r="JG406" s="42"/>
      <c r="JH406" s="42"/>
      <c r="JI406" s="42"/>
      <c r="JJ406" s="42"/>
      <c r="JK406" s="42"/>
      <c r="JL406" s="42"/>
      <c r="JM406" s="42"/>
      <c r="JN406" s="42"/>
      <c r="JO406" s="42"/>
      <c r="JP406" s="42"/>
      <c r="JQ406" s="42"/>
      <c r="JR406" s="42"/>
      <c r="JS406" s="42"/>
      <c r="JT406" s="42"/>
      <c r="JU406" s="42"/>
      <c r="JV406" s="42"/>
      <c r="JW406" s="42"/>
      <c r="JX406" s="42"/>
      <c r="JY406" s="42"/>
      <c r="JZ406" s="42"/>
      <c r="KA406" s="42"/>
    </row>
    <row r="407" spans="1:287" ht="12.75">
      <c r="A407" s="89"/>
      <c r="B407" s="89"/>
      <c r="J407" s="19"/>
      <c r="Q407" s="19"/>
      <c r="Y407" s="19"/>
      <c r="AF407" s="19"/>
      <c r="II407" s="42"/>
      <c r="IJ407" s="42"/>
      <c r="IK407" s="42"/>
      <c r="IL407" s="42"/>
      <c r="IM407" s="42"/>
      <c r="IN407" s="42"/>
      <c r="IO407" s="42"/>
      <c r="IP407" s="42"/>
      <c r="IQ407" s="42"/>
      <c r="IR407" s="42"/>
      <c r="IS407" s="42"/>
      <c r="IT407" s="42"/>
      <c r="IU407" s="42"/>
      <c r="IV407" s="42"/>
      <c r="IW407" s="42"/>
      <c r="IX407" s="42"/>
      <c r="IY407" s="42"/>
      <c r="IZ407" s="42"/>
      <c r="JA407" s="42"/>
      <c r="JB407" s="42"/>
      <c r="JC407" s="42"/>
      <c r="JD407" s="42"/>
      <c r="JE407" s="42"/>
      <c r="JF407" s="42"/>
      <c r="JG407" s="42"/>
      <c r="JH407" s="42"/>
      <c r="JI407" s="42"/>
      <c r="JJ407" s="42"/>
      <c r="JK407" s="42"/>
      <c r="JL407" s="42"/>
      <c r="JM407" s="42"/>
      <c r="JN407" s="42"/>
      <c r="JO407" s="42"/>
      <c r="JP407" s="42"/>
      <c r="JQ407" s="42"/>
      <c r="JR407" s="42"/>
      <c r="JS407" s="42"/>
      <c r="JT407" s="42"/>
      <c r="JU407" s="42"/>
      <c r="JV407" s="42"/>
      <c r="JW407" s="42"/>
      <c r="JX407" s="42"/>
      <c r="JY407" s="42"/>
      <c r="JZ407" s="42"/>
      <c r="KA407" s="42"/>
    </row>
    <row r="408" spans="1:287" ht="12.75">
      <c r="A408" s="89"/>
      <c r="B408" s="89"/>
      <c r="J408" s="19"/>
      <c r="Q408" s="19"/>
      <c r="Y408" s="19"/>
      <c r="AF408" s="19"/>
      <c r="II408" s="42"/>
      <c r="IJ408" s="42"/>
      <c r="IK408" s="42"/>
      <c r="IL408" s="42"/>
      <c r="IM408" s="42"/>
      <c r="IN408" s="42"/>
      <c r="IO408" s="42"/>
      <c r="IP408" s="42"/>
      <c r="IQ408" s="42"/>
      <c r="IR408" s="42"/>
      <c r="IS408" s="42"/>
      <c r="IT408" s="42"/>
      <c r="IU408" s="42"/>
      <c r="IV408" s="42"/>
      <c r="IW408" s="42"/>
      <c r="IX408" s="42"/>
      <c r="IY408" s="42"/>
      <c r="IZ408" s="42"/>
      <c r="JA408" s="42"/>
      <c r="JB408" s="42"/>
      <c r="JC408" s="42"/>
      <c r="JD408" s="42"/>
      <c r="JE408" s="42"/>
      <c r="JF408" s="42"/>
      <c r="JG408" s="42"/>
      <c r="JH408" s="42"/>
      <c r="JI408" s="42"/>
      <c r="JJ408" s="42"/>
      <c r="JK408" s="42"/>
      <c r="JL408" s="42"/>
      <c r="JM408" s="42"/>
      <c r="JN408" s="42"/>
      <c r="JO408" s="42"/>
      <c r="JP408" s="42"/>
      <c r="JQ408" s="42"/>
      <c r="JR408" s="42"/>
      <c r="JS408" s="42"/>
      <c r="JT408" s="42"/>
      <c r="JU408" s="42"/>
      <c r="JV408" s="42"/>
      <c r="JW408" s="42"/>
      <c r="JX408" s="42"/>
      <c r="JY408" s="42"/>
      <c r="JZ408" s="42"/>
      <c r="KA408" s="42"/>
    </row>
    <row r="409" spans="1:287" ht="12.75">
      <c r="A409" s="89"/>
      <c r="B409" s="89"/>
      <c r="J409" s="19"/>
      <c r="Q409" s="19"/>
      <c r="Y409" s="19"/>
      <c r="AF409" s="19"/>
      <c r="II409" s="42"/>
      <c r="IJ409" s="42"/>
      <c r="IK409" s="42"/>
      <c r="IL409" s="42"/>
      <c r="IM409" s="42"/>
      <c r="IN409" s="42"/>
      <c r="IO409" s="42"/>
      <c r="IP409" s="42"/>
      <c r="IQ409" s="42"/>
      <c r="IR409" s="42"/>
      <c r="IS409" s="42"/>
      <c r="IT409" s="42"/>
      <c r="IU409" s="42"/>
      <c r="IV409" s="42"/>
      <c r="IW409" s="42"/>
      <c r="IX409" s="42"/>
      <c r="IY409" s="42"/>
      <c r="IZ409" s="42"/>
      <c r="JA409" s="42"/>
      <c r="JB409" s="42"/>
      <c r="JC409" s="42"/>
      <c r="JD409" s="42"/>
      <c r="JE409" s="42"/>
      <c r="JF409" s="42"/>
      <c r="JG409" s="42"/>
      <c r="JH409" s="42"/>
      <c r="JI409" s="42"/>
      <c r="JJ409" s="42"/>
      <c r="JK409" s="42"/>
      <c r="JL409" s="42"/>
      <c r="JM409" s="42"/>
      <c r="JN409" s="42"/>
      <c r="JO409" s="42"/>
      <c r="JP409" s="42"/>
      <c r="JQ409" s="42"/>
      <c r="JR409" s="42"/>
      <c r="JS409" s="42"/>
      <c r="JT409" s="42"/>
      <c r="JU409" s="42"/>
      <c r="JV409" s="42"/>
      <c r="JW409" s="42"/>
      <c r="JX409" s="42"/>
      <c r="JY409" s="42"/>
      <c r="JZ409" s="42"/>
      <c r="KA409" s="42"/>
    </row>
    <row r="410" spans="1:287" ht="12.75">
      <c r="A410" s="89"/>
      <c r="B410" s="89"/>
      <c r="J410" s="19"/>
      <c r="Q410" s="19"/>
      <c r="Y410" s="19"/>
      <c r="AF410" s="19"/>
      <c r="II410" s="42"/>
      <c r="IJ410" s="42"/>
      <c r="IK410" s="42"/>
      <c r="IL410" s="42"/>
      <c r="IM410" s="42"/>
      <c r="IN410" s="42"/>
      <c r="IO410" s="42"/>
      <c r="IP410" s="42"/>
      <c r="IQ410" s="42"/>
      <c r="IR410" s="42"/>
      <c r="IS410" s="42"/>
      <c r="IT410" s="42"/>
      <c r="IU410" s="42"/>
      <c r="IV410" s="42"/>
      <c r="IW410" s="42"/>
      <c r="IX410" s="42"/>
      <c r="IY410" s="42"/>
      <c r="IZ410" s="42"/>
      <c r="JA410" s="42"/>
      <c r="JB410" s="42"/>
      <c r="JC410" s="42"/>
      <c r="JD410" s="42"/>
      <c r="JE410" s="42"/>
      <c r="JF410" s="42"/>
      <c r="JG410" s="42"/>
      <c r="JH410" s="42"/>
      <c r="JI410" s="42"/>
      <c r="JJ410" s="42"/>
      <c r="JK410" s="42"/>
      <c r="JL410" s="42"/>
      <c r="JM410" s="42"/>
      <c r="JN410" s="42"/>
      <c r="JO410" s="42"/>
      <c r="JP410" s="42"/>
      <c r="JQ410" s="42"/>
      <c r="JR410" s="42"/>
      <c r="JS410" s="42"/>
      <c r="JT410" s="42"/>
      <c r="JU410" s="42"/>
      <c r="JV410" s="42"/>
      <c r="JW410" s="42"/>
      <c r="JX410" s="42"/>
      <c r="JY410" s="42"/>
      <c r="JZ410" s="42"/>
      <c r="KA410" s="42"/>
    </row>
    <row r="411" spans="1:287" ht="12.75">
      <c r="A411" s="89"/>
      <c r="B411" s="89"/>
      <c r="J411" s="19"/>
      <c r="Q411" s="19"/>
      <c r="Y411" s="19"/>
      <c r="AF411" s="19"/>
      <c r="II411" s="42"/>
      <c r="IJ411" s="42"/>
      <c r="IK411" s="42"/>
      <c r="IL411" s="42"/>
      <c r="IM411" s="42"/>
      <c r="IN411" s="42"/>
      <c r="IO411" s="42"/>
      <c r="IP411" s="42"/>
      <c r="IQ411" s="42"/>
      <c r="IR411" s="42"/>
      <c r="IS411" s="42"/>
      <c r="IT411" s="42"/>
      <c r="IU411" s="42"/>
      <c r="IV411" s="42"/>
      <c r="IW411" s="42"/>
      <c r="IX411" s="42"/>
      <c r="IY411" s="42"/>
      <c r="IZ411" s="42"/>
      <c r="JA411" s="42"/>
      <c r="JB411" s="42"/>
      <c r="JC411" s="42"/>
      <c r="JD411" s="42"/>
      <c r="JE411" s="42"/>
      <c r="JF411" s="42"/>
      <c r="JG411" s="42"/>
      <c r="JH411" s="42"/>
      <c r="JI411" s="42"/>
      <c r="JJ411" s="42"/>
      <c r="JK411" s="42"/>
      <c r="JL411" s="42"/>
      <c r="JM411" s="42"/>
      <c r="JN411" s="42"/>
      <c r="JO411" s="42"/>
      <c r="JP411" s="42"/>
      <c r="JQ411" s="42"/>
      <c r="JR411" s="42"/>
      <c r="JS411" s="42"/>
      <c r="JT411" s="42"/>
      <c r="JU411" s="42"/>
      <c r="JV411" s="42"/>
      <c r="JW411" s="42"/>
      <c r="JX411" s="42"/>
      <c r="JY411" s="42"/>
      <c r="JZ411" s="42"/>
      <c r="KA411" s="42"/>
    </row>
    <row r="412" spans="1:287" ht="12.75">
      <c r="A412" s="89"/>
      <c r="B412" s="89"/>
      <c r="J412" s="19"/>
      <c r="Q412" s="19"/>
      <c r="Y412" s="19"/>
      <c r="AF412" s="19"/>
      <c r="II412" s="42"/>
      <c r="IJ412" s="42"/>
      <c r="IK412" s="42"/>
      <c r="IL412" s="42"/>
      <c r="IM412" s="42"/>
      <c r="IN412" s="42"/>
      <c r="IO412" s="42"/>
      <c r="IP412" s="42"/>
      <c r="IQ412" s="42"/>
      <c r="IR412" s="42"/>
      <c r="IS412" s="42"/>
      <c r="IT412" s="42"/>
      <c r="IU412" s="42"/>
      <c r="IV412" s="42"/>
      <c r="IW412" s="42"/>
      <c r="IX412" s="42"/>
      <c r="IY412" s="42"/>
      <c r="IZ412" s="42"/>
      <c r="JA412" s="42"/>
      <c r="JB412" s="42"/>
      <c r="JC412" s="42"/>
      <c r="JD412" s="42"/>
      <c r="JE412" s="42"/>
      <c r="JF412" s="42"/>
      <c r="JG412" s="42"/>
      <c r="JH412" s="42"/>
      <c r="JI412" s="42"/>
      <c r="JJ412" s="42"/>
      <c r="JK412" s="42"/>
      <c r="JL412" s="42"/>
      <c r="JM412" s="42"/>
      <c r="JN412" s="42"/>
      <c r="JO412" s="42"/>
      <c r="JP412" s="42"/>
      <c r="JQ412" s="42"/>
      <c r="JR412" s="42"/>
      <c r="JS412" s="42"/>
      <c r="JT412" s="42"/>
      <c r="JU412" s="42"/>
      <c r="JV412" s="42"/>
      <c r="JW412" s="42"/>
      <c r="JX412" s="42"/>
      <c r="JY412" s="42"/>
      <c r="JZ412" s="42"/>
      <c r="KA412" s="42"/>
    </row>
    <row r="413" spans="1:287" ht="12.75">
      <c r="A413" s="89"/>
      <c r="B413" s="89"/>
      <c r="J413" s="19"/>
      <c r="Q413" s="19"/>
      <c r="Y413" s="19"/>
      <c r="AF413" s="19"/>
      <c r="II413" s="42"/>
      <c r="IJ413" s="42"/>
      <c r="IK413" s="42"/>
      <c r="IL413" s="42"/>
      <c r="IM413" s="42"/>
      <c r="IN413" s="42"/>
      <c r="IO413" s="42"/>
      <c r="IP413" s="42"/>
      <c r="IQ413" s="42"/>
      <c r="IR413" s="42"/>
      <c r="IS413" s="42"/>
      <c r="IT413" s="42"/>
      <c r="IU413" s="42"/>
      <c r="IV413" s="42"/>
      <c r="IW413" s="42"/>
      <c r="IX413" s="42"/>
      <c r="IY413" s="42"/>
      <c r="IZ413" s="42"/>
      <c r="JA413" s="42"/>
      <c r="JB413" s="42"/>
      <c r="JC413" s="42"/>
      <c r="JD413" s="42"/>
      <c r="JE413" s="42"/>
      <c r="JF413" s="42"/>
      <c r="JG413" s="42"/>
      <c r="JH413" s="42"/>
      <c r="JI413" s="42"/>
      <c r="JJ413" s="42"/>
      <c r="JK413" s="42"/>
      <c r="JL413" s="42"/>
      <c r="JM413" s="42"/>
      <c r="JN413" s="42"/>
      <c r="JO413" s="42"/>
      <c r="JP413" s="42"/>
      <c r="JQ413" s="42"/>
      <c r="JR413" s="42"/>
      <c r="JS413" s="42"/>
      <c r="JT413" s="42"/>
      <c r="JU413" s="42"/>
      <c r="JV413" s="42"/>
      <c r="JW413" s="42"/>
      <c r="JX413" s="42"/>
      <c r="JY413" s="42"/>
      <c r="JZ413" s="42"/>
      <c r="KA413" s="42"/>
    </row>
    <row r="414" spans="1:287" ht="12.75">
      <c r="A414" s="89"/>
      <c r="B414" s="89"/>
      <c r="J414" s="19"/>
      <c r="Q414" s="19"/>
      <c r="Y414" s="19"/>
      <c r="AF414" s="19"/>
      <c r="II414" s="42"/>
      <c r="IJ414" s="42"/>
      <c r="IK414" s="42"/>
      <c r="IL414" s="42"/>
      <c r="IM414" s="42"/>
      <c r="IN414" s="42"/>
      <c r="IO414" s="42"/>
      <c r="IP414" s="42"/>
      <c r="IQ414" s="42"/>
      <c r="IR414" s="42"/>
      <c r="IS414" s="42"/>
      <c r="IT414" s="42"/>
      <c r="IU414" s="42"/>
      <c r="IV414" s="42"/>
      <c r="IW414" s="42"/>
      <c r="IX414" s="42"/>
      <c r="IY414" s="42"/>
      <c r="IZ414" s="42"/>
      <c r="JA414" s="42"/>
      <c r="JB414" s="42"/>
      <c r="JC414" s="42"/>
      <c r="JD414" s="42"/>
      <c r="JE414" s="42"/>
      <c r="JF414" s="42"/>
      <c r="JG414" s="42"/>
      <c r="JH414" s="42"/>
      <c r="JI414" s="42"/>
      <c r="JJ414" s="42"/>
      <c r="JK414" s="42"/>
      <c r="JL414" s="42"/>
      <c r="JM414" s="42"/>
      <c r="JN414" s="42"/>
      <c r="JO414" s="42"/>
      <c r="JP414" s="42"/>
      <c r="JQ414" s="42"/>
      <c r="JR414" s="42"/>
      <c r="JS414" s="42"/>
      <c r="JT414" s="42"/>
      <c r="JU414" s="42"/>
      <c r="JV414" s="42"/>
      <c r="JW414" s="42"/>
      <c r="JX414" s="42"/>
      <c r="JY414" s="42"/>
      <c r="JZ414" s="42"/>
      <c r="KA414" s="42"/>
    </row>
    <row r="415" spans="1:287" ht="12.75">
      <c r="A415" s="89"/>
      <c r="B415" s="89"/>
      <c r="J415" s="19"/>
      <c r="Q415" s="19"/>
      <c r="Y415" s="19"/>
      <c r="AF415" s="19"/>
      <c r="II415" s="42"/>
      <c r="IJ415" s="42"/>
      <c r="IK415" s="42"/>
      <c r="IL415" s="42"/>
      <c r="IM415" s="42"/>
      <c r="IN415" s="42"/>
      <c r="IO415" s="42"/>
      <c r="IP415" s="42"/>
      <c r="IQ415" s="42"/>
      <c r="IR415" s="42"/>
      <c r="IS415" s="42"/>
      <c r="IT415" s="42"/>
      <c r="IU415" s="42"/>
      <c r="IV415" s="42"/>
      <c r="IW415" s="42"/>
      <c r="IX415" s="42"/>
      <c r="IY415" s="42"/>
      <c r="IZ415" s="42"/>
      <c r="JA415" s="42"/>
      <c r="JB415" s="42"/>
      <c r="JC415" s="42"/>
      <c r="JD415" s="42"/>
      <c r="JE415" s="42"/>
      <c r="JF415" s="42"/>
      <c r="JG415" s="42"/>
      <c r="JH415" s="42"/>
      <c r="JI415" s="42"/>
      <c r="JJ415" s="42"/>
      <c r="JK415" s="42"/>
      <c r="JL415" s="42"/>
      <c r="JM415" s="42"/>
      <c r="JN415" s="42"/>
      <c r="JO415" s="42"/>
      <c r="JP415" s="42"/>
      <c r="JQ415" s="42"/>
      <c r="JR415" s="42"/>
      <c r="JS415" s="42"/>
      <c r="JT415" s="42"/>
      <c r="JU415" s="42"/>
      <c r="JV415" s="42"/>
      <c r="JW415" s="42"/>
      <c r="JX415" s="42"/>
      <c r="JY415" s="42"/>
      <c r="JZ415" s="42"/>
      <c r="KA415" s="42"/>
    </row>
    <row r="416" spans="1:287" ht="12.75">
      <c r="A416" s="89"/>
      <c r="B416" s="89"/>
      <c r="J416" s="19"/>
      <c r="Q416" s="19"/>
      <c r="Y416" s="19"/>
      <c r="AF416" s="19"/>
      <c r="II416" s="42"/>
      <c r="IJ416" s="42"/>
      <c r="IK416" s="42"/>
      <c r="IL416" s="42"/>
      <c r="IM416" s="42"/>
      <c r="IN416" s="42"/>
      <c r="IO416" s="42"/>
      <c r="IP416" s="42"/>
      <c r="IQ416" s="42"/>
      <c r="IR416" s="42"/>
      <c r="IS416" s="42"/>
      <c r="IT416" s="42"/>
      <c r="IU416" s="42"/>
      <c r="IV416" s="42"/>
      <c r="IW416" s="42"/>
      <c r="IX416" s="42"/>
      <c r="IY416" s="42"/>
      <c r="IZ416" s="42"/>
      <c r="JA416" s="42"/>
      <c r="JB416" s="42"/>
      <c r="JC416" s="42"/>
      <c r="JD416" s="42"/>
      <c r="JE416" s="42"/>
      <c r="JF416" s="42"/>
      <c r="JG416" s="42"/>
      <c r="JH416" s="42"/>
      <c r="JI416" s="42"/>
      <c r="JJ416" s="42"/>
      <c r="JK416" s="42"/>
      <c r="JL416" s="42"/>
      <c r="JM416" s="42"/>
      <c r="JN416" s="42"/>
      <c r="JO416" s="42"/>
      <c r="JP416" s="42"/>
      <c r="JQ416" s="42"/>
      <c r="JR416" s="42"/>
      <c r="JS416" s="42"/>
      <c r="JT416" s="42"/>
      <c r="JU416" s="42"/>
      <c r="JV416" s="42"/>
      <c r="JW416" s="42"/>
      <c r="JX416" s="42"/>
      <c r="JY416" s="42"/>
      <c r="JZ416" s="42"/>
      <c r="KA416" s="42"/>
    </row>
    <row r="417" spans="1:287" ht="12.75">
      <c r="A417" s="89"/>
      <c r="B417" s="89"/>
      <c r="J417" s="19"/>
      <c r="Q417" s="19"/>
      <c r="Y417" s="19"/>
      <c r="AF417" s="19"/>
      <c r="II417" s="42"/>
      <c r="IJ417" s="42"/>
      <c r="IK417" s="42"/>
      <c r="IL417" s="42"/>
      <c r="IM417" s="42"/>
      <c r="IN417" s="42"/>
      <c r="IO417" s="42"/>
      <c r="IP417" s="42"/>
      <c r="IQ417" s="42"/>
      <c r="IR417" s="42"/>
      <c r="IS417" s="42"/>
      <c r="IT417" s="42"/>
      <c r="IU417" s="42"/>
      <c r="IV417" s="42"/>
      <c r="IW417" s="42"/>
      <c r="IX417" s="42"/>
      <c r="IY417" s="42"/>
      <c r="IZ417" s="42"/>
      <c r="JA417" s="42"/>
      <c r="JB417" s="42"/>
      <c r="JC417" s="42"/>
      <c r="JD417" s="42"/>
      <c r="JE417" s="42"/>
      <c r="JF417" s="42"/>
      <c r="JG417" s="42"/>
      <c r="JH417" s="42"/>
      <c r="JI417" s="42"/>
      <c r="JJ417" s="42"/>
      <c r="JK417" s="42"/>
      <c r="JL417" s="42"/>
      <c r="JM417" s="42"/>
      <c r="JN417" s="42"/>
      <c r="JO417" s="42"/>
      <c r="JP417" s="42"/>
      <c r="JQ417" s="42"/>
      <c r="JR417" s="42"/>
      <c r="JS417" s="42"/>
      <c r="JT417" s="42"/>
      <c r="JU417" s="42"/>
      <c r="JV417" s="42"/>
      <c r="JW417" s="42"/>
      <c r="JX417" s="42"/>
      <c r="JY417" s="42"/>
      <c r="JZ417" s="42"/>
      <c r="KA417" s="42"/>
    </row>
    <row r="418" spans="1:287" ht="12.75">
      <c r="A418" s="89"/>
      <c r="B418" s="89"/>
      <c r="J418" s="19"/>
      <c r="Q418" s="19"/>
      <c r="Y418" s="19"/>
      <c r="AF418" s="19"/>
      <c r="II418" s="42"/>
      <c r="IJ418" s="42"/>
      <c r="IK418" s="42"/>
      <c r="IL418" s="42"/>
      <c r="IM418" s="42"/>
      <c r="IN418" s="42"/>
      <c r="IO418" s="42"/>
      <c r="IP418" s="42"/>
      <c r="IQ418" s="42"/>
      <c r="IR418" s="42"/>
      <c r="IS418" s="42"/>
      <c r="IT418" s="42"/>
      <c r="IU418" s="42"/>
      <c r="IV418" s="42"/>
      <c r="IW418" s="42"/>
      <c r="IX418" s="42"/>
      <c r="IY418" s="42"/>
      <c r="IZ418" s="42"/>
      <c r="JA418" s="42"/>
      <c r="JB418" s="42"/>
      <c r="JC418" s="42"/>
      <c r="JD418" s="42"/>
      <c r="JE418" s="42"/>
      <c r="JF418" s="42"/>
      <c r="JG418" s="42"/>
      <c r="JH418" s="42"/>
      <c r="JI418" s="42"/>
      <c r="JJ418" s="42"/>
      <c r="JK418" s="42"/>
      <c r="JL418" s="42"/>
      <c r="JM418" s="42"/>
      <c r="JN418" s="42"/>
      <c r="JO418" s="42"/>
      <c r="JP418" s="42"/>
      <c r="JQ418" s="42"/>
      <c r="JR418" s="42"/>
      <c r="JS418" s="42"/>
      <c r="JT418" s="42"/>
      <c r="JU418" s="42"/>
      <c r="JV418" s="42"/>
      <c r="JW418" s="42"/>
      <c r="JX418" s="42"/>
      <c r="JY418" s="42"/>
      <c r="JZ418" s="42"/>
      <c r="KA418" s="42"/>
    </row>
    <row r="419" spans="1:287" ht="12.75">
      <c r="A419" s="89"/>
      <c r="B419" s="89"/>
      <c r="J419" s="19"/>
      <c r="Q419" s="19"/>
      <c r="Y419" s="19"/>
      <c r="AF419" s="19"/>
      <c r="II419" s="42"/>
      <c r="IJ419" s="42"/>
      <c r="IK419" s="42"/>
      <c r="IL419" s="42"/>
      <c r="IM419" s="42"/>
      <c r="IN419" s="42"/>
      <c r="IO419" s="42"/>
      <c r="IP419" s="42"/>
      <c r="IQ419" s="42"/>
      <c r="IR419" s="42"/>
      <c r="IS419" s="42"/>
      <c r="IT419" s="42"/>
      <c r="IU419" s="42"/>
      <c r="IV419" s="42"/>
      <c r="IW419" s="42"/>
      <c r="IX419" s="42"/>
      <c r="IY419" s="42"/>
      <c r="IZ419" s="42"/>
      <c r="JA419" s="42"/>
      <c r="JB419" s="42"/>
      <c r="JC419" s="42"/>
      <c r="JD419" s="42"/>
      <c r="JE419" s="42"/>
      <c r="JF419" s="42"/>
      <c r="JG419" s="42"/>
      <c r="JH419" s="42"/>
      <c r="JI419" s="42"/>
      <c r="JJ419" s="42"/>
      <c r="JK419" s="42"/>
      <c r="JL419" s="42"/>
      <c r="JM419" s="42"/>
      <c r="JN419" s="42"/>
      <c r="JO419" s="42"/>
      <c r="JP419" s="42"/>
      <c r="JQ419" s="42"/>
      <c r="JR419" s="42"/>
      <c r="JS419" s="42"/>
      <c r="JT419" s="42"/>
      <c r="JU419" s="42"/>
      <c r="JV419" s="42"/>
      <c r="JW419" s="42"/>
      <c r="JX419" s="42"/>
      <c r="JY419" s="42"/>
      <c r="JZ419" s="42"/>
      <c r="KA419" s="42"/>
    </row>
    <row r="420" spans="1:287" ht="12.75">
      <c r="A420" s="89"/>
      <c r="B420" s="89"/>
      <c r="J420" s="19"/>
      <c r="Q420" s="19"/>
      <c r="Y420" s="19"/>
      <c r="AF420" s="19"/>
      <c r="II420" s="42"/>
      <c r="IJ420" s="42"/>
      <c r="IK420" s="42"/>
      <c r="IL420" s="42"/>
      <c r="IM420" s="42"/>
      <c r="IN420" s="42"/>
      <c r="IO420" s="42"/>
      <c r="IP420" s="42"/>
      <c r="IQ420" s="42"/>
      <c r="IR420" s="42"/>
      <c r="IS420" s="42"/>
      <c r="IT420" s="42"/>
      <c r="IU420" s="42"/>
      <c r="IV420" s="42"/>
      <c r="IW420" s="42"/>
      <c r="IX420" s="42"/>
      <c r="IY420" s="42"/>
      <c r="IZ420" s="42"/>
      <c r="JA420" s="42"/>
      <c r="JB420" s="42"/>
      <c r="JC420" s="42"/>
      <c r="JD420" s="42"/>
      <c r="JE420" s="42"/>
      <c r="JF420" s="42"/>
      <c r="JG420" s="42"/>
      <c r="JH420" s="42"/>
      <c r="JI420" s="42"/>
      <c r="JJ420" s="42"/>
      <c r="JK420" s="42"/>
      <c r="JL420" s="42"/>
      <c r="JM420" s="42"/>
      <c r="JN420" s="42"/>
      <c r="JO420" s="42"/>
      <c r="JP420" s="42"/>
      <c r="JQ420" s="42"/>
      <c r="JR420" s="42"/>
      <c r="JS420" s="42"/>
      <c r="JT420" s="42"/>
      <c r="JU420" s="42"/>
      <c r="JV420" s="42"/>
      <c r="JW420" s="42"/>
      <c r="JX420" s="42"/>
      <c r="JY420" s="42"/>
      <c r="JZ420" s="42"/>
      <c r="KA420" s="42"/>
    </row>
    <row r="421" spans="1:287" ht="12.75">
      <c r="A421" s="89"/>
      <c r="B421" s="89"/>
      <c r="J421" s="19"/>
      <c r="Q421" s="19"/>
      <c r="Y421" s="19"/>
      <c r="AF421" s="19"/>
      <c r="II421" s="42"/>
      <c r="IJ421" s="42"/>
      <c r="IK421" s="42"/>
      <c r="IL421" s="42"/>
      <c r="IM421" s="42"/>
      <c r="IN421" s="42"/>
      <c r="IO421" s="42"/>
      <c r="IP421" s="42"/>
      <c r="IQ421" s="42"/>
      <c r="IR421" s="42"/>
      <c r="IS421" s="42"/>
      <c r="IT421" s="42"/>
      <c r="IU421" s="42"/>
      <c r="IV421" s="42"/>
      <c r="IW421" s="42"/>
      <c r="IX421" s="42"/>
      <c r="IY421" s="42"/>
      <c r="IZ421" s="42"/>
      <c r="JA421" s="42"/>
      <c r="JB421" s="42"/>
      <c r="JC421" s="42"/>
      <c r="JD421" s="42"/>
      <c r="JE421" s="42"/>
      <c r="JF421" s="42"/>
      <c r="JG421" s="42"/>
      <c r="JH421" s="42"/>
      <c r="JI421" s="42"/>
      <c r="JJ421" s="42"/>
      <c r="JK421" s="42"/>
      <c r="JL421" s="42"/>
      <c r="JM421" s="42"/>
      <c r="JN421" s="42"/>
      <c r="JO421" s="42"/>
      <c r="JP421" s="42"/>
      <c r="JQ421" s="42"/>
      <c r="JR421" s="42"/>
      <c r="JS421" s="42"/>
      <c r="JT421" s="42"/>
      <c r="JU421" s="42"/>
      <c r="JV421" s="42"/>
      <c r="JW421" s="42"/>
      <c r="JX421" s="42"/>
      <c r="JY421" s="42"/>
      <c r="JZ421" s="42"/>
      <c r="KA421" s="42"/>
    </row>
    <row r="422" spans="1:287" ht="12.75">
      <c r="A422" s="89"/>
      <c r="B422" s="89"/>
      <c r="J422" s="19"/>
      <c r="Q422" s="19"/>
      <c r="Y422" s="19"/>
      <c r="AF422" s="19"/>
      <c r="II422" s="42"/>
      <c r="IJ422" s="42"/>
      <c r="IK422" s="42"/>
      <c r="IL422" s="42"/>
      <c r="IM422" s="42"/>
      <c r="IN422" s="42"/>
      <c r="IO422" s="42"/>
      <c r="IP422" s="42"/>
      <c r="IQ422" s="42"/>
      <c r="IR422" s="42"/>
      <c r="IS422" s="42"/>
      <c r="IT422" s="42"/>
      <c r="IU422" s="42"/>
      <c r="IV422" s="42"/>
      <c r="IW422" s="42"/>
      <c r="IX422" s="42"/>
      <c r="IY422" s="42"/>
      <c r="IZ422" s="42"/>
      <c r="JA422" s="42"/>
      <c r="JB422" s="42"/>
      <c r="JC422" s="42"/>
      <c r="JD422" s="42"/>
      <c r="JE422" s="42"/>
      <c r="JF422" s="42"/>
      <c r="JG422" s="42"/>
      <c r="JH422" s="42"/>
      <c r="JI422" s="42"/>
      <c r="JJ422" s="42"/>
      <c r="JK422" s="42"/>
      <c r="JL422" s="42"/>
      <c r="JM422" s="42"/>
      <c r="JN422" s="42"/>
      <c r="JO422" s="42"/>
      <c r="JP422" s="42"/>
      <c r="JQ422" s="42"/>
      <c r="JR422" s="42"/>
      <c r="JS422" s="42"/>
      <c r="JT422" s="42"/>
      <c r="JU422" s="42"/>
      <c r="JV422" s="42"/>
      <c r="JW422" s="42"/>
      <c r="JX422" s="42"/>
      <c r="JY422" s="42"/>
      <c r="JZ422" s="42"/>
      <c r="KA422" s="42"/>
    </row>
    <row r="423" spans="1:287" ht="12.75">
      <c r="A423" s="89"/>
      <c r="B423" s="89"/>
      <c r="J423" s="19"/>
      <c r="Q423" s="19"/>
      <c r="Y423" s="19"/>
      <c r="AF423" s="19"/>
      <c r="II423" s="42"/>
      <c r="IJ423" s="42"/>
      <c r="IK423" s="42"/>
      <c r="IL423" s="42"/>
      <c r="IM423" s="42"/>
      <c r="IN423" s="42"/>
      <c r="IO423" s="42"/>
      <c r="IP423" s="42"/>
      <c r="IQ423" s="42"/>
      <c r="IR423" s="42"/>
      <c r="IS423" s="42"/>
      <c r="IT423" s="42"/>
      <c r="IU423" s="42"/>
      <c r="IV423" s="42"/>
      <c r="IW423" s="42"/>
      <c r="IX423" s="42"/>
      <c r="IY423" s="42"/>
      <c r="IZ423" s="42"/>
      <c r="JA423" s="42"/>
      <c r="JB423" s="42"/>
      <c r="JC423" s="42"/>
      <c r="JD423" s="42"/>
      <c r="JE423" s="42"/>
      <c r="JF423" s="42"/>
      <c r="JG423" s="42"/>
      <c r="JH423" s="42"/>
      <c r="JI423" s="42"/>
      <c r="JJ423" s="42"/>
      <c r="JK423" s="42"/>
      <c r="JL423" s="42"/>
      <c r="JM423" s="42"/>
      <c r="JN423" s="42"/>
      <c r="JO423" s="42"/>
      <c r="JP423" s="42"/>
      <c r="JQ423" s="42"/>
      <c r="JR423" s="42"/>
      <c r="JS423" s="42"/>
      <c r="JT423" s="42"/>
      <c r="JU423" s="42"/>
      <c r="JV423" s="42"/>
      <c r="JW423" s="42"/>
      <c r="JX423" s="42"/>
      <c r="JY423" s="42"/>
      <c r="JZ423" s="42"/>
      <c r="KA423" s="42"/>
    </row>
    <row r="424" spans="1:287" ht="12.75">
      <c r="A424" s="89"/>
      <c r="B424" s="89"/>
      <c r="J424" s="19"/>
      <c r="Q424" s="19"/>
      <c r="Y424" s="19"/>
      <c r="AF424" s="19"/>
      <c r="II424" s="42"/>
      <c r="IJ424" s="42"/>
      <c r="IK424" s="42"/>
      <c r="IL424" s="42"/>
      <c r="IM424" s="42"/>
      <c r="IN424" s="42"/>
      <c r="IO424" s="42"/>
      <c r="IP424" s="42"/>
      <c r="IQ424" s="42"/>
      <c r="IR424" s="42"/>
      <c r="IS424" s="42"/>
      <c r="IT424" s="42"/>
      <c r="IU424" s="42"/>
      <c r="IV424" s="42"/>
      <c r="IW424" s="42"/>
      <c r="IX424" s="42"/>
      <c r="IY424" s="42"/>
      <c r="IZ424" s="42"/>
      <c r="JA424" s="42"/>
      <c r="JB424" s="42"/>
      <c r="JC424" s="42"/>
      <c r="JD424" s="42"/>
      <c r="JE424" s="42"/>
      <c r="JF424" s="42"/>
      <c r="JG424" s="42"/>
      <c r="JH424" s="42"/>
      <c r="JI424" s="42"/>
      <c r="JJ424" s="42"/>
      <c r="JK424" s="42"/>
      <c r="JL424" s="42"/>
      <c r="JM424" s="42"/>
      <c r="JN424" s="42"/>
      <c r="JO424" s="42"/>
      <c r="JP424" s="42"/>
      <c r="JQ424" s="42"/>
      <c r="JR424" s="42"/>
      <c r="JS424" s="42"/>
      <c r="JT424" s="42"/>
      <c r="JU424" s="42"/>
      <c r="JV424" s="42"/>
      <c r="JW424" s="42"/>
      <c r="JX424" s="42"/>
      <c r="JY424" s="42"/>
      <c r="JZ424" s="42"/>
      <c r="KA424" s="42"/>
    </row>
    <row r="425" spans="1:287" ht="12.75">
      <c r="A425" s="89"/>
      <c r="B425" s="89"/>
      <c r="J425" s="19"/>
      <c r="Q425" s="19"/>
      <c r="Y425" s="19"/>
      <c r="AF425" s="19"/>
      <c r="II425" s="42"/>
      <c r="IJ425" s="42"/>
      <c r="IK425" s="42"/>
      <c r="IL425" s="42"/>
      <c r="IM425" s="42"/>
      <c r="IN425" s="42"/>
      <c r="IO425" s="42"/>
      <c r="IP425" s="42"/>
      <c r="IQ425" s="42"/>
      <c r="IR425" s="42"/>
      <c r="IS425" s="42"/>
      <c r="IT425" s="42"/>
      <c r="IU425" s="42"/>
      <c r="IV425" s="42"/>
      <c r="IW425" s="42"/>
      <c r="IX425" s="42"/>
      <c r="IY425" s="42"/>
      <c r="IZ425" s="42"/>
      <c r="JA425" s="42"/>
      <c r="JB425" s="42"/>
      <c r="JC425" s="42"/>
      <c r="JD425" s="42"/>
      <c r="JE425" s="42"/>
      <c r="JF425" s="42"/>
      <c r="JG425" s="42"/>
      <c r="JH425" s="42"/>
      <c r="JI425" s="42"/>
      <c r="JJ425" s="42"/>
      <c r="JK425" s="42"/>
      <c r="JL425" s="42"/>
      <c r="JM425" s="42"/>
      <c r="JN425" s="42"/>
      <c r="JO425" s="42"/>
      <c r="JP425" s="42"/>
      <c r="JQ425" s="42"/>
      <c r="JR425" s="42"/>
      <c r="JS425" s="42"/>
      <c r="JT425" s="42"/>
      <c r="JU425" s="42"/>
      <c r="JV425" s="42"/>
      <c r="JW425" s="42"/>
      <c r="JX425" s="42"/>
      <c r="JY425" s="42"/>
      <c r="JZ425" s="42"/>
      <c r="KA425" s="42"/>
    </row>
    <row r="426" spans="1:287" ht="12.75">
      <c r="A426" s="89"/>
      <c r="B426" s="89"/>
      <c r="J426" s="19"/>
      <c r="Q426" s="19"/>
      <c r="Y426" s="19"/>
      <c r="AF426" s="19"/>
      <c r="II426" s="42"/>
      <c r="IJ426" s="42"/>
      <c r="IK426" s="42"/>
      <c r="IL426" s="42"/>
      <c r="IM426" s="42"/>
      <c r="IN426" s="42"/>
      <c r="IO426" s="42"/>
      <c r="IP426" s="42"/>
      <c r="IQ426" s="42"/>
      <c r="IR426" s="42"/>
      <c r="IS426" s="42"/>
      <c r="IT426" s="42"/>
      <c r="IU426" s="42"/>
      <c r="IV426" s="42"/>
      <c r="IW426" s="42"/>
      <c r="IX426" s="42"/>
      <c r="IY426" s="42"/>
      <c r="IZ426" s="42"/>
      <c r="JA426" s="42"/>
      <c r="JB426" s="42"/>
      <c r="JC426" s="42"/>
      <c r="JD426" s="42"/>
      <c r="JE426" s="42"/>
      <c r="JF426" s="42"/>
      <c r="JG426" s="42"/>
      <c r="JH426" s="42"/>
      <c r="JI426" s="42"/>
      <c r="JJ426" s="42"/>
      <c r="JK426" s="42"/>
      <c r="JL426" s="42"/>
      <c r="JM426" s="42"/>
      <c r="JN426" s="42"/>
      <c r="JO426" s="42"/>
      <c r="JP426" s="42"/>
      <c r="JQ426" s="42"/>
      <c r="JR426" s="42"/>
      <c r="JS426" s="42"/>
      <c r="JT426" s="42"/>
      <c r="JU426" s="42"/>
      <c r="JV426" s="42"/>
      <c r="JW426" s="42"/>
      <c r="JX426" s="42"/>
      <c r="JY426" s="42"/>
      <c r="JZ426" s="42"/>
      <c r="KA426" s="42"/>
    </row>
    <row r="427" spans="1:287" ht="12.75">
      <c r="A427" s="89"/>
      <c r="B427" s="89"/>
      <c r="J427" s="19"/>
      <c r="Q427" s="19"/>
      <c r="Y427" s="19"/>
      <c r="AF427" s="19"/>
      <c r="II427" s="42"/>
      <c r="IJ427" s="42"/>
      <c r="IK427" s="42"/>
      <c r="IL427" s="42"/>
      <c r="IM427" s="42"/>
      <c r="IN427" s="42"/>
      <c r="IO427" s="42"/>
      <c r="IP427" s="42"/>
      <c r="IQ427" s="42"/>
      <c r="IR427" s="42"/>
      <c r="IS427" s="42"/>
      <c r="IT427" s="42"/>
      <c r="IU427" s="42"/>
      <c r="IV427" s="42"/>
      <c r="IW427" s="42"/>
      <c r="IX427" s="42"/>
      <c r="IY427" s="42"/>
      <c r="IZ427" s="42"/>
      <c r="JA427" s="42"/>
      <c r="JB427" s="42"/>
      <c r="JC427" s="42"/>
      <c r="JD427" s="42"/>
      <c r="JE427" s="42"/>
      <c r="JF427" s="42"/>
      <c r="JG427" s="42"/>
      <c r="JH427" s="42"/>
      <c r="JI427" s="42"/>
      <c r="JJ427" s="42"/>
      <c r="JK427" s="42"/>
      <c r="JL427" s="42"/>
      <c r="JM427" s="42"/>
      <c r="JN427" s="42"/>
      <c r="JO427" s="42"/>
      <c r="JP427" s="42"/>
      <c r="JQ427" s="42"/>
      <c r="JR427" s="42"/>
      <c r="JS427" s="42"/>
      <c r="JT427" s="42"/>
      <c r="JU427" s="42"/>
      <c r="JV427" s="42"/>
      <c r="JW427" s="42"/>
      <c r="JX427" s="42"/>
      <c r="JY427" s="42"/>
      <c r="JZ427" s="42"/>
      <c r="KA427" s="42"/>
    </row>
    <row r="428" spans="1:287" ht="12.75">
      <c r="A428" s="89"/>
      <c r="B428" s="89"/>
      <c r="J428" s="19"/>
      <c r="Q428" s="19"/>
      <c r="Y428" s="19"/>
      <c r="AF428" s="19"/>
      <c r="II428" s="42"/>
      <c r="IJ428" s="42"/>
      <c r="IK428" s="42"/>
      <c r="IL428" s="42"/>
      <c r="IM428" s="42"/>
      <c r="IN428" s="42"/>
      <c r="IO428" s="42"/>
      <c r="IP428" s="42"/>
      <c r="IQ428" s="42"/>
      <c r="IR428" s="42"/>
      <c r="IS428" s="42"/>
      <c r="IT428" s="42"/>
      <c r="IU428" s="42"/>
      <c r="IV428" s="42"/>
      <c r="IW428" s="42"/>
      <c r="IX428" s="42"/>
      <c r="IY428" s="42"/>
      <c r="IZ428" s="42"/>
      <c r="JA428" s="42"/>
      <c r="JB428" s="42"/>
      <c r="JC428" s="42"/>
      <c r="JD428" s="42"/>
      <c r="JE428" s="42"/>
      <c r="JF428" s="42"/>
      <c r="JG428" s="42"/>
      <c r="JH428" s="42"/>
      <c r="JI428" s="42"/>
      <c r="JJ428" s="42"/>
      <c r="JK428" s="42"/>
      <c r="JL428" s="42"/>
      <c r="JM428" s="42"/>
      <c r="JN428" s="42"/>
      <c r="JO428" s="42"/>
      <c r="JP428" s="42"/>
      <c r="JQ428" s="42"/>
      <c r="JR428" s="42"/>
      <c r="JS428" s="42"/>
      <c r="JT428" s="42"/>
      <c r="JU428" s="42"/>
      <c r="JV428" s="42"/>
      <c r="JW428" s="42"/>
      <c r="JX428" s="42"/>
      <c r="JY428" s="42"/>
      <c r="JZ428" s="42"/>
      <c r="KA428" s="42"/>
    </row>
    <row r="429" spans="1:287" ht="12.75">
      <c r="A429" s="89"/>
      <c r="B429" s="89"/>
      <c r="J429" s="19"/>
      <c r="Q429" s="19"/>
      <c r="Y429" s="19"/>
      <c r="AF429" s="19"/>
      <c r="II429" s="42"/>
      <c r="IJ429" s="42"/>
      <c r="IK429" s="42"/>
      <c r="IL429" s="42"/>
      <c r="IM429" s="42"/>
      <c r="IN429" s="42"/>
      <c r="IO429" s="42"/>
      <c r="IP429" s="42"/>
      <c r="IQ429" s="42"/>
      <c r="IR429" s="42"/>
      <c r="IS429" s="42"/>
      <c r="IT429" s="42"/>
      <c r="IU429" s="42"/>
      <c r="IV429" s="42"/>
      <c r="IW429" s="42"/>
      <c r="IX429" s="42"/>
      <c r="IY429" s="42"/>
      <c r="IZ429" s="42"/>
      <c r="JA429" s="42"/>
      <c r="JB429" s="42"/>
      <c r="JC429" s="42"/>
      <c r="JD429" s="42"/>
      <c r="JE429" s="42"/>
      <c r="JF429" s="42"/>
      <c r="JG429" s="42"/>
      <c r="JH429" s="42"/>
      <c r="JI429" s="42"/>
      <c r="JJ429" s="42"/>
      <c r="JK429" s="42"/>
      <c r="JL429" s="42"/>
      <c r="JM429" s="42"/>
      <c r="JN429" s="42"/>
      <c r="JO429" s="42"/>
      <c r="JP429" s="42"/>
      <c r="JQ429" s="42"/>
      <c r="JR429" s="42"/>
      <c r="JS429" s="42"/>
      <c r="JT429" s="42"/>
      <c r="JU429" s="42"/>
      <c r="JV429" s="42"/>
      <c r="JW429" s="42"/>
      <c r="JX429" s="42"/>
      <c r="JY429" s="42"/>
      <c r="JZ429" s="42"/>
      <c r="KA429" s="42"/>
    </row>
    <row r="430" spans="1:287" ht="12.75">
      <c r="A430" s="89"/>
      <c r="B430" s="89"/>
      <c r="J430" s="19"/>
      <c r="Q430" s="19"/>
      <c r="Y430" s="19"/>
      <c r="AF430" s="19"/>
      <c r="II430" s="42"/>
      <c r="IJ430" s="42"/>
      <c r="IK430" s="42"/>
      <c r="IL430" s="42"/>
      <c r="IM430" s="42"/>
      <c r="IN430" s="42"/>
      <c r="IO430" s="42"/>
      <c r="IP430" s="42"/>
      <c r="IQ430" s="42"/>
      <c r="IR430" s="42"/>
      <c r="IS430" s="42"/>
      <c r="IT430" s="42"/>
      <c r="IU430" s="42"/>
      <c r="IV430" s="42"/>
      <c r="IW430" s="42"/>
      <c r="IX430" s="42"/>
      <c r="IY430" s="42"/>
      <c r="IZ430" s="42"/>
      <c r="JA430" s="42"/>
      <c r="JB430" s="42"/>
      <c r="JC430" s="42"/>
      <c r="JD430" s="42"/>
      <c r="JE430" s="42"/>
      <c r="JF430" s="42"/>
      <c r="JG430" s="42"/>
      <c r="JH430" s="42"/>
      <c r="JI430" s="42"/>
      <c r="JJ430" s="42"/>
      <c r="JK430" s="42"/>
      <c r="JL430" s="42"/>
      <c r="JM430" s="42"/>
      <c r="JN430" s="42"/>
      <c r="JO430" s="42"/>
      <c r="JP430" s="42"/>
      <c r="JQ430" s="42"/>
      <c r="JR430" s="42"/>
      <c r="JS430" s="42"/>
      <c r="JT430" s="42"/>
      <c r="JU430" s="42"/>
      <c r="JV430" s="42"/>
      <c r="JW430" s="42"/>
      <c r="JX430" s="42"/>
      <c r="JY430" s="42"/>
      <c r="JZ430" s="42"/>
      <c r="KA430" s="42"/>
    </row>
    <row r="431" spans="1:287" ht="12.75">
      <c r="A431" s="89"/>
      <c r="B431" s="89"/>
      <c r="J431" s="19"/>
      <c r="Q431" s="19"/>
      <c r="Y431" s="19"/>
      <c r="AF431" s="19"/>
      <c r="II431" s="42"/>
      <c r="IJ431" s="42"/>
      <c r="IK431" s="42"/>
      <c r="IL431" s="42"/>
      <c r="IM431" s="42"/>
      <c r="IN431" s="42"/>
      <c r="IO431" s="42"/>
      <c r="IP431" s="42"/>
      <c r="IQ431" s="42"/>
      <c r="IR431" s="42"/>
      <c r="IS431" s="42"/>
      <c r="IT431" s="42"/>
      <c r="IU431" s="42"/>
      <c r="IV431" s="42"/>
      <c r="IW431" s="42"/>
      <c r="IX431" s="42"/>
      <c r="IY431" s="42"/>
      <c r="IZ431" s="42"/>
      <c r="JA431" s="42"/>
      <c r="JB431" s="42"/>
      <c r="JC431" s="42"/>
      <c r="JD431" s="42"/>
      <c r="JE431" s="42"/>
      <c r="JF431" s="42"/>
      <c r="JG431" s="42"/>
      <c r="JH431" s="42"/>
      <c r="JI431" s="42"/>
      <c r="JJ431" s="42"/>
      <c r="JK431" s="42"/>
      <c r="JL431" s="42"/>
      <c r="JM431" s="42"/>
      <c r="JN431" s="42"/>
      <c r="JO431" s="42"/>
      <c r="JP431" s="42"/>
      <c r="JQ431" s="42"/>
      <c r="JR431" s="42"/>
      <c r="JS431" s="42"/>
      <c r="JT431" s="42"/>
      <c r="JU431" s="42"/>
      <c r="JV431" s="42"/>
      <c r="JW431" s="42"/>
      <c r="JX431" s="42"/>
      <c r="JY431" s="42"/>
      <c r="JZ431" s="42"/>
      <c r="KA431" s="42"/>
    </row>
    <row r="432" spans="1:287" ht="12.75">
      <c r="A432" s="89"/>
      <c r="B432" s="89"/>
      <c r="J432" s="19"/>
      <c r="Q432" s="19"/>
      <c r="Y432" s="19"/>
      <c r="AF432" s="19"/>
      <c r="II432" s="42"/>
      <c r="IJ432" s="42"/>
      <c r="IK432" s="42"/>
      <c r="IL432" s="42"/>
      <c r="IM432" s="42"/>
      <c r="IN432" s="42"/>
      <c r="IO432" s="42"/>
      <c r="IP432" s="42"/>
      <c r="IQ432" s="42"/>
      <c r="IR432" s="42"/>
      <c r="IS432" s="42"/>
      <c r="IT432" s="42"/>
      <c r="IU432" s="42"/>
      <c r="IV432" s="42"/>
      <c r="IW432" s="42"/>
      <c r="IX432" s="42"/>
      <c r="IY432" s="42"/>
      <c r="IZ432" s="42"/>
      <c r="JA432" s="42"/>
      <c r="JB432" s="42"/>
      <c r="JC432" s="42"/>
      <c r="JD432" s="42"/>
      <c r="JE432" s="42"/>
      <c r="JF432" s="42"/>
      <c r="JG432" s="42"/>
      <c r="JH432" s="42"/>
      <c r="JI432" s="42"/>
      <c r="JJ432" s="42"/>
      <c r="JK432" s="42"/>
      <c r="JL432" s="42"/>
      <c r="JM432" s="42"/>
      <c r="JN432" s="42"/>
      <c r="JO432" s="42"/>
      <c r="JP432" s="42"/>
      <c r="JQ432" s="42"/>
      <c r="JR432" s="42"/>
      <c r="JS432" s="42"/>
      <c r="JT432" s="42"/>
      <c r="JU432" s="42"/>
      <c r="JV432" s="42"/>
      <c r="JW432" s="42"/>
      <c r="JX432" s="42"/>
      <c r="JY432" s="42"/>
      <c r="JZ432" s="42"/>
      <c r="KA432" s="42"/>
    </row>
    <row r="433" spans="1:287" ht="12.75">
      <c r="A433" s="89"/>
      <c r="B433" s="89"/>
      <c r="J433" s="19"/>
      <c r="Q433" s="19"/>
      <c r="Y433" s="19"/>
      <c r="AF433" s="19"/>
      <c r="II433" s="42"/>
      <c r="IJ433" s="42"/>
      <c r="IK433" s="42"/>
      <c r="IL433" s="42"/>
      <c r="IM433" s="42"/>
      <c r="IN433" s="42"/>
      <c r="IO433" s="42"/>
      <c r="IP433" s="42"/>
      <c r="IQ433" s="42"/>
      <c r="IR433" s="42"/>
      <c r="IS433" s="42"/>
      <c r="IT433" s="42"/>
      <c r="IU433" s="42"/>
      <c r="IV433" s="42"/>
      <c r="IW433" s="42"/>
      <c r="IX433" s="42"/>
      <c r="IY433" s="42"/>
      <c r="IZ433" s="42"/>
      <c r="JA433" s="42"/>
      <c r="JB433" s="42"/>
      <c r="JC433" s="42"/>
      <c r="JD433" s="42"/>
      <c r="JE433" s="42"/>
      <c r="JF433" s="42"/>
      <c r="JG433" s="42"/>
      <c r="JH433" s="42"/>
      <c r="JI433" s="42"/>
      <c r="JJ433" s="42"/>
      <c r="JK433" s="42"/>
      <c r="JL433" s="42"/>
      <c r="JM433" s="42"/>
      <c r="JN433" s="42"/>
      <c r="JO433" s="42"/>
      <c r="JP433" s="42"/>
      <c r="JQ433" s="42"/>
      <c r="JR433" s="42"/>
      <c r="JS433" s="42"/>
      <c r="JT433" s="42"/>
      <c r="JU433" s="42"/>
      <c r="JV433" s="42"/>
      <c r="JW433" s="42"/>
      <c r="JX433" s="42"/>
      <c r="JY433" s="42"/>
      <c r="JZ433" s="42"/>
      <c r="KA433" s="42"/>
    </row>
    <row r="434" spans="1:287" ht="12.75">
      <c r="A434" s="89"/>
      <c r="B434" s="89"/>
      <c r="J434" s="19"/>
      <c r="Q434" s="19"/>
      <c r="Y434" s="19"/>
      <c r="AF434" s="19"/>
      <c r="II434" s="42"/>
      <c r="IJ434" s="42"/>
      <c r="IK434" s="42"/>
      <c r="IL434" s="42"/>
      <c r="IM434" s="42"/>
      <c r="IN434" s="42"/>
      <c r="IO434" s="42"/>
      <c r="IP434" s="42"/>
      <c r="IQ434" s="42"/>
      <c r="IR434" s="42"/>
      <c r="IS434" s="42"/>
      <c r="IT434" s="42"/>
      <c r="IU434" s="42"/>
      <c r="IV434" s="42"/>
      <c r="IW434" s="42"/>
      <c r="IX434" s="42"/>
      <c r="IY434" s="42"/>
      <c r="IZ434" s="42"/>
      <c r="JA434" s="42"/>
      <c r="JB434" s="42"/>
      <c r="JC434" s="42"/>
      <c r="JD434" s="42"/>
      <c r="JE434" s="42"/>
      <c r="JF434" s="42"/>
      <c r="JG434" s="42"/>
      <c r="JH434" s="42"/>
      <c r="JI434" s="42"/>
      <c r="JJ434" s="42"/>
      <c r="JK434" s="42"/>
      <c r="JL434" s="42"/>
      <c r="JM434" s="42"/>
      <c r="JN434" s="42"/>
      <c r="JO434" s="42"/>
      <c r="JP434" s="42"/>
      <c r="JQ434" s="42"/>
      <c r="JR434" s="42"/>
      <c r="JS434" s="42"/>
      <c r="JT434" s="42"/>
      <c r="JU434" s="42"/>
      <c r="JV434" s="42"/>
      <c r="JW434" s="42"/>
      <c r="JX434" s="42"/>
      <c r="JY434" s="42"/>
      <c r="JZ434" s="42"/>
      <c r="KA434" s="42"/>
    </row>
    <row r="435" spans="1:287" ht="12.75">
      <c r="A435" s="89"/>
      <c r="B435" s="89"/>
      <c r="J435" s="19"/>
      <c r="Q435" s="19"/>
      <c r="Y435" s="19"/>
      <c r="AF435" s="19"/>
      <c r="II435" s="42"/>
      <c r="IJ435" s="42"/>
      <c r="IK435" s="42"/>
      <c r="IL435" s="42"/>
      <c r="IM435" s="42"/>
      <c r="IN435" s="42"/>
      <c r="IO435" s="42"/>
      <c r="IP435" s="42"/>
      <c r="IQ435" s="42"/>
      <c r="IR435" s="42"/>
      <c r="IS435" s="42"/>
      <c r="IT435" s="42"/>
      <c r="IU435" s="42"/>
      <c r="IV435" s="42"/>
      <c r="IW435" s="42"/>
      <c r="IX435" s="42"/>
      <c r="IY435" s="42"/>
      <c r="IZ435" s="42"/>
      <c r="JA435" s="42"/>
      <c r="JB435" s="42"/>
      <c r="JC435" s="42"/>
      <c r="JD435" s="42"/>
      <c r="JE435" s="42"/>
      <c r="JF435" s="42"/>
      <c r="JG435" s="42"/>
      <c r="JH435" s="42"/>
      <c r="JI435" s="42"/>
      <c r="JJ435" s="42"/>
      <c r="JK435" s="42"/>
      <c r="JL435" s="42"/>
      <c r="JM435" s="42"/>
      <c r="JN435" s="42"/>
      <c r="JO435" s="42"/>
      <c r="JP435" s="42"/>
      <c r="JQ435" s="42"/>
      <c r="JR435" s="42"/>
      <c r="JS435" s="42"/>
      <c r="JT435" s="42"/>
      <c r="JU435" s="42"/>
      <c r="JV435" s="42"/>
      <c r="JW435" s="42"/>
      <c r="JX435" s="42"/>
      <c r="JY435" s="42"/>
      <c r="JZ435" s="42"/>
      <c r="KA435" s="42"/>
    </row>
    <row r="436" spans="1:287" ht="12.75">
      <c r="A436" s="89"/>
      <c r="B436" s="89"/>
      <c r="J436" s="19"/>
      <c r="Q436" s="19"/>
      <c r="Y436" s="19"/>
      <c r="AF436" s="19"/>
      <c r="II436" s="42"/>
      <c r="IJ436" s="42"/>
      <c r="IK436" s="42"/>
      <c r="IL436" s="42"/>
      <c r="IM436" s="42"/>
      <c r="IN436" s="42"/>
      <c r="IO436" s="42"/>
      <c r="IP436" s="42"/>
      <c r="IQ436" s="42"/>
      <c r="IR436" s="42"/>
      <c r="IS436" s="42"/>
      <c r="IT436" s="42"/>
      <c r="IU436" s="42"/>
      <c r="IV436" s="42"/>
      <c r="IW436" s="42"/>
      <c r="IX436" s="42"/>
      <c r="IY436" s="42"/>
      <c r="IZ436" s="42"/>
      <c r="JA436" s="42"/>
      <c r="JB436" s="42"/>
      <c r="JC436" s="42"/>
      <c r="JD436" s="42"/>
      <c r="JE436" s="42"/>
      <c r="JF436" s="42"/>
      <c r="JG436" s="42"/>
      <c r="JH436" s="42"/>
      <c r="JI436" s="42"/>
      <c r="JJ436" s="42"/>
      <c r="JK436" s="42"/>
      <c r="JL436" s="42"/>
      <c r="JM436" s="42"/>
      <c r="JN436" s="42"/>
      <c r="JO436" s="42"/>
      <c r="JP436" s="42"/>
      <c r="JQ436" s="42"/>
      <c r="JR436" s="42"/>
      <c r="JS436" s="42"/>
      <c r="JT436" s="42"/>
      <c r="JU436" s="42"/>
      <c r="JV436" s="42"/>
      <c r="JW436" s="42"/>
      <c r="JX436" s="42"/>
      <c r="JY436" s="42"/>
      <c r="JZ436" s="42"/>
      <c r="KA436" s="42"/>
    </row>
    <row r="437" spans="1:287" ht="12.75">
      <c r="A437" s="89"/>
      <c r="B437" s="89"/>
      <c r="J437" s="19"/>
      <c r="Q437" s="19"/>
      <c r="Y437" s="19"/>
      <c r="AF437" s="19"/>
      <c r="II437" s="42"/>
      <c r="IJ437" s="42"/>
      <c r="IK437" s="42"/>
      <c r="IL437" s="42"/>
      <c r="IM437" s="42"/>
      <c r="IN437" s="42"/>
      <c r="IO437" s="42"/>
      <c r="IP437" s="42"/>
      <c r="IQ437" s="42"/>
      <c r="IR437" s="42"/>
      <c r="IS437" s="42"/>
      <c r="IT437" s="42"/>
      <c r="IU437" s="42"/>
      <c r="IV437" s="42"/>
      <c r="IW437" s="42"/>
      <c r="IX437" s="42"/>
      <c r="IY437" s="42"/>
      <c r="IZ437" s="42"/>
      <c r="JA437" s="42"/>
      <c r="JB437" s="42"/>
      <c r="JC437" s="42"/>
      <c r="JD437" s="42"/>
      <c r="JE437" s="42"/>
      <c r="JF437" s="42"/>
      <c r="JG437" s="42"/>
      <c r="JH437" s="42"/>
      <c r="JI437" s="42"/>
      <c r="JJ437" s="42"/>
      <c r="JK437" s="42"/>
      <c r="JL437" s="42"/>
      <c r="JM437" s="42"/>
      <c r="JN437" s="42"/>
      <c r="JO437" s="42"/>
      <c r="JP437" s="42"/>
      <c r="JQ437" s="42"/>
      <c r="JR437" s="42"/>
      <c r="JS437" s="42"/>
      <c r="JT437" s="42"/>
      <c r="JU437" s="42"/>
      <c r="JV437" s="42"/>
      <c r="JW437" s="42"/>
      <c r="JX437" s="42"/>
      <c r="JY437" s="42"/>
      <c r="JZ437" s="42"/>
      <c r="KA437" s="42"/>
    </row>
    <row r="438" spans="1:287" ht="12.75">
      <c r="A438" s="89"/>
      <c r="B438" s="89"/>
      <c r="J438" s="19"/>
      <c r="Q438" s="19"/>
      <c r="Y438" s="19"/>
      <c r="AF438" s="19"/>
      <c r="II438" s="42"/>
      <c r="IJ438" s="42"/>
      <c r="IK438" s="42"/>
      <c r="IL438" s="42"/>
      <c r="IM438" s="42"/>
      <c r="IN438" s="42"/>
      <c r="IO438" s="42"/>
      <c r="IP438" s="42"/>
      <c r="IQ438" s="42"/>
      <c r="IR438" s="42"/>
      <c r="IS438" s="42"/>
      <c r="IT438" s="42"/>
      <c r="IU438" s="42"/>
      <c r="IV438" s="42"/>
      <c r="IW438" s="42"/>
      <c r="IX438" s="42"/>
      <c r="IY438" s="42"/>
      <c r="IZ438" s="42"/>
      <c r="JA438" s="42"/>
      <c r="JB438" s="42"/>
      <c r="JC438" s="42"/>
      <c r="JD438" s="42"/>
      <c r="JE438" s="42"/>
      <c r="JF438" s="42"/>
      <c r="JG438" s="42"/>
      <c r="JH438" s="42"/>
      <c r="JI438" s="42"/>
      <c r="JJ438" s="42"/>
      <c r="JK438" s="42"/>
      <c r="JL438" s="42"/>
      <c r="JM438" s="42"/>
      <c r="JN438" s="42"/>
      <c r="JO438" s="42"/>
      <c r="JP438" s="42"/>
      <c r="JQ438" s="42"/>
      <c r="JR438" s="42"/>
      <c r="JS438" s="42"/>
      <c r="JT438" s="42"/>
      <c r="JU438" s="42"/>
      <c r="JV438" s="42"/>
      <c r="JW438" s="42"/>
      <c r="JX438" s="42"/>
      <c r="JY438" s="42"/>
      <c r="JZ438" s="42"/>
      <c r="KA438" s="42"/>
    </row>
    <row r="439" spans="1:287" ht="12.75">
      <c r="A439" s="89"/>
      <c r="B439" s="89"/>
      <c r="J439" s="19"/>
      <c r="Q439" s="19"/>
      <c r="Y439" s="19"/>
      <c r="AF439" s="19"/>
      <c r="II439" s="42"/>
      <c r="IJ439" s="42"/>
      <c r="IK439" s="42"/>
      <c r="IL439" s="42"/>
      <c r="IM439" s="42"/>
      <c r="IN439" s="42"/>
      <c r="IO439" s="42"/>
      <c r="IP439" s="42"/>
      <c r="IQ439" s="42"/>
      <c r="IR439" s="42"/>
      <c r="IS439" s="42"/>
      <c r="IT439" s="42"/>
      <c r="IU439" s="42"/>
      <c r="IV439" s="42"/>
      <c r="IW439" s="42"/>
      <c r="IX439" s="42"/>
      <c r="IY439" s="42"/>
      <c r="IZ439" s="42"/>
      <c r="JA439" s="42"/>
      <c r="JB439" s="42"/>
      <c r="JC439" s="42"/>
      <c r="JD439" s="42"/>
      <c r="JE439" s="42"/>
      <c r="JF439" s="42"/>
      <c r="JG439" s="42"/>
      <c r="JH439" s="42"/>
      <c r="JI439" s="42"/>
      <c r="JJ439" s="42"/>
      <c r="JK439" s="42"/>
      <c r="JL439" s="42"/>
      <c r="JM439" s="42"/>
      <c r="JN439" s="42"/>
      <c r="JO439" s="42"/>
      <c r="JP439" s="42"/>
      <c r="JQ439" s="42"/>
      <c r="JR439" s="42"/>
      <c r="JS439" s="42"/>
      <c r="JT439" s="42"/>
      <c r="JU439" s="42"/>
      <c r="JV439" s="42"/>
      <c r="JW439" s="42"/>
      <c r="JX439" s="42"/>
      <c r="JY439" s="42"/>
      <c r="JZ439" s="42"/>
      <c r="KA439" s="42"/>
    </row>
    <row r="440" spans="1:287" ht="12.75">
      <c r="A440" s="89"/>
      <c r="B440" s="89"/>
      <c r="J440" s="19"/>
      <c r="Q440" s="19"/>
      <c r="Y440" s="19"/>
      <c r="AF440" s="19"/>
      <c r="II440" s="42"/>
      <c r="IJ440" s="42"/>
      <c r="IK440" s="42"/>
      <c r="IL440" s="42"/>
      <c r="IM440" s="42"/>
      <c r="IN440" s="42"/>
      <c r="IO440" s="42"/>
      <c r="IP440" s="42"/>
      <c r="IQ440" s="42"/>
      <c r="IR440" s="42"/>
      <c r="IS440" s="42"/>
      <c r="IT440" s="42"/>
      <c r="IU440" s="42"/>
      <c r="IV440" s="42"/>
      <c r="IW440" s="42"/>
      <c r="IX440" s="42"/>
      <c r="IY440" s="42"/>
      <c r="IZ440" s="42"/>
      <c r="JA440" s="42"/>
      <c r="JB440" s="42"/>
      <c r="JC440" s="42"/>
      <c r="JD440" s="42"/>
      <c r="JE440" s="42"/>
      <c r="JF440" s="42"/>
      <c r="JG440" s="42"/>
      <c r="JH440" s="42"/>
      <c r="JI440" s="42"/>
      <c r="JJ440" s="42"/>
      <c r="JK440" s="42"/>
      <c r="JL440" s="42"/>
      <c r="JM440" s="42"/>
      <c r="JN440" s="42"/>
      <c r="JO440" s="42"/>
      <c r="JP440" s="42"/>
      <c r="JQ440" s="42"/>
      <c r="JR440" s="42"/>
      <c r="JS440" s="42"/>
      <c r="JT440" s="42"/>
      <c r="JU440" s="42"/>
      <c r="JV440" s="42"/>
      <c r="JW440" s="42"/>
      <c r="JX440" s="42"/>
      <c r="JY440" s="42"/>
      <c r="JZ440" s="42"/>
      <c r="KA440" s="42"/>
    </row>
    <row r="441" spans="1:287" ht="12.75">
      <c r="A441" s="89"/>
      <c r="B441" s="89"/>
      <c r="J441" s="19"/>
      <c r="Q441" s="19"/>
      <c r="Y441" s="19"/>
      <c r="AF441" s="19"/>
      <c r="II441" s="42"/>
      <c r="IJ441" s="42"/>
      <c r="IK441" s="42"/>
      <c r="IL441" s="42"/>
      <c r="IM441" s="42"/>
      <c r="IN441" s="42"/>
      <c r="IO441" s="42"/>
      <c r="IP441" s="42"/>
      <c r="IQ441" s="42"/>
      <c r="IR441" s="42"/>
      <c r="IS441" s="42"/>
      <c r="IT441" s="42"/>
      <c r="IU441" s="42"/>
      <c r="IV441" s="42"/>
      <c r="IW441" s="42"/>
      <c r="IX441" s="42"/>
      <c r="IY441" s="42"/>
      <c r="IZ441" s="42"/>
      <c r="JA441" s="42"/>
      <c r="JB441" s="42"/>
      <c r="JC441" s="42"/>
      <c r="JD441" s="42"/>
      <c r="JE441" s="42"/>
      <c r="JF441" s="42"/>
      <c r="JG441" s="42"/>
      <c r="JH441" s="42"/>
      <c r="JI441" s="42"/>
      <c r="JJ441" s="42"/>
      <c r="JK441" s="42"/>
      <c r="JL441" s="42"/>
      <c r="JM441" s="42"/>
      <c r="JN441" s="42"/>
      <c r="JO441" s="42"/>
      <c r="JP441" s="42"/>
      <c r="JQ441" s="42"/>
      <c r="JR441" s="42"/>
      <c r="JS441" s="42"/>
      <c r="JT441" s="42"/>
      <c r="JU441" s="42"/>
      <c r="JV441" s="42"/>
      <c r="JW441" s="42"/>
      <c r="JX441" s="42"/>
      <c r="JY441" s="42"/>
      <c r="JZ441" s="42"/>
      <c r="KA441" s="42"/>
    </row>
    <row r="442" spans="1:287" ht="12.75">
      <c r="A442" s="89"/>
      <c r="B442" s="89"/>
      <c r="J442" s="19"/>
      <c r="Q442" s="19"/>
      <c r="Y442" s="19"/>
      <c r="AF442" s="19"/>
      <c r="II442" s="42"/>
      <c r="IJ442" s="42"/>
      <c r="IK442" s="42"/>
      <c r="IL442" s="42"/>
      <c r="IM442" s="42"/>
      <c r="IN442" s="42"/>
      <c r="IO442" s="42"/>
      <c r="IP442" s="42"/>
      <c r="IQ442" s="42"/>
      <c r="IR442" s="42"/>
      <c r="IS442" s="42"/>
      <c r="IT442" s="42"/>
      <c r="IU442" s="42"/>
      <c r="IV442" s="42"/>
      <c r="IW442" s="42"/>
      <c r="IX442" s="42"/>
      <c r="IY442" s="42"/>
      <c r="IZ442" s="42"/>
      <c r="JA442" s="42"/>
      <c r="JB442" s="42"/>
      <c r="JC442" s="42"/>
      <c r="JD442" s="42"/>
      <c r="JE442" s="42"/>
      <c r="JF442" s="42"/>
      <c r="JG442" s="42"/>
      <c r="JH442" s="42"/>
      <c r="JI442" s="42"/>
      <c r="JJ442" s="42"/>
      <c r="JK442" s="42"/>
      <c r="JL442" s="42"/>
      <c r="JM442" s="42"/>
      <c r="JN442" s="42"/>
      <c r="JO442" s="42"/>
      <c r="JP442" s="42"/>
      <c r="JQ442" s="42"/>
      <c r="JR442" s="42"/>
      <c r="JS442" s="42"/>
      <c r="JT442" s="42"/>
      <c r="JU442" s="42"/>
      <c r="JV442" s="42"/>
      <c r="JW442" s="42"/>
      <c r="JX442" s="42"/>
      <c r="JY442" s="42"/>
      <c r="JZ442" s="42"/>
      <c r="KA442" s="42"/>
    </row>
    <row r="443" spans="1:287" ht="12.75">
      <c r="A443" s="89"/>
      <c r="B443" s="89"/>
      <c r="J443" s="19"/>
      <c r="Q443" s="19"/>
      <c r="Y443" s="19"/>
      <c r="AF443" s="19"/>
      <c r="II443" s="42"/>
      <c r="IJ443" s="42"/>
      <c r="IK443" s="42"/>
      <c r="IL443" s="42"/>
      <c r="IM443" s="42"/>
      <c r="IN443" s="42"/>
      <c r="IO443" s="42"/>
      <c r="IP443" s="42"/>
      <c r="IQ443" s="42"/>
      <c r="IR443" s="42"/>
      <c r="IS443" s="42"/>
      <c r="IT443" s="42"/>
      <c r="IU443" s="42"/>
      <c r="IV443" s="42"/>
      <c r="IW443" s="42"/>
      <c r="IX443" s="42"/>
      <c r="IY443" s="42"/>
      <c r="IZ443" s="42"/>
      <c r="JA443" s="42"/>
      <c r="JB443" s="42"/>
      <c r="JC443" s="42"/>
      <c r="JD443" s="42"/>
      <c r="JE443" s="42"/>
      <c r="JF443" s="42"/>
      <c r="JG443" s="42"/>
      <c r="JH443" s="42"/>
      <c r="JI443" s="42"/>
      <c r="JJ443" s="42"/>
      <c r="JK443" s="42"/>
      <c r="JL443" s="42"/>
      <c r="JM443" s="42"/>
      <c r="JN443" s="42"/>
      <c r="JO443" s="42"/>
      <c r="JP443" s="42"/>
      <c r="JQ443" s="42"/>
      <c r="JR443" s="42"/>
      <c r="JS443" s="42"/>
      <c r="JT443" s="42"/>
      <c r="JU443" s="42"/>
      <c r="JV443" s="42"/>
      <c r="JW443" s="42"/>
      <c r="JX443" s="42"/>
      <c r="JY443" s="42"/>
      <c r="JZ443" s="42"/>
      <c r="KA443" s="42"/>
    </row>
    <row r="444" spans="1:287" ht="12.75">
      <c r="A444" s="89"/>
      <c r="B444" s="89"/>
      <c r="J444" s="19"/>
      <c r="Q444" s="19"/>
      <c r="Y444" s="19"/>
      <c r="AF444" s="19"/>
      <c r="II444" s="42"/>
      <c r="IJ444" s="42"/>
      <c r="IK444" s="42"/>
      <c r="IL444" s="42"/>
      <c r="IM444" s="42"/>
      <c r="IN444" s="42"/>
      <c r="IO444" s="42"/>
      <c r="IP444" s="42"/>
      <c r="IQ444" s="42"/>
      <c r="IR444" s="42"/>
      <c r="IS444" s="42"/>
      <c r="IT444" s="42"/>
      <c r="IU444" s="42"/>
      <c r="IV444" s="42"/>
      <c r="IW444" s="42"/>
      <c r="IX444" s="42"/>
      <c r="IY444" s="42"/>
      <c r="IZ444" s="42"/>
      <c r="JA444" s="42"/>
      <c r="JB444" s="42"/>
      <c r="JC444" s="42"/>
      <c r="JD444" s="42"/>
      <c r="JE444" s="42"/>
      <c r="JF444" s="42"/>
      <c r="JG444" s="42"/>
      <c r="JH444" s="42"/>
      <c r="JI444" s="42"/>
      <c r="JJ444" s="42"/>
      <c r="JK444" s="42"/>
      <c r="JL444" s="42"/>
      <c r="JM444" s="42"/>
      <c r="JN444" s="42"/>
      <c r="JO444" s="42"/>
      <c r="JP444" s="42"/>
      <c r="JQ444" s="42"/>
      <c r="JR444" s="42"/>
      <c r="JS444" s="42"/>
      <c r="JT444" s="42"/>
      <c r="JU444" s="42"/>
      <c r="JV444" s="42"/>
      <c r="JW444" s="42"/>
      <c r="JX444" s="42"/>
      <c r="JY444" s="42"/>
      <c r="JZ444" s="42"/>
      <c r="KA444" s="42"/>
    </row>
    <row r="445" spans="1:287" ht="12.75">
      <c r="A445" s="89"/>
      <c r="B445" s="89"/>
      <c r="J445" s="19"/>
      <c r="Q445" s="19"/>
      <c r="Y445" s="19"/>
      <c r="AF445" s="19"/>
      <c r="II445" s="42"/>
      <c r="IJ445" s="42"/>
      <c r="IK445" s="42"/>
      <c r="IL445" s="42"/>
      <c r="IM445" s="42"/>
      <c r="IN445" s="42"/>
      <c r="IO445" s="42"/>
      <c r="IP445" s="42"/>
      <c r="IQ445" s="42"/>
      <c r="IR445" s="42"/>
      <c r="IS445" s="42"/>
      <c r="IT445" s="42"/>
      <c r="IU445" s="42"/>
      <c r="IV445" s="42"/>
      <c r="IW445" s="42"/>
      <c r="IX445" s="42"/>
      <c r="IY445" s="42"/>
      <c r="IZ445" s="42"/>
      <c r="JA445" s="42"/>
      <c r="JB445" s="42"/>
      <c r="JC445" s="42"/>
      <c r="JD445" s="42"/>
      <c r="JE445" s="42"/>
      <c r="JF445" s="42"/>
      <c r="JG445" s="42"/>
      <c r="JH445" s="42"/>
      <c r="JI445" s="42"/>
      <c r="JJ445" s="42"/>
      <c r="JK445" s="42"/>
      <c r="JL445" s="42"/>
      <c r="JM445" s="42"/>
      <c r="JN445" s="42"/>
      <c r="JO445" s="42"/>
      <c r="JP445" s="42"/>
      <c r="JQ445" s="42"/>
      <c r="JR445" s="42"/>
      <c r="JS445" s="42"/>
      <c r="JT445" s="42"/>
      <c r="JU445" s="42"/>
      <c r="JV445" s="42"/>
      <c r="JW445" s="42"/>
      <c r="JX445" s="42"/>
      <c r="JY445" s="42"/>
      <c r="JZ445" s="42"/>
      <c r="KA445" s="42"/>
    </row>
    <row r="446" spans="1:287" ht="12.75">
      <c r="A446" s="89"/>
      <c r="B446" s="89"/>
      <c r="J446" s="19"/>
      <c r="Q446" s="19"/>
      <c r="Y446" s="19"/>
      <c r="AF446" s="19"/>
      <c r="II446" s="42"/>
      <c r="IJ446" s="42"/>
      <c r="IK446" s="42"/>
      <c r="IL446" s="42"/>
      <c r="IM446" s="42"/>
      <c r="IN446" s="42"/>
      <c r="IO446" s="42"/>
      <c r="IP446" s="42"/>
      <c r="IQ446" s="42"/>
      <c r="IR446" s="42"/>
      <c r="IS446" s="42"/>
      <c r="IT446" s="42"/>
      <c r="IU446" s="42"/>
      <c r="IV446" s="42"/>
      <c r="IW446" s="42"/>
      <c r="IX446" s="42"/>
      <c r="IY446" s="42"/>
      <c r="IZ446" s="42"/>
      <c r="JA446" s="42"/>
      <c r="JB446" s="42"/>
      <c r="JC446" s="42"/>
      <c r="JD446" s="42"/>
      <c r="JE446" s="42"/>
      <c r="JF446" s="42"/>
      <c r="JG446" s="42"/>
      <c r="JH446" s="42"/>
      <c r="JI446" s="42"/>
      <c r="JJ446" s="42"/>
      <c r="JK446" s="42"/>
      <c r="JL446" s="42"/>
      <c r="JM446" s="42"/>
      <c r="JN446" s="42"/>
      <c r="JO446" s="42"/>
      <c r="JP446" s="42"/>
      <c r="JQ446" s="42"/>
      <c r="JR446" s="42"/>
      <c r="JS446" s="42"/>
      <c r="JT446" s="42"/>
      <c r="JU446" s="42"/>
      <c r="JV446" s="42"/>
      <c r="JW446" s="42"/>
      <c r="JX446" s="42"/>
      <c r="JY446" s="42"/>
      <c r="JZ446" s="42"/>
      <c r="KA446" s="42"/>
    </row>
    <row r="447" spans="1:287" ht="12.75">
      <c r="A447" s="89"/>
      <c r="B447" s="89"/>
      <c r="J447" s="19"/>
      <c r="Q447" s="19"/>
      <c r="Y447" s="19"/>
      <c r="AF447" s="19"/>
      <c r="II447" s="42"/>
      <c r="IJ447" s="42"/>
      <c r="IK447" s="42"/>
      <c r="IL447" s="42"/>
      <c r="IM447" s="42"/>
      <c r="IN447" s="42"/>
      <c r="IO447" s="42"/>
      <c r="IP447" s="42"/>
      <c r="IQ447" s="42"/>
      <c r="IR447" s="42"/>
      <c r="IS447" s="42"/>
      <c r="IT447" s="42"/>
      <c r="IU447" s="42"/>
      <c r="IV447" s="42"/>
      <c r="IW447" s="42"/>
      <c r="IX447" s="42"/>
      <c r="IY447" s="42"/>
      <c r="IZ447" s="42"/>
      <c r="JA447" s="42"/>
      <c r="JB447" s="42"/>
      <c r="JC447" s="42"/>
      <c r="JD447" s="42"/>
      <c r="JE447" s="42"/>
      <c r="JF447" s="42"/>
      <c r="JG447" s="42"/>
      <c r="JH447" s="42"/>
      <c r="JI447" s="42"/>
      <c r="JJ447" s="42"/>
      <c r="JK447" s="42"/>
      <c r="JL447" s="42"/>
      <c r="JM447" s="42"/>
      <c r="JN447" s="42"/>
      <c r="JO447" s="42"/>
      <c r="JP447" s="42"/>
      <c r="JQ447" s="42"/>
      <c r="JR447" s="42"/>
      <c r="JS447" s="42"/>
      <c r="JT447" s="42"/>
      <c r="JU447" s="42"/>
      <c r="JV447" s="42"/>
      <c r="JW447" s="42"/>
      <c r="JX447" s="42"/>
      <c r="JY447" s="42"/>
      <c r="JZ447" s="42"/>
      <c r="KA447" s="42"/>
    </row>
    <row r="448" spans="1:287" ht="12.75">
      <c r="A448" s="89"/>
      <c r="B448" s="89"/>
      <c r="J448" s="19"/>
      <c r="Q448" s="19"/>
      <c r="Y448" s="19"/>
      <c r="AF448" s="19"/>
      <c r="II448" s="42"/>
      <c r="IJ448" s="42"/>
      <c r="IK448" s="42"/>
      <c r="IL448" s="42"/>
      <c r="IM448" s="42"/>
      <c r="IN448" s="42"/>
      <c r="IO448" s="42"/>
      <c r="IP448" s="42"/>
      <c r="IQ448" s="42"/>
      <c r="IR448" s="42"/>
      <c r="IS448" s="42"/>
      <c r="IT448" s="42"/>
      <c r="IU448" s="42"/>
      <c r="IV448" s="42"/>
      <c r="IW448" s="42"/>
      <c r="IX448" s="42"/>
      <c r="IY448" s="42"/>
      <c r="IZ448" s="42"/>
      <c r="JA448" s="42"/>
      <c r="JB448" s="42"/>
      <c r="JC448" s="42"/>
      <c r="JD448" s="42"/>
      <c r="JE448" s="42"/>
      <c r="JF448" s="42"/>
      <c r="JG448" s="42"/>
      <c r="JH448" s="42"/>
      <c r="JI448" s="42"/>
      <c r="JJ448" s="42"/>
      <c r="JK448" s="42"/>
      <c r="JL448" s="42"/>
      <c r="JM448" s="42"/>
      <c r="JN448" s="42"/>
      <c r="JO448" s="42"/>
      <c r="JP448" s="42"/>
      <c r="JQ448" s="42"/>
      <c r="JR448" s="42"/>
      <c r="JS448" s="42"/>
      <c r="JT448" s="42"/>
      <c r="JU448" s="42"/>
      <c r="JV448" s="42"/>
      <c r="JW448" s="42"/>
      <c r="JX448" s="42"/>
      <c r="JY448" s="42"/>
      <c r="JZ448" s="42"/>
      <c r="KA448" s="42"/>
    </row>
    <row r="449" spans="1:287" ht="12.75">
      <c r="A449" s="89"/>
      <c r="B449" s="89"/>
      <c r="J449" s="19"/>
      <c r="Q449" s="19"/>
      <c r="Y449" s="19"/>
      <c r="AF449" s="19"/>
      <c r="II449" s="42"/>
      <c r="IJ449" s="42"/>
      <c r="IK449" s="42"/>
      <c r="IL449" s="42"/>
      <c r="IM449" s="42"/>
      <c r="IN449" s="42"/>
      <c r="IO449" s="42"/>
      <c r="IP449" s="42"/>
      <c r="IQ449" s="42"/>
      <c r="IR449" s="42"/>
      <c r="IS449" s="42"/>
      <c r="IT449" s="42"/>
      <c r="IU449" s="42"/>
      <c r="IV449" s="42"/>
      <c r="IW449" s="42"/>
      <c r="IX449" s="42"/>
      <c r="IY449" s="42"/>
      <c r="IZ449" s="42"/>
      <c r="JA449" s="42"/>
      <c r="JB449" s="42"/>
      <c r="JC449" s="42"/>
      <c r="JD449" s="42"/>
      <c r="JE449" s="42"/>
      <c r="JF449" s="42"/>
      <c r="JG449" s="42"/>
      <c r="JH449" s="42"/>
      <c r="JI449" s="42"/>
      <c r="JJ449" s="42"/>
      <c r="JK449" s="42"/>
      <c r="JL449" s="42"/>
      <c r="JM449" s="42"/>
      <c r="JN449" s="42"/>
      <c r="JO449" s="42"/>
      <c r="JP449" s="42"/>
      <c r="JQ449" s="42"/>
      <c r="JR449" s="42"/>
      <c r="JS449" s="42"/>
      <c r="JT449" s="42"/>
      <c r="JU449" s="42"/>
      <c r="JV449" s="42"/>
      <c r="JW449" s="42"/>
      <c r="JX449" s="42"/>
      <c r="JY449" s="42"/>
      <c r="JZ449" s="42"/>
      <c r="KA449" s="42"/>
    </row>
    <row r="450" spans="1:287" ht="12.75">
      <c r="A450" s="89"/>
      <c r="B450" s="89"/>
      <c r="J450" s="19"/>
      <c r="Q450" s="19"/>
      <c r="Y450" s="19"/>
      <c r="AF450" s="19"/>
      <c r="II450" s="42"/>
      <c r="IJ450" s="42"/>
      <c r="IK450" s="42"/>
      <c r="IL450" s="42"/>
      <c r="IM450" s="42"/>
      <c r="IN450" s="42"/>
      <c r="IO450" s="42"/>
      <c r="IP450" s="42"/>
      <c r="IQ450" s="42"/>
      <c r="IR450" s="42"/>
      <c r="IS450" s="42"/>
      <c r="IT450" s="42"/>
      <c r="IU450" s="42"/>
      <c r="IV450" s="42"/>
      <c r="IW450" s="42"/>
      <c r="IX450" s="42"/>
      <c r="IY450" s="42"/>
      <c r="IZ450" s="42"/>
      <c r="JA450" s="42"/>
      <c r="JB450" s="42"/>
      <c r="JC450" s="42"/>
      <c r="JD450" s="42"/>
      <c r="JE450" s="42"/>
      <c r="JF450" s="42"/>
      <c r="JG450" s="42"/>
      <c r="JH450" s="42"/>
      <c r="JI450" s="42"/>
      <c r="JJ450" s="42"/>
      <c r="JK450" s="42"/>
      <c r="JL450" s="42"/>
      <c r="JM450" s="42"/>
      <c r="JN450" s="42"/>
      <c r="JO450" s="42"/>
      <c r="JP450" s="42"/>
      <c r="JQ450" s="42"/>
      <c r="JR450" s="42"/>
      <c r="JS450" s="42"/>
      <c r="JT450" s="42"/>
      <c r="JU450" s="42"/>
      <c r="JV450" s="42"/>
      <c r="JW450" s="42"/>
      <c r="JX450" s="42"/>
      <c r="JY450" s="42"/>
      <c r="JZ450" s="42"/>
      <c r="KA450" s="42"/>
    </row>
    <row r="451" spans="1:287" ht="12.75">
      <c r="A451" s="89"/>
      <c r="B451" s="89"/>
      <c r="J451" s="19"/>
      <c r="Q451" s="19"/>
      <c r="Y451" s="19"/>
      <c r="AF451" s="19"/>
      <c r="II451" s="42"/>
      <c r="IJ451" s="42"/>
      <c r="IK451" s="42"/>
      <c r="IL451" s="42"/>
      <c r="IM451" s="42"/>
      <c r="IN451" s="42"/>
      <c r="IO451" s="42"/>
      <c r="IP451" s="42"/>
      <c r="IQ451" s="42"/>
      <c r="IR451" s="42"/>
      <c r="IS451" s="42"/>
      <c r="IT451" s="42"/>
      <c r="IU451" s="42"/>
      <c r="IV451" s="42"/>
      <c r="IW451" s="42"/>
      <c r="IX451" s="42"/>
      <c r="IY451" s="42"/>
      <c r="IZ451" s="42"/>
      <c r="JA451" s="42"/>
      <c r="JB451" s="42"/>
      <c r="JC451" s="42"/>
      <c r="JD451" s="42"/>
      <c r="JE451" s="42"/>
      <c r="JF451" s="42"/>
      <c r="JG451" s="42"/>
      <c r="JH451" s="42"/>
      <c r="JI451" s="42"/>
      <c r="JJ451" s="42"/>
      <c r="JK451" s="42"/>
      <c r="JL451" s="42"/>
      <c r="JM451" s="42"/>
      <c r="JN451" s="42"/>
      <c r="JO451" s="42"/>
      <c r="JP451" s="42"/>
      <c r="JQ451" s="42"/>
      <c r="JR451" s="42"/>
      <c r="JS451" s="42"/>
      <c r="JT451" s="42"/>
      <c r="JU451" s="42"/>
      <c r="JV451" s="42"/>
      <c r="JW451" s="42"/>
      <c r="JX451" s="42"/>
      <c r="JY451" s="42"/>
      <c r="JZ451" s="42"/>
      <c r="KA451" s="42"/>
    </row>
    <row r="452" spans="1:287" ht="12.75">
      <c r="A452" s="89"/>
      <c r="B452" s="89"/>
      <c r="J452" s="19"/>
      <c r="Q452" s="19"/>
      <c r="Y452" s="19"/>
      <c r="AF452" s="19"/>
      <c r="II452" s="42"/>
      <c r="IJ452" s="42"/>
      <c r="IK452" s="42"/>
      <c r="IL452" s="42"/>
      <c r="IM452" s="42"/>
      <c r="IN452" s="42"/>
      <c r="IO452" s="42"/>
      <c r="IP452" s="42"/>
      <c r="IQ452" s="42"/>
      <c r="IR452" s="42"/>
      <c r="IS452" s="42"/>
      <c r="IT452" s="42"/>
      <c r="IU452" s="42"/>
      <c r="IV452" s="42"/>
      <c r="IW452" s="42"/>
      <c r="IX452" s="42"/>
      <c r="IY452" s="42"/>
      <c r="IZ452" s="42"/>
      <c r="JA452" s="42"/>
      <c r="JB452" s="42"/>
      <c r="JC452" s="42"/>
      <c r="JD452" s="42"/>
      <c r="JE452" s="42"/>
      <c r="JF452" s="42"/>
      <c r="JG452" s="42"/>
      <c r="JH452" s="42"/>
      <c r="JI452" s="42"/>
      <c r="JJ452" s="42"/>
      <c r="JK452" s="42"/>
      <c r="JL452" s="42"/>
      <c r="JM452" s="42"/>
      <c r="JN452" s="42"/>
      <c r="JO452" s="42"/>
      <c r="JP452" s="42"/>
      <c r="JQ452" s="42"/>
      <c r="JR452" s="42"/>
      <c r="JS452" s="42"/>
      <c r="JT452" s="42"/>
      <c r="JU452" s="42"/>
      <c r="JV452" s="42"/>
      <c r="JW452" s="42"/>
      <c r="JX452" s="42"/>
      <c r="JY452" s="42"/>
      <c r="JZ452" s="42"/>
      <c r="KA452" s="42"/>
    </row>
    <row r="453" spans="1:287" ht="12.75">
      <c r="A453" s="89"/>
      <c r="B453" s="89"/>
      <c r="J453" s="19"/>
      <c r="Q453" s="19"/>
      <c r="Y453" s="19"/>
      <c r="AF453" s="19"/>
      <c r="II453" s="42"/>
      <c r="IJ453" s="42"/>
      <c r="IK453" s="42"/>
      <c r="IL453" s="42"/>
      <c r="IM453" s="42"/>
      <c r="IN453" s="42"/>
      <c r="IO453" s="42"/>
      <c r="IP453" s="42"/>
      <c r="IQ453" s="42"/>
      <c r="IR453" s="42"/>
      <c r="IS453" s="42"/>
      <c r="IT453" s="42"/>
      <c r="IU453" s="42"/>
      <c r="IV453" s="42"/>
      <c r="IW453" s="42"/>
      <c r="IX453" s="42"/>
      <c r="IY453" s="42"/>
      <c r="IZ453" s="42"/>
      <c r="JA453" s="42"/>
      <c r="JB453" s="42"/>
      <c r="JC453" s="42"/>
      <c r="JD453" s="42"/>
      <c r="JE453" s="42"/>
      <c r="JF453" s="42"/>
      <c r="JG453" s="42"/>
      <c r="JH453" s="42"/>
      <c r="JI453" s="42"/>
      <c r="JJ453" s="42"/>
      <c r="JK453" s="42"/>
      <c r="JL453" s="42"/>
      <c r="JM453" s="42"/>
      <c r="JN453" s="42"/>
      <c r="JO453" s="42"/>
      <c r="JP453" s="42"/>
      <c r="JQ453" s="42"/>
      <c r="JR453" s="42"/>
      <c r="JS453" s="42"/>
      <c r="JT453" s="42"/>
      <c r="JU453" s="42"/>
      <c r="JV453" s="42"/>
      <c r="JW453" s="42"/>
      <c r="JX453" s="42"/>
      <c r="JY453" s="42"/>
      <c r="JZ453" s="42"/>
      <c r="KA453" s="42"/>
    </row>
    <row r="454" spans="1:287" ht="12.75">
      <c r="A454" s="89"/>
      <c r="B454" s="89"/>
      <c r="J454" s="19"/>
      <c r="Q454" s="19"/>
      <c r="Y454" s="19"/>
      <c r="AF454" s="19"/>
      <c r="II454" s="42"/>
      <c r="IJ454" s="42"/>
      <c r="IK454" s="42"/>
      <c r="IL454" s="42"/>
      <c r="IM454" s="42"/>
      <c r="IN454" s="42"/>
      <c r="IO454" s="42"/>
      <c r="IP454" s="42"/>
      <c r="IQ454" s="42"/>
      <c r="IR454" s="42"/>
      <c r="IS454" s="42"/>
      <c r="IT454" s="42"/>
      <c r="IU454" s="42"/>
      <c r="IV454" s="42"/>
      <c r="IW454" s="42"/>
      <c r="IX454" s="42"/>
      <c r="IY454" s="42"/>
      <c r="IZ454" s="42"/>
      <c r="JA454" s="42"/>
      <c r="JB454" s="42"/>
      <c r="JC454" s="42"/>
      <c r="JD454" s="42"/>
      <c r="JE454" s="42"/>
      <c r="JF454" s="42"/>
      <c r="JG454" s="42"/>
      <c r="JH454" s="42"/>
      <c r="JI454" s="42"/>
      <c r="JJ454" s="42"/>
      <c r="JK454" s="42"/>
      <c r="JL454" s="42"/>
      <c r="JM454" s="42"/>
      <c r="JN454" s="42"/>
      <c r="JO454" s="42"/>
      <c r="JP454" s="42"/>
      <c r="JQ454" s="42"/>
      <c r="JR454" s="42"/>
      <c r="JS454" s="42"/>
      <c r="JT454" s="42"/>
      <c r="JU454" s="42"/>
      <c r="JV454" s="42"/>
      <c r="JW454" s="42"/>
      <c r="JX454" s="42"/>
      <c r="JY454" s="42"/>
      <c r="JZ454" s="42"/>
      <c r="KA454" s="42"/>
    </row>
    <row r="455" spans="1:287" ht="12.75">
      <c r="A455" s="89"/>
      <c r="B455" s="89"/>
      <c r="J455" s="19"/>
      <c r="Q455" s="19"/>
      <c r="Y455" s="19"/>
      <c r="AF455" s="19"/>
      <c r="II455" s="42"/>
      <c r="IJ455" s="42"/>
      <c r="IK455" s="42"/>
      <c r="IL455" s="42"/>
      <c r="IM455" s="42"/>
      <c r="IN455" s="42"/>
      <c r="IO455" s="42"/>
      <c r="IP455" s="42"/>
      <c r="IQ455" s="42"/>
      <c r="IR455" s="42"/>
      <c r="IS455" s="42"/>
      <c r="IT455" s="42"/>
      <c r="IU455" s="42"/>
      <c r="IV455" s="42"/>
      <c r="IW455" s="42"/>
      <c r="IX455" s="42"/>
      <c r="IY455" s="42"/>
      <c r="IZ455" s="42"/>
      <c r="JA455" s="42"/>
      <c r="JB455" s="42"/>
      <c r="JC455" s="42"/>
      <c r="JD455" s="42"/>
      <c r="JE455" s="42"/>
      <c r="JF455" s="42"/>
      <c r="JG455" s="42"/>
      <c r="JH455" s="42"/>
      <c r="JI455" s="42"/>
      <c r="JJ455" s="42"/>
      <c r="JK455" s="42"/>
      <c r="JL455" s="42"/>
      <c r="JM455" s="42"/>
      <c r="JN455" s="42"/>
      <c r="JO455" s="42"/>
      <c r="JP455" s="42"/>
      <c r="JQ455" s="42"/>
      <c r="JR455" s="42"/>
      <c r="JS455" s="42"/>
      <c r="JT455" s="42"/>
      <c r="JU455" s="42"/>
      <c r="JV455" s="42"/>
      <c r="JW455" s="42"/>
      <c r="JX455" s="42"/>
      <c r="JY455" s="42"/>
      <c r="JZ455" s="42"/>
      <c r="KA455" s="42"/>
    </row>
    <row r="456" spans="1:287" ht="12.75">
      <c r="A456" s="89"/>
      <c r="B456" s="89"/>
      <c r="J456" s="19"/>
      <c r="Q456" s="19"/>
      <c r="Y456" s="19"/>
      <c r="AF456" s="19"/>
      <c r="II456" s="42"/>
      <c r="IJ456" s="42"/>
      <c r="IK456" s="42"/>
      <c r="IL456" s="42"/>
      <c r="IM456" s="42"/>
      <c r="IN456" s="42"/>
      <c r="IO456" s="42"/>
      <c r="IP456" s="42"/>
      <c r="IQ456" s="42"/>
      <c r="IR456" s="42"/>
      <c r="IS456" s="42"/>
      <c r="IT456" s="42"/>
      <c r="IU456" s="42"/>
      <c r="IV456" s="42"/>
      <c r="IW456" s="42"/>
      <c r="IX456" s="42"/>
      <c r="IY456" s="42"/>
      <c r="IZ456" s="42"/>
      <c r="JA456" s="42"/>
      <c r="JB456" s="42"/>
      <c r="JC456" s="42"/>
      <c r="JD456" s="42"/>
      <c r="JE456" s="42"/>
      <c r="JF456" s="42"/>
      <c r="JG456" s="42"/>
      <c r="JH456" s="42"/>
      <c r="JI456" s="42"/>
      <c r="JJ456" s="42"/>
      <c r="JK456" s="42"/>
      <c r="JL456" s="42"/>
      <c r="JM456" s="42"/>
      <c r="JN456" s="42"/>
      <c r="JO456" s="42"/>
      <c r="JP456" s="42"/>
      <c r="JQ456" s="42"/>
      <c r="JR456" s="42"/>
      <c r="JS456" s="42"/>
      <c r="JT456" s="42"/>
      <c r="JU456" s="42"/>
      <c r="JV456" s="42"/>
      <c r="JW456" s="42"/>
      <c r="JX456" s="42"/>
      <c r="JY456" s="42"/>
      <c r="JZ456" s="42"/>
      <c r="KA456" s="42"/>
    </row>
    <row r="457" spans="1:287" ht="12.75">
      <c r="A457" s="89"/>
      <c r="B457" s="89"/>
      <c r="J457" s="19"/>
      <c r="Q457" s="19"/>
      <c r="Y457" s="19"/>
      <c r="AF457" s="19"/>
      <c r="II457" s="42"/>
      <c r="IJ457" s="42"/>
      <c r="IK457" s="42"/>
      <c r="IL457" s="42"/>
      <c r="IM457" s="42"/>
      <c r="IN457" s="42"/>
      <c r="IO457" s="42"/>
      <c r="IP457" s="42"/>
      <c r="IQ457" s="42"/>
      <c r="IR457" s="42"/>
      <c r="IS457" s="42"/>
      <c r="IT457" s="42"/>
      <c r="IU457" s="42"/>
      <c r="IV457" s="42"/>
      <c r="IW457" s="42"/>
      <c r="IX457" s="42"/>
      <c r="IY457" s="42"/>
      <c r="IZ457" s="42"/>
      <c r="JA457" s="42"/>
      <c r="JB457" s="42"/>
      <c r="JC457" s="42"/>
      <c r="JD457" s="42"/>
      <c r="JE457" s="42"/>
      <c r="JF457" s="42"/>
      <c r="JG457" s="42"/>
      <c r="JH457" s="42"/>
      <c r="JI457" s="42"/>
      <c r="JJ457" s="42"/>
      <c r="JK457" s="42"/>
      <c r="JL457" s="42"/>
      <c r="JM457" s="42"/>
      <c r="JN457" s="42"/>
      <c r="JO457" s="42"/>
      <c r="JP457" s="42"/>
      <c r="JQ457" s="42"/>
      <c r="JR457" s="42"/>
      <c r="JS457" s="42"/>
      <c r="JT457" s="42"/>
      <c r="JU457" s="42"/>
      <c r="JV457" s="42"/>
      <c r="JW457" s="42"/>
      <c r="JX457" s="42"/>
      <c r="JY457" s="42"/>
      <c r="JZ457" s="42"/>
      <c r="KA457" s="42"/>
    </row>
    <row r="458" spans="1:287" ht="12.75">
      <c r="A458" s="89"/>
      <c r="B458" s="89"/>
      <c r="J458" s="19"/>
      <c r="Q458" s="19"/>
      <c r="Y458" s="19"/>
      <c r="AF458" s="19"/>
      <c r="II458" s="42"/>
      <c r="IJ458" s="42"/>
      <c r="IK458" s="42"/>
      <c r="IL458" s="42"/>
      <c r="IM458" s="42"/>
      <c r="IN458" s="42"/>
      <c r="IO458" s="42"/>
      <c r="IP458" s="42"/>
      <c r="IQ458" s="42"/>
      <c r="IR458" s="42"/>
      <c r="IS458" s="42"/>
      <c r="IT458" s="42"/>
      <c r="IU458" s="42"/>
      <c r="IV458" s="42"/>
      <c r="IW458" s="42"/>
      <c r="IX458" s="42"/>
      <c r="IY458" s="42"/>
      <c r="IZ458" s="42"/>
      <c r="JA458" s="42"/>
      <c r="JB458" s="42"/>
      <c r="JC458" s="42"/>
      <c r="JD458" s="42"/>
      <c r="JE458" s="42"/>
      <c r="JF458" s="42"/>
      <c r="JG458" s="42"/>
      <c r="JH458" s="42"/>
      <c r="JI458" s="42"/>
      <c r="JJ458" s="42"/>
      <c r="JK458" s="42"/>
      <c r="JL458" s="42"/>
      <c r="JM458" s="42"/>
      <c r="JN458" s="42"/>
      <c r="JO458" s="42"/>
      <c r="JP458" s="42"/>
      <c r="JQ458" s="42"/>
      <c r="JR458" s="42"/>
      <c r="JS458" s="42"/>
      <c r="JT458" s="42"/>
      <c r="JU458" s="42"/>
      <c r="JV458" s="42"/>
      <c r="JW458" s="42"/>
      <c r="JX458" s="42"/>
      <c r="JY458" s="42"/>
      <c r="JZ458" s="42"/>
      <c r="KA458" s="42"/>
    </row>
    <row r="459" spans="1:287" ht="12.75">
      <c r="A459" s="89"/>
      <c r="B459" s="89"/>
      <c r="J459" s="19"/>
      <c r="Q459" s="19"/>
      <c r="Y459" s="19"/>
      <c r="AF459" s="19"/>
      <c r="II459" s="42"/>
      <c r="IJ459" s="42"/>
      <c r="IK459" s="42"/>
      <c r="IL459" s="42"/>
      <c r="IM459" s="42"/>
      <c r="IN459" s="42"/>
      <c r="IO459" s="42"/>
      <c r="IP459" s="42"/>
      <c r="IQ459" s="42"/>
      <c r="IR459" s="42"/>
      <c r="IS459" s="42"/>
      <c r="IT459" s="42"/>
      <c r="IU459" s="42"/>
      <c r="IV459" s="42"/>
      <c r="IW459" s="42"/>
      <c r="IX459" s="42"/>
      <c r="IY459" s="42"/>
      <c r="IZ459" s="42"/>
      <c r="JA459" s="42"/>
      <c r="JB459" s="42"/>
      <c r="JC459" s="42"/>
      <c r="JD459" s="42"/>
      <c r="JE459" s="42"/>
      <c r="JF459" s="42"/>
      <c r="JG459" s="42"/>
      <c r="JH459" s="42"/>
      <c r="JI459" s="42"/>
      <c r="JJ459" s="42"/>
      <c r="JK459" s="42"/>
      <c r="JL459" s="42"/>
      <c r="JM459" s="42"/>
      <c r="JN459" s="42"/>
      <c r="JO459" s="42"/>
      <c r="JP459" s="42"/>
      <c r="JQ459" s="42"/>
      <c r="JR459" s="42"/>
      <c r="JS459" s="42"/>
      <c r="JT459" s="42"/>
      <c r="JU459" s="42"/>
      <c r="JV459" s="42"/>
      <c r="JW459" s="42"/>
      <c r="JX459" s="42"/>
      <c r="JY459" s="42"/>
      <c r="JZ459" s="42"/>
      <c r="KA459" s="42"/>
    </row>
    <row r="460" spans="1:287" ht="12.75">
      <c r="A460" s="89"/>
      <c r="B460" s="89"/>
      <c r="J460" s="19"/>
      <c r="Q460" s="19"/>
      <c r="Y460" s="19"/>
      <c r="AF460" s="19"/>
      <c r="II460" s="42"/>
      <c r="IJ460" s="42"/>
      <c r="IK460" s="42"/>
      <c r="IL460" s="42"/>
      <c r="IM460" s="42"/>
      <c r="IN460" s="42"/>
      <c r="IO460" s="42"/>
      <c r="IP460" s="42"/>
      <c r="IQ460" s="42"/>
      <c r="IR460" s="42"/>
      <c r="IS460" s="42"/>
      <c r="IT460" s="42"/>
      <c r="IU460" s="42"/>
      <c r="IV460" s="42"/>
      <c r="IW460" s="42"/>
      <c r="IX460" s="42"/>
      <c r="IY460" s="42"/>
      <c r="IZ460" s="42"/>
      <c r="JA460" s="42"/>
      <c r="JB460" s="42"/>
      <c r="JC460" s="42"/>
      <c r="JD460" s="42"/>
      <c r="JE460" s="42"/>
      <c r="JF460" s="42"/>
      <c r="JG460" s="42"/>
      <c r="JH460" s="42"/>
      <c r="JI460" s="42"/>
      <c r="JJ460" s="42"/>
      <c r="JK460" s="42"/>
      <c r="JL460" s="42"/>
      <c r="JM460" s="42"/>
      <c r="JN460" s="42"/>
      <c r="JO460" s="42"/>
      <c r="JP460" s="42"/>
      <c r="JQ460" s="42"/>
      <c r="JR460" s="42"/>
      <c r="JS460" s="42"/>
      <c r="JT460" s="42"/>
      <c r="JU460" s="42"/>
      <c r="JV460" s="42"/>
      <c r="JW460" s="42"/>
      <c r="JX460" s="42"/>
      <c r="JY460" s="42"/>
      <c r="JZ460" s="42"/>
      <c r="KA460" s="42"/>
    </row>
    <row r="461" spans="1:287" ht="12.75">
      <c r="A461" s="89"/>
      <c r="B461" s="89"/>
      <c r="J461" s="19"/>
      <c r="Q461" s="19"/>
      <c r="Y461" s="19"/>
      <c r="AF461" s="19"/>
      <c r="II461" s="42"/>
      <c r="IJ461" s="42"/>
      <c r="IK461" s="42"/>
      <c r="IL461" s="42"/>
      <c r="IM461" s="42"/>
      <c r="IN461" s="42"/>
      <c r="IO461" s="42"/>
      <c r="IP461" s="42"/>
      <c r="IQ461" s="42"/>
      <c r="IR461" s="42"/>
      <c r="IS461" s="42"/>
      <c r="IT461" s="42"/>
      <c r="IU461" s="42"/>
      <c r="IV461" s="42"/>
      <c r="IW461" s="42"/>
      <c r="IX461" s="42"/>
      <c r="IY461" s="42"/>
      <c r="IZ461" s="42"/>
      <c r="JA461" s="42"/>
      <c r="JB461" s="42"/>
      <c r="JC461" s="42"/>
      <c r="JD461" s="42"/>
      <c r="JE461" s="42"/>
      <c r="JF461" s="42"/>
      <c r="JG461" s="42"/>
      <c r="JH461" s="42"/>
      <c r="JI461" s="42"/>
      <c r="JJ461" s="42"/>
      <c r="JK461" s="42"/>
      <c r="JL461" s="42"/>
      <c r="JM461" s="42"/>
      <c r="JN461" s="42"/>
      <c r="JO461" s="42"/>
      <c r="JP461" s="42"/>
      <c r="JQ461" s="42"/>
      <c r="JR461" s="42"/>
      <c r="JS461" s="42"/>
      <c r="JT461" s="42"/>
      <c r="JU461" s="42"/>
      <c r="JV461" s="42"/>
      <c r="JW461" s="42"/>
      <c r="JX461" s="42"/>
      <c r="JY461" s="42"/>
      <c r="JZ461" s="42"/>
      <c r="KA461" s="42"/>
    </row>
    <row r="462" spans="1:287" ht="12.75">
      <c r="A462" s="89"/>
      <c r="B462" s="89"/>
      <c r="J462" s="19"/>
      <c r="Q462" s="19"/>
      <c r="Y462" s="19"/>
      <c r="AF462" s="19"/>
      <c r="II462" s="42"/>
      <c r="IJ462" s="42"/>
      <c r="IK462" s="42"/>
      <c r="IL462" s="42"/>
      <c r="IM462" s="42"/>
      <c r="IN462" s="42"/>
      <c r="IO462" s="42"/>
      <c r="IP462" s="42"/>
      <c r="IQ462" s="42"/>
      <c r="IR462" s="42"/>
      <c r="IS462" s="42"/>
      <c r="IT462" s="42"/>
      <c r="IU462" s="42"/>
      <c r="IV462" s="42"/>
      <c r="IW462" s="42"/>
      <c r="IX462" s="42"/>
      <c r="IY462" s="42"/>
      <c r="IZ462" s="42"/>
      <c r="JA462" s="42"/>
      <c r="JB462" s="42"/>
      <c r="JC462" s="42"/>
      <c r="JD462" s="42"/>
      <c r="JE462" s="42"/>
      <c r="JF462" s="42"/>
      <c r="JG462" s="42"/>
      <c r="JH462" s="42"/>
      <c r="JI462" s="42"/>
      <c r="JJ462" s="42"/>
      <c r="JK462" s="42"/>
      <c r="JL462" s="42"/>
      <c r="JM462" s="42"/>
      <c r="JN462" s="42"/>
      <c r="JO462" s="42"/>
      <c r="JP462" s="42"/>
      <c r="JQ462" s="42"/>
      <c r="JR462" s="42"/>
      <c r="JS462" s="42"/>
      <c r="JT462" s="42"/>
      <c r="JU462" s="42"/>
      <c r="JV462" s="42"/>
      <c r="JW462" s="42"/>
      <c r="JX462" s="42"/>
      <c r="JY462" s="42"/>
      <c r="JZ462" s="42"/>
      <c r="KA462" s="42"/>
    </row>
    <row r="463" spans="1:287" ht="12.75">
      <c r="A463" s="89"/>
      <c r="B463" s="89"/>
      <c r="J463" s="19"/>
      <c r="Q463" s="19"/>
      <c r="Y463" s="19"/>
      <c r="AF463" s="19"/>
      <c r="II463" s="42"/>
      <c r="IJ463" s="42"/>
      <c r="IK463" s="42"/>
      <c r="IL463" s="42"/>
      <c r="IM463" s="42"/>
      <c r="IN463" s="42"/>
      <c r="IO463" s="42"/>
      <c r="IP463" s="42"/>
      <c r="IQ463" s="42"/>
      <c r="IR463" s="42"/>
      <c r="IS463" s="42"/>
      <c r="IT463" s="42"/>
      <c r="IU463" s="42"/>
      <c r="IV463" s="42"/>
      <c r="IW463" s="42"/>
      <c r="IX463" s="42"/>
      <c r="IY463" s="42"/>
      <c r="IZ463" s="42"/>
      <c r="JA463" s="42"/>
      <c r="JB463" s="42"/>
      <c r="JC463" s="42"/>
      <c r="JD463" s="42"/>
      <c r="JE463" s="42"/>
      <c r="JF463" s="42"/>
      <c r="JG463" s="42"/>
      <c r="JH463" s="42"/>
      <c r="JI463" s="42"/>
      <c r="JJ463" s="42"/>
      <c r="JK463" s="42"/>
      <c r="JL463" s="42"/>
      <c r="JM463" s="42"/>
      <c r="JN463" s="42"/>
      <c r="JO463" s="42"/>
      <c r="JP463" s="42"/>
      <c r="JQ463" s="42"/>
      <c r="JR463" s="42"/>
      <c r="JS463" s="42"/>
      <c r="JT463" s="42"/>
      <c r="JU463" s="42"/>
      <c r="JV463" s="42"/>
      <c r="JW463" s="42"/>
      <c r="JX463" s="42"/>
      <c r="JY463" s="42"/>
      <c r="JZ463" s="42"/>
      <c r="KA463" s="42"/>
    </row>
    <row r="464" spans="1:287" ht="12.75">
      <c r="A464" s="89"/>
      <c r="B464" s="89"/>
      <c r="J464" s="19"/>
      <c r="Q464" s="19"/>
      <c r="Y464" s="19"/>
      <c r="AF464" s="19"/>
      <c r="II464" s="42"/>
      <c r="IJ464" s="42"/>
      <c r="IK464" s="42"/>
      <c r="IL464" s="42"/>
      <c r="IM464" s="42"/>
      <c r="IN464" s="42"/>
      <c r="IO464" s="42"/>
      <c r="IP464" s="42"/>
      <c r="IQ464" s="42"/>
      <c r="IR464" s="42"/>
      <c r="IS464" s="42"/>
      <c r="IT464" s="42"/>
      <c r="IU464" s="42"/>
      <c r="IV464" s="42"/>
      <c r="IW464" s="42"/>
      <c r="IX464" s="42"/>
      <c r="IY464" s="42"/>
      <c r="IZ464" s="42"/>
      <c r="JA464" s="42"/>
      <c r="JB464" s="42"/>
      <c r="JC464" s="42"/>
      <c r="JD464" s="42"/>
      <c r="JE464" s="42"/>
      <c r="JF464" s="42"/>
      <c r="JG464" s="42"/>
      <c r="JH464" s="42"/>
      <c r="JI464" s="42"/>
      <c r="JJ464" s="42"/>
      <c r="JK464" s="42"/>
      <c r="JL464" s="42"/>
      <c r="JM464" s="42"/>
      <c r="JN464" s="42"/>
      <c r="JO464" s="42"/>
      <c r="JP464" s="42"/>
      <c r="JQ464" s="42"/>
      <c r="JR464" s="42"/>
      <c r="JS464" s="42"/>
      <c r="JT464" s="42"/>
      <c r="JU464" s="42"/>
      <c r="JV464" s="42"/>
      <c r="JW464" s="42"/>
      <c r="JX464" s="42"/>
      <c r="JY464" s="42"/>
      <c r="JZ464" s="42"/>
      <c r="KA464" s="42"/>
    </row>
    <row r="465" spans="1:287" ht="12.75">
      <c r="A465" s="89"/>
      <c r="B465" s="89"/>
      <c r="J465" s="19"/>
      <c r="Q465" s="19"/>
      <c r="Y465" s="19"/>
      <c r="AF465" s="19"/>
      <c r="II465" s="42"/>
      <c r="IJ465" s="42"/>
      <c r="IK465" s="42"/>
      <c r="IL465" s="42"/>
      <c r="IM465" s="42"/>
      <c r="IN465" s="42"/>
      <c r="IO465" s="42"/>
      <c r="IP465" s="42"/>
      <c r="IQ465" s="42"/>
      <c r="IR465" s="42"/>
      <c r="IS465" s="42"/>
      <c r="IT465" s="42"/>
      <c r="IU465" s="42"/>
      <c r="IV465" s="42"/>
      <c r="IW465" s="42"/>
      <c r="IX465" s="42"/>
      <c r="IY465" s="42"/>
      <c r="IZ465" s="42"/>
      <c r="JA465" s="42"/>
      <c r="JB465" s="42"/>
      <c r="JC465" s="42"/>
      <c r="JD465" s="42"/>
      <c r="JE465" s="42"/>
      <c r="JF465" s="42"/>
      <c r="JG465" s="42"/>
      <c r="JH465" s="42"/>
      <c r="JI465" s="42"/>
      <c r="JJ465" s="42"/>
      <c r="JK465" s="42"/>
      <c r="JL465" s="42"/>
      <c r="JM465" s="42"/>
      <c r="JN465" s="42"/>
      <c r="JO465" s="42"/>
      <c r="JP465" s="42"/>
      <c r="JQ465" s="42"/>
      <c r="JR465" s="42"/>
      <c r="JS465" s="42"/>
      <c r="JT465" s="42"/>
      <c r="JU465" s="42"/>
      <c r="JV465" s="42"/>
      <c r="JW465" s="42"/>
      <c r="JX465" s="42"/>
      <c r="JY465" s="42"/>
      <c r="JZ465" s="42"/>
      <c r="KA465" s="42"/>
    </row>
    <row r="466" spans="1:287" ht="12.75">
      <c r="A466" s="89"/>
      <c r="B466" s="89"/>
      <c r="J466" s="19"/>
      <c r="Q466" s="19"/>
      <c r="Y466" s="19"/>
      <c r="AF466" s="19"/>
      <c r="II466" s="42"/>
      <c r="IJ466" s="42"/>
      <c r="IK466" s="42"/>
      <c r="IL466" s="42"/>
      <c r="IM466" s="42"/>
      <c r="IN466" s="42"/>
      <c r="IO466" s="42"/>
      <c r="IP466" s="42"/>
      <c r="IQ466" s="42"/>
      <c r="IR466" s="42"/>
      <c r="IS466" s="42"/>
      <c r="IT466" s="42"/>
      <c r="IU466" s="42"/>
      <c r="IV466" s="42"/>
      <c r="IW466" s="42"/>
      <c r="IX466" s="42"/>
      <c r="IY466" s="42"/>
      <c r="IZ466" s="42"/>
      <c r="JA466" s="42"/>
      <c r="JB466" s="42"/>
      <c r="JC466" s="42"/>
      <c r="JD466" s="42"/>
      <c r="JE466" s="42"/>
      <c r="JF466" s="42"/>
      <c r="JG466" s="42"/>
      <c r="JH466" s="42"/>
      <c r="JI466" s="42"/>
      <c r="JJ466" s="42"/>
      <c r="JK466" s="42"/>
      <c r="JL466" s="42"/>
      <c r="JM466" s="42"/>
      <c r="JN466" s="42"/>
      <c r="JO466" s="42"/>
      <c r="JP466" s="42"/>
      <c r="JQ466" s="42"/>
      <c r="JR466" s="42"/>
      <c r="JS466" s="42"/>
      <c r="JT466" s="42"/>
      <c r="JU466" s="42"/>
      <c r="JV466" s="42"/>
      <c r="JW466" s="42"/>
      <c r="JX466" s="42"/>
      <c r="JY466" s="42"/>
      <c r="JZ466" s="42"/>
      <c r="KA466" s="42"/>
    </row>
    <row r="467" spans="1:287" ht="12.75">
      <c r="A467" s="89"/>
      <c r="B467" s="89"/>
      <c r="J467" s="19"/>
      <c r="Q467" s="19"/>
      <c r="Y467" s="19"/>
      <c r="AF467" s="19"/>
      <c r="II467" s="42"/>
      <c r="IJ467" s="42"/>
      <c r="IK467" s="42"/>
      <c r="IL467" s="42"/>
      <c r="IM467" s="42"/>
      <c r="IN467" s="42"/>
      <c r="IO467" s="42"/>
      <c r="IP467" s="42"/>
      <c r="IQ467" s="42"/>
      <c r="IR467" s="42"/>
      <c r="IS467" s="42"/>
      <c r="IT467" s="42"/>
      <c r="IU467" s="42"/>
      <c r="IV467" s="42"/>
      <c r="IW467" s="42"/>
      <c r="IX467" s="42"/>
      <c r="IY467" s="42"/>
      <c r="IZ467" s="42"/>
      <c r="JA467" s="42"/>
      <c r="JB467" s="42"/>
      <c r="JC467" s="42"/>
      <c r="JD467" s="42"/>
      <c r="JE467" s="42"/>
      <c r="JF467" s="42"/>
      <c r="JG467" s="42"/>
      <c r="JH467" s="42"/>
      <c r="JI467" s="42"/>
      <c r="JJ467" s="42"/>
      <c r="JK467" s="42"/>
      <c r="JL467" s="42"/>
      <c r="JM467" s="42"/>
      <c r="JN467" s="42"/>
      <c r="JO467" s="42"/>
      <c r="JP467" s="42"/>
      <c r="JQ467" s="42"/>
      <c r="JR467" s="42"/>
      <c r="JS467" s="42"/>
      <c r="JT467" s="42"/>
      <c r="JU467" s="42"/>
      <c r="JV467" s="42"/>
      <c r="JW467" s="42"/>
      <c r="JX467" s="42"/>
      <c r="JY467" s="42"/>
      <c r="JZ467" s="42"/>
      <c r="KA467" s="42"/>
    </row>
    <row r="468" spans="1:287" ht="12.75">
      <c r="A468" s="89"/>
      <c r="B468" s="89"/>
      <c r="J468" s="19"/>
      <c r="Q468" s="19"/>
      <c r="Y468" s="19"/>
      <c r="AF468" s="19"/>
      <c r="II468" s="42"/>
      <c r="IJ468" s="42"/>
      <c r="IK468" s="42"/>
      <c r="IL468" s="42"/>
      <c r="IM468" s="42"/>
      <c r="IN468" s="42"/>
      <c r="IO468" s="42"/>
      <c r="IP468" s="42"/>
      <c r="IQ468" s="42"/>
      <c r="IR468" s="42"/>
      <c r="IS468" s="42"/>
      <c r="IT468" s="42"/>
      <c r="IU468" s="42"/>
      <c r="IV468" s="42"/>
      <c r="IW468" s="42"/>
      <c r="IX468" s="42"/>
      <c r="IY468" s="42"/>
      <c r="IZ468" s="42"/>
      <c r="JA468" s="42"/>
      <c r="JB468" s="42"/>
      <c r="JC468" s="42"/>
      <c r="JD468" s="42"/>
      <c r="JE468" s="42"/>
      <c r="JF468" s="42"/>
      <c r="JG468" s="42"/>
      <c r="JH468" s="42"/>
      <c r="JI468" s="42"/>
      <c r="JJ468" s="42"/>
      <c r="JK468" s="42"/>
      <c r="JL468" s="42"/>
      <c r="JM468" s="42"/>
      <c r="JN468" s="42"/>
      <c r="JO468" s="42"/>
      <c r="JP468" s="42"/>
      <c r="JQ468" s="42"/>
      <c r="JR468" s="42"/>
      <c r="JS468" s="42"/>
      <c r="JT468" s="42"/>
      <c r="JU468" s="42"/>
      <c r="JV468" s="42"/>
      <c r="JW468" s="42"/>
      <c r="JX468" s="42"/>
      <c r="JY468" s="42"/>
      <c r="JZ468" s="42"/>
      <c r="KA468" s="42"/>
    </row>
    <row r="469" spans="1:287" ht="12.75">
      <c r="A469" s="89"/>
      <c r="B469" s="89"/>
      <c r="J469" s="19"/>
      <c r="Q469" s="19"/>
      <c r="Y469" s="19"/>
      <c r="AF469" s="19"/>
      <c r="II469" s="42"/>
      <c r="IJ469" s="42"/>
      <c r="IK469" s="42"/>
      <c r="IL469" s="42"/>
      <c r="IM469" s="42"/>
      <c r="IN469" s="42"/>
      <c r="IO469" s="42"/>
      <c r="IP469" s="42"/>
      <c r="IQ469" s="42"/>
      <c r="IR469" s="42"/>
      <c r="IS469" s="42"/>
      <c r="IT469" s="42"/>
      <c r="IU469" s="42"/>
      <c r="IV469" s="42"/>
      <c r="IW469" s="42"/>
      <c r="IX469" s="42"/>
      <c r="IY469" s="42"/>
      <c r="IZ469" s="42"/>
      <c r="JA469" s="42"/>
      <c r="JB469" s="42"/>
      <c r="JC469" s="42"/>
      <c r="JD469" s="42"/>
      <c r="JE469" s="42"/>
      <c r="JF469" s="42"/>
      <c r="JG469" s="42"/>
      <c r="JH469" s="42"/>
      <c r="JI469" s="42"/>
      <c r="JJ469" s="42"/>
      <c r="JK469" s="42"/>
      <c r="JL469" s="42"/>
      <c r="JM469" s="42"/>
      <c r="JN469" s="42"/>
      <c r="JO469" s="42"/>
      <c r="JP469" s="42"/>
      <c r="JQ469" s="42"/>
      <c r="JR469" s="42"/>
      <c r="JS469" s="42"/>
      <c r="JT469" s="42"/>
      <c r="JU469" s="42"/>
      <c r="JV469" s="42"/>
      <c r="JW469" s="42"/>
      <c r="JX469" s="42"/>
      <c r="JY469" s="42"/>
      <c r="JZ469" s="42"/>
      <c r="KA469" s="42"/>
    </row>
    <row r="470" spans="1:287" ht="12.75">
      <c r="A470" s="89"/>
      <c r="B470" s="89"/>
      <c r="J470" s="19"/>
      <c r="Q470" s="19"/>
      <c r="Y470" s="19"/>
      <c r="AF470" s="19"/>
      <c r="II470" s="42"/>
      <c r="IJ470" s="42"/>
      <c r="IK470" s="42"/>
      <c r="IL470" s="42"/>
      <c r="IM470" s="42"/>
      <c r="IN470" s="42"/>
      <c r="IO470" s="42"/>
      <c r="IP470" s="42"/>
      <c r="IQ470" s="42"/>
      <c r="IR470" s="42"/>
      <c r="IS470" s="42"/>
      <c r="IT470" s="42"/>
      <c r="IU470" s="42"/>
      <c r="IV470" s="42"/>
      <c r="IW470" s="42"/>
      <c r="IX470" s="42"/>
      <c r="IY470" s="42"/>
      <c r="IZ470" s="42"/>
      <c r="JA470" s="42"/>
      <c r="JB470" s="42"/>
      <c r="JC470" s="42"/>
      <c r="JD470" s="42"/>
      <c r="JE470" s="42"/>
      <c r="JF470" s="42"/>
      <c r="JG470" s="42"/>
      <c r="JH470" s="42"/>
      <c r="JI470" s="42"/>
      <c r="JJ470" s="42"/>
      <c r="JK470" s="42"/>
      <c r="JL470" s="42"/>
      <c r="JM470" s="42"/>
      <c r="JN470" s="42"/>
      <c r="JO470" s="42"/>
      <c r="JP470" s="42"/>
      <c r="JQ470" s="42"/>
      <c r="JR470" s="42"/>
      <c r="JS470" s="42"/>
      <c r="JT470" s="42"/>
      <c r="JU470" s="42"/>
      <c r="JV470" s="42"/>
      <c r="JW470" s="42"/>
      <c r="JX470" s="42"/>
      <c r="JY470" s="42"/>
      <c r="JZ470" s="42"/>
      <c r="KA470" s="42"/>
    </row>
    <row r="471" spans="1:287" ht="12.75">
      <c r="A471" s="89"/>
      <c r="B471" s="89"/>
      <c r="J471" s="19"/>
      <c r="Q471" s="19"/>
      <c r="Y471" s="19"/>
      <c r="AF471" s="19"/>
      <c r="II471" s="42"/>
      <c r="IJ471" s="42"/>
      <c r="IK471" s="42"/>
      <c r="IL471" s="42"/>
      <c r="IM471" s="42"/>
      <c r="IN471" s="42"/>
      <c r="IO471" s="42"/>
      <c r="IP471" s="42"/>
      <c r="IQ471" s="42"/>
      <c r="IR471" s="42"/>
      <c r="IS471" s="42"/>
      <c r="IT471" s="42"/>
      <c r="IU471" s="42"/>
      <c r="IV471" s="42"/>
      <c r="IW471" s="42"/>
      <c r="IX471" s="42"/>
      <c r="IY471" s="42"/>
      <c r="IZ471" s="42"/>
      <c r="JA471" s="42"/>
      <c r="JB471" s="42"/>
      <c r="JC471" s="42"/>
      <c r="JD471" s="42"/>
      <c r="JE471" s="42"/>
      <c r="JF471" s="42"/>
      <c r="JG471" s="42"/>
      <c r="JH471" s="42"/>
      <c r="JI471" s="42"/>
      <c r="JJ471" s="42"/>
      <c r="JK471" s="42"/>
      <c r="JL471" s="42"/>
      <c r="JM471" s="42"/>
      <c r="JN471" s="42"/>
      <c r="JO471" s="42"/>
      <c r="JP471" s="42"/>
      <c r="JQ471" s="42"/>
      <c r="JR471" s="42"/>
      <c r="JS471" s="42"/>
      <c r="JT471" s="42"/>
      <c r="JU471" s="42"/>
      <c r="JV471" s="42"/>
      <c r="JW471" s="42"/>
      <c r="JX471" s="42"/>
      <c r="JY471" s="42"/>
      <c r="JZ471" s="42"/>
      <c r="KA471" s="42"/>
    </row>
    <row r="472" spans="1:287" ht="12.75">
      <c r="A472" s="89"/>
      <c r="B472" s="89"/>
      <c r="J472" s="19"/>
      <c r="Q472" s="19"/>
      <c r="Y472" s="19"/>
      <c r="AF472" s="19"/>
      <c r="II472" s="42"/>
      <c r="IJ472" s="42"/>
      <c r="IK472" s="42"/>
      <c r="IL472" s="42"/>
      <c r="IM472" s="42"/>
      <c r="IN472" s="42"/>
      <c r="IO472" s="42"/>
      <c r="IP472" s="42"/>
      <c r="IQ472" s="42"/>
      <c r="IR472" s="42"/>
      <c r="IS472" s="42"/>
      <c r="IT472" s="42"/>
      <c r="IU472" s="42"/>
      <c r="IV472" s="42"/>
      <c r="IW472" s="42"/>
      <c r="IX472" s="42"/>
      <c r="IY472" s="42"/>
      <c r="IZ472" s="42"/>
      <c r="JA472" s="42"/>
      <c r="JB472" s="42"/>
      <c r="JC472" s="42"/>
      <c r="JD472" s="42"/>
      <c r="JE472" s="42"/>
      <c r="JF472" s="42"/>
      <c r="JG472" s="42"/>
      <c r="JH472" s="42"/>
      <c r="JI472" s="42"/>
      <c r="JJ472" s="42"/>
      <c r="JK472" s="42"/>
      <c r="JL472" s="42"/>
      <c r="JM472" s="42"/>
      <c r="JN472" s="42"/>
      <c r="JO472" s="42"/>
      <c r="JP472" s="42"/>
      <c r="JQ472" s="42"/>
      <c r="JR472" s="42"/>
      <c r="JS472" s="42"/>
      <c r="JT472" s="42"/>
      <c r="JU472" s="42"/>
      <c r="JV472" s="42"/>
      <c r="JW472" s="42"/>
      <c r="JX472" s="42"/>
      <c r="JY472" s="42"/>
      <c r="JZ472" s="42"/>
      <c r="KA472" s="42"/>
    </row>
    <row r="473" spans="1:287" ht="12.75">
      <c r="A473" s="89"/>
      <c r="B473" s="89"/>
      <c r="J473" s="19"/>
      <c r="Q473" s="19"/>
      <c r="Y473" s="19"/>
      <c r="AF473" s="19"/>
      <c r="II473" s="42"/>
      <c r="IJ473" s="42"/>
      <c r="IK473" s="42"/>
      <c r="IL473" s="42"/>
      <c r="IM473" s="42"/>
      <c r="IN473" s="42"/>
      <c r="IO473" s="42"/>
      <c r="IP473" s="42"/>
      <c r="IQ473" s="42"/>
      <c r="IR473" s="42"/>
      <c r="IS473" s="42"/>
      <c r="IT473" s="42"/>
      <c r="IU473" s="42"/>
      <c r="IV473" s="42"/>
      <c r="IW473" s="42"/>
      <c r="IX473" s="42"/>
      <c r="IY473" s="42"/>
      <c r="IZ473" s="42"/>
      <c r="JA473" s="42"/>
      <c r="JB473" s="42"/>
      <c r="JC473" s="42"/>
      <c r="JD473" s="42"/>
      <c r="JE473" s="42"/>
      <c r="JF473" s="42"/>
      <c r="JG473" s="42"/>
      <c r="JH473" s="42"/>
      <c r="JI473" s="42"/>
      <c r="JJ473" s="42"/>
      <c r="JK473" s="42"/>
      <c r="JL473" s="42"/>
      <c r="JM473" s="42"/>
      <c r="JN473" s="42"/>
      <c r="JO473" s="42"/>
      <c r="JP473" s="42"/>
      <c r="JQ473" s="42"/>
      <c r="JR473" s="42"/>
      <c r="JS473" s="42"/>
      <c r="JT473" s="42"/>
      <c r="JU473" s="42"/>
      <c r="JV473" s="42"/>
      <c r="JW473" s="42"/>
      <c r="JX473" s="42"/>
      <c r="JY473" s="42"/>
      <c r="JZ473" s="42"/>
      <c r="KA473" s="42"/>
    </row>
    <row r="474" spans="1:287" ht="12.75">
      <c r="A474" s="89"/>
      <c r="B474" s="89"/>
      <c r="J474" s="19"/>
      <c r="Q474" s="19"/>
      <c r="Y474" s="19"/>
      <c r="AF474" s="19"/>
      <c r="II474" s="42"/>
      <c r="IJ474" s="42"/>
      <c r="IK474" s="42"/>
      <c r="IL474" s="42"/>
      <c r="IM474" s="42"/>
      <c r="IN474" s="42"/>
      <c r="IO474" s="42"/>
      <c r="IP474" s="42"/>
      <c r="IQ474" s="42"/>
      <c r="IR474" s="42"/>
      <c r="IS474" s="42"/>
      <c r="IT474" s="42"/>
      <c r="IU474" s="42"/>
      <c r="IV474" s="42"/>
      <c r="IW474" s="42"/>
      <c r="IX474" s="42"/>
      <c r="IY474" s="42"/>
      <c r="IZ474" s="42"/>
      <c r="JA474" s="42"/>
      <c r="JB474" s="42"/>
      <c r="JC474" s="42"/>
      <c r="JD474" s="42"/>
      <c r="JE474" s="42"/>
      <c r="JF474" s="42"/>
      <c r="JG474" s="42"/>
      <c r="JH474" s="42"/>
      <c r="JI474" s="42"/>
      <c r="JJ474" s="42"/>
      <c r="JK474" s="42"/>
      <c r="JL474" s="42"/>
      <c r="JM474" s="42"/>
      <c r="JN474" s="42"/>
      <c r="JO474" s="42"/>
      <c r="JP474" s="42"/>
      <c r="JQ474" s="42"/>
      <c r="JR474" s="42"/>
      <c r="JS474" s="42"/>
      <c r="JT474" s="42"/>
      <c r="JU474" s="42"/>
      <c r="JV474" s="42"/>
      <c r="JW474" s="42"/>
      <c r="JX474" s="42"/>
      <c r="JY474" s="42"/>
      <c r="JZ474" s="42"/>
      <c r="KA474" s="42"/>
    </row>
    <row r="475" spans="1:287" ht="12.75">
      <c r="A475" s="89"/>
      <c r="B475" s="89"/>
      <c r="J475" s="19"/>
      <c r="Q475" s="19"/>
      <c r="Y475" s="19"/>
      <c r="AF475" s="19"/>
      <c r="II475" s="42"/>
      <c r="IJ475" s="42"/>
      <c r="IK475" s="42"/>
      <c r="IL475" s="42"/>
      <c r="IM475" s="42"/>
      <c r="IN475" s="42"/>
      <c r="IO475" s="42"/>
      <c r="IP475" s="42"/>
      <c r="IQ475" s="42"/>
      <c r="IR475" s="42"/>
      <c r="IS475" s="42"/>
      <c r="IT475" s="42"/>
      <c r="IU475" s="42"/>
      <c r="IV475" s="42"/>
      <c r="IW475" s="42"/>
      <c r="IX475" s="42"/>
      <c r="IY475" s="42"/>
      <c r="IZ475" s="42"/>
      <c r="JA475" s="42"/>
      <c r="JB475" s="42"/>
      <c r="JC475" s="42"/>
      <c r="JD475" s="42"/>
      <c r="JE475" s="42"/>
      <c r="JF475" s="42"/>
      <c r="JG475" s="42"/>
      <c r="JH475" s="42"/>
      <c r="JI475" s="42"/>
      <c r="JJ475" s="42"/>
      <c r="JK475" s="42"/>
      <c r="JL475" s="42"/>
      <c r="JM475" s="42"/>
      <c r="JN475" s="42"/>
      <c r="JO475" s="42"/>
      <c r="JP475" s="42"/>
      <c r="JQ475" s="42"/>
      <c r="JR475" s="42"/>
      <c r="JS475" s="42"/>
      <c r="JT475" s="42"/>
      <c r="JU475" s="42"/>
      <c r="JV475" s="42"/>
      <c r="JW475" s="42"/>
      <c r="JX475" s="42"/>
      <c r="JY475" s="42"/>
      <c r="JZ475" s="42"/>
      <c r="KA475" s="42"/>
    </row>
    <row r="476" spans="1:287" ht="12.75">
      <c r="A476" s="89"/>
      <c r="B476" s="89"/>
      <c r="J476" s="19"/>
      <c r="Q476" s="19"/>
      <c r="Y476" s="19"/>
      <c r="AF476" s="19"/>
      <c r="II476" s="42"/>
      <c r="IJ476" s="42"/>
      <c r="IK476" s="42"/>
      <c r="IL476" s="42"/>
      <c r="IM476" s="42"/>
      <c r="IN476" s="42"/>
      <c r="IO476" s="42"/>
      <c r="IP476" s="42"/>
      <c r="IQ476" s="42"/>
      <c r="IR476" s="42"/>
      <c r="IS476" s="42"/>
      <c r="IT476" s="42"/>
      <c r="IU476" s="42"/>
      <c r="IV476" s="42"/>
      <c r="IW476" s="42"/>
      <c r="IX476" s="42"/>
      <c r="IY476" s="42"/>
      <c r="IZ476" s="42"/>
      <c r="JA476" s="42"/>
      <c r="JB476" s="42"/>
      <c r="JC476" s="42"/>
      <c r="JD476" s="42"/>
      <c r="JE476" s="42"/>
      <c r="JF476" s="42"/>
      <c r="JG476" s="42"/>
      <c r="JH476" s="42"/>
      <c r="JI476" s="42"/>
      <c r="JJ476" s="42"/>
      <c r="JK476" s="42"/>
      <c r="JL476" s="42"/>
      <c r="JM476" s="42"/>
      <c r="JN476" s="42"/>
      <c r="JO476" s="42"/>
      <c r="JP476" s="42"/>
      <c r="JQ476" s="42"/>
      <c r="JR476" s="42"/>
      <c r="JS476" s="42"/>
      <c r="JT476" s="42"/>
      <c r="JU476" s="42"/>
      <c r="JV476" s="42"/>
      <c r="JW476" s="42"/>
      <c r="JX476" s="42"/>
      <c r="JY476" s="42"/>
      <c r="JZ476" s="42"/>
      <c r="KA476" s="42"/>
    </row>
    <row r="477" spans="1:287" ht="12.75">
      <c r="A477" s="89"/>
      <c r="B477" s="89"/>
      <c r="J477" s="19"/>
      <c r="Q477" s="19"/>
      <c r="Y477" s="19"/>
      <c r="AF477" s="19"/>
      <c r="II477" s="42"/>
      <c r="IJ477" s="42"/>
      <c r="IK477" s="42"/>
      <c r="IL477" s="42"/>
      <c r="IM477" s="42"/>
      <c r="IN477" s="42"/>
      <c r="IO477" s="42"/>
      <c r="IP477" s="42"/>
      <c r="IQ477" s="42"/>
      <c r="IR477" s="42"/>
      <c r="IS477" s="42"/>
      <c r="IT477" s="42"/>
      <c r="IU477" s="42"/>
      <c r="IV477" s="42"/>
      <c r="IW477" s="42"/>
      <c r="IX477" s="42"/>
      <c r="IY477" s="42"/>
      <c r="IZ477" s="42"/>
      <c r="JA477" s="42"/>
      <c r="JB477" s="42"/>
      <c r="JC477" s="42"/>
      <c r="JD477" s="42"/>
      <c r="JE477" s="42"/>
      <c r="JF477" s="42"/>
      <c r="JG477" s="42"/>
      <c r="JH477" s="42"/>
      <c r="JI477" s="42"/>
      <c r="JJ477" s="42"/>
      <c r="JK477" s="42"/>
      <c r="JL477" s="42"/>
      <c r="JM477" s="42"/>
      <c r="JN477" s="42"/>
      <c r="JO477" s="42"/>
      <c r="JP477" s="42"/>
      <c r="JQ477" s="42"/>
      <c r="JR477" s="42"/>
      <c r="JS477" s="42"/>
      <c r="JT477" s="42"/>
      <c r="JU477" s="42"/>
      <c r="JV477" s="42"/>
      <c r="JW477" s="42"/>
      <c r="JX477" s="42"/>
      <c r="JY477" s="42"/>
      <c r="JZ477" s="42"/>
      <c r="KA477" s="42"/>
    </row>
    <row r="478" spans="1:287" ht="12.75">
      <c r="A478" s="89"/>
      <c r="B478" s="89"/>
      <c r="J478" s="19"/>
      <c r="Q478" s="19"/>
      <c r="Y478" s="19"/>
      <c r="AF478" s="19"/>
      <c r="II478" s="42"/>
      <c r="IJ478" s="42"/>
      <c r="IK478" s="42"/>
      <c r="IL478" s="42"/>
      <c r="IM478" s="42"/>
      <c r="IN478" s="42"/>
      <c r="IO478" s="42"/>
      <c r="IP478" s="42"/>
      <c r="IQ478" s="42"/>
      <c r="IR478" s="42"/>
      <c r="IS478" s="42"/>
      <c r="IT478" s="42"/>
      <c r="IU478" s="42"/>
      <c r="IV478" s="42"/>
      <c r="IW478" s="42"/>
      <c r="IX478" s="42"/>
      <c r="IY478" s="42"/>
      <c r="IZ478" s="42"/>
      <c r="JA478" s="42"/>
      <c r="JB478" s="42"/>
      <c r="JC478" s="42"/>
      <c r="JD478" s="42"/>
      <c r="JE478" s="42"/>
      <c r="JF478" s="42"/>
      <c r="JG478" s="42"/>
      <c r="JH478" s="42"/>
      <c r="JI478" s="42"/>
      <c r="JJ478" s="42"/>
      <c r="JK478" s="42"/>
      <c r="JL478" s="42"/>
      <c r="JM478" s="42"/>
      <c r="JN478" s="42"/>
      <c r="JO478" s="42"/>
      <c r="JP478" s="42"/>
      <c r="JQ478" s="42"/>
      <c r="JR478" s="42"/>
      <c r="JS478" s="42"/>
      <c r="JT478" s="42"/>
      <c r="JU478" s="42"/>
      <c r="JV478" s="42"/>
      <c r="JW478" s="42"/>
      <c r="JX478" s="42"/>
      <c r="JY478" s="42"/>
      <c r="JZ478" s="42"/>
      <c r="KA478" s="42"/>
    </row>
    <row r="479" spans="1:287" ht="12.75">
      <c r="A479" s="89"/>
      <c r="B479" s="89"/>
      <c r="J479" s="19"/>
      <c r="Q479" s="19"/>
      <c r="Y479" s="19"/>
      <c r="AF479" s="19"/>
      <c r="II479" s="42"/>
      <c r="IJ479" s="42"/>
      <c r="IK479" s="42"/>
      <c r="IL479" s="42"/>
      <c r="IM479" s="42"/>
      <c r="IN479" s="42"/>
      <c r="IO479" s="42"/>
      <c r="IP479" s="42"/>
      <c r="IQ479" s="42"/>
      <c r="IR479" s="42"/>
      <c r="IS479" s="42"/>
      <c r="IT479" s="42"/>
      <c r="IU479" s="42"/>
      <c r="IV479" s="42"/>
      <c r="IW479" s="42"/>
      <c r="IX479" s="42"/>
      <c r="IY479" s="42"/>
      <c r="IZ479" s="42"/>
      <c r="JA479" s="42"/>
      <c r="JB479" s="42"/>
      <c r="JC479" s="42"/>
      <c r="JD479" s="42"/>
      <c r="JE479" s="42"/>
      <c r="JF479" s="42"/>
      <c r="JG479" s="42"/>
      <c r="JH479" s="42"/>
      <c r="JI479" s="42"/>
      <c r="JJ479" s="42"/>
      <c r="JK479" s="42"/>
      <c r="JL479" s="42"/>
      <c r="JM479" s="42"/>
      <c r="JN479" s="42"/>
      <c r="JO479" s="42"/>
      <c r="JP479" s="42"/>
      <c r="JQ479" s="42"/>
      <c r="JR479" s="42"/>
      <c r="JS479" s="42"/>
      <c r="JT479" s="42"/>
      <c r="JU479" s="42"/>
      <c r="JV479" s="42"/>
      <c r="JW479" s="42"/>
      <c r="JX479" s="42"/>
      <c r="JY479" s="42"/>
      <c r="JZ479" s="42"/>
      <c r="KA479" s="42"/>
    </row>
    <row r="480" spans="1:287" ht="12.75">
      <c r="A480" s="89"/>
      <c r="B480" s="89"/>
      <c r="J480" s="19"/>
      <c r="Q480" s="19"/>
      <c r="Y480" s="19"/>
      <c r="AF480" s="19"/>
      <c r="II480" s="42"/>
      <c r="IJ480" s="42"/>
      <c r="IK480" s="42"/>
      <c r="IL480" s="42"/>
      <c r="IM480" s="42"/>
      <c r="IN480" s="42"/>
      <c r="IO480" s="42"/>
      <c r="IP480" s="42"/>
      <c r="IQ480" s="42"/>
      <c r="IR480" s="42"/>
      <c r="IS480" s="42"/>
      <c r="IT480" s="42"/>
      <c r="IU480" s="42"/>
      <c r="IV480" s="42"/>
      <c r="IW480" s="42"/>
      <c r="IX480" s="42"/>
      <c r="IY480" s="42"/>
      <c r="IZ480" s="42"/>
      <c r="JA480" s="42"/>
      <c r="JB480" s="42"/>
      <c r="JC480" s="42"/>
      <c r="JD480" s="42"/>
      <c r="JE480" s="42"/>
      <c r="JF480" s="42"/>
      <c r="JG480" s="42"/>
      <c r="JH480" s="42"/>
      <c r="JI480" s="42"/>
      <c r="JJ480" s="42"/>
      <c r="JK480" s="42"/>
      <c r="JL480" s="42"/>
      <c r="JM480" s="42"/>
      <c r="JN480" s="42"/>
      <c r="JO480" s="42"/>
      <c r="JP480" s="42"/>
      <c r="JQ480" s="42"/>
      <c r="JR480" s="42"/>
      <c r="JS480" s="42"/>
      <c r="JT480" s="42"/>
      <c r="JU480" s="42"/>
      <c r="JV480" s="42"/>
      <c r="JW480" s="42"/>
      <c r="JX480" s="42"/>
      <c r="JY480" s="42"/>
      <c r="JZ480" s="42"/>
      <c r="KA480" s="42"/>
    </row>
    <row r="481" spans="1:287" ht="12.75">
      <c r="A481" s="89"/>
      <c r="B481" s="89"/>
      <c r="J481" s="19"/>
      <c r="Q481" s="19"/>
      <c r="Y481" s="19"/>
      <c r="AF481" s="19"/>
      <c r="II481" s="42"/>
      <c r="IJ481" s="42"/>
      <c r="IK481" s="42"/>
      <c r="IL481" s="42"/>
      <c r="IM481" s="42"/>
      <c r="IN481" s="42"/>
      <c r="IO481" s="42"/>
      <c r="IP481" s="42"/>
      <c r="IQ481" s="42"/>
      <c r="IR481" s="42"/>
      <c r="IS481" s="42"/>
      <c r="IT481" s="42"/>
      <c r="IU481" s="42"/>
      <c r="IV481" s="42"/>
      <c r="IW481" s="42"/>
      <c r="IX481" s="42"/>
      <c r="IY481" s="42"/>
      <c r="IZ481" s="42"/>
      <c r="JA481" s="42"/>
      <c r="JB481" s="42"/>
      <c r="JC481" s="42"/>
      <c r="JD481" s="42"/>
      <c r="JE481" s="42"/>
      <c r="JF481" s="42"/>
      <c r="JG481" s="42"/>
      <c r="JH481" s="42"/>
      <c r="JI481" s="42"/>
      <c r="JJ481" s="42"/>
      <c r="JK481" s="42"/>
      <c r="JL481" s="42"/>
      <c r="JM481" s="42"/>
      <c r="JN481" s="42"/>
      <c r="JO481" s="42"/>
      <c r="JP481" s="42"/>
      <c r="JQ481" s="42"/>
      <c r="JR481" s="42"/>
      <c r="JS481" s="42"/>
      <c r="JT481" s="42"/>
      <c r="JU481" s="42"/>
      <c r="JV481" s="42"/>
      <c r="JW481" s="42"/>
      <c r="JX481" s="42"/>
      <c r="JY481" s="42"/>
      <c r="JZ481" s="42"/>
      <c r="KA481" s="42"/>
    </row>
    <row r="482" spans="1:287" ht="12.75">
      <c r="A482" s="89"/>
      <c r="B482" s="89"/>
      <c r="J482" s="19"/>
      <c r="Q482" s="19"/>
      <c r="Y482" s="19"/>
      <c r="AF482" s="19"/>
      <c r="II482" s="42"/>
      <c r="IJ482" s="42"/>
      <c r="IK482" s="42"/>
      <c r="IL482" s="42"/>
      <c r="IM482" s="42"/>
      <c r="IN482" s="42"/>
      <c r="IO482" s="42"/>
      <c r="IP482" s="42"/>
      <c r="IQ482" s="42"/>
      <c r="IR482" s="42"/>
      <c r="IS482" s="42"/>
      <c r="IT482" s="42"/>
      <c r="IU482" s="42"/>
      <c r="IV482" s="42"/>
      <c r="IW482" s="42"/>
      <c r="IX482" s="42"/>
      <c r="IY482" s="42"/>
      <c r="IZ482" s="42"/>
      <c r="JA482" s="42"/>
      <c r="JB482" s="42"/>
      <c r="JC482" s="42"/>
      <c r="JD482" s="42"/>
      <c r="JE482" s="42"/>
      <c r="JF482" s="42"/>
      <c r="JG482" s="42"/>
      <c r="JH482" s="42"/>
      <c r="JI482" s="42"/>
      <c r="JJ482" s="42"/>
      <c r="JK482" s="42"/>
      <c r="JL482" s="42"/>
      <c r="JM482" s="42"/>
      <c r="JN482" s="42"/>
      <c r="JO482" s="42"/>
      <c r="JP482" s="42"/>
      <c r="JQ482" s="42"/>
      <c r="JR482" s="42"/>
      <c r="JS482" s="42"/>
      <c r="JT482" s="42"/>
      <c r="JU482" s="42"/>
      <c r="JV482" s="42"/>
      <c r="JW482" s="42"/>
      <c r="JX482" s="42"/>
      <c r="JY482" s="42"/>
      <c r="JZ482" s="42"/>
      <c r="KA482" s="42"/>
    </row>
    <row r="483" spans="1:287" ht="12.75">
      <c r="A483" s="89"/>
      <c r="B483" s="89"/>
      <c r="J483" s="19"/>
      <c r="Q483" s="19"/>
      <c r="Y483" s="19"/>
      <c r="AF483" s="19"/>
      <c r="II483" s="42"/>
      <c r="IJ483" s="42"/>
      <c r="IK483" s="42"/>
      <c r="IL483" s="42"/>
      <c r="IM483" s="42"/>
      <c r="IN483" s="42"/>
      <c r="IO483" s="42"/>
      <c r="IP483" s="42"/>
      <c r="IQ483" s="42"/>
      <c r="IR483" s="42"/>
      <c r="IS483" s="42"/>
      <c r="IT483" s="42"/>
      <c r="IU483" s="42"/>
      <c r="IV483" s="42"/>
      <c r="IW483" s="42"/>
      <c r="IX483" s="42"/>
      <c r="IY483" s="42"/>
      <c r="IZ483" s="42"/>
      <c r="JA483" s="42"/>
      <c r="JB483" s="42"/>
      <c r="JC483" s="42"/>
      <c r="JD483" s="42"/>
      <c r="JE483" s="42"/>
      <c r="JF483" s="42"/>
      <c r="JG483" s="42"/>
      <c r="JH483" s="42"/>
      <c r="JI483" s="42"/>
      <c r="JJ483" s="42"/>
      <c r="JK483" s="42"/>
      <c r="JL483" s="42"/>
      <c r="JM483" s="42"/>
      <c r="JN483" s="42"/>
      <c r="JO483" s="42"/>
      <c r="JP483" s="42"/>
      <c r="JQ483" s="42"/>
      <c r="JR483" s="42"/>
      <c r="JS483" s="42"/>
      <c r="JT483" s="42"/>
      <c r="JU483" s="42"/>
      <c r="JV483" s="42"/>
      <c r="JW483" s="42"/>
      <c r="JX483" s="42"/>
      <c r="JY483" s="42"/>
      <c r="JZ483" s="42"/>
      <c r="KA483" s="42"/>
    </row>
    <row r="484" spans="1:287" ht="12.75">
      <c r="A484" s="89"/>
      <c r="B484" s="89"/>
      <c r="J484" s="19"/>
      <c r="Q484" s="19"/>
      <c r="Y484" s="19"/>
      <c r="AF484" s="19"/>
      <c r="II484" s="42"/>
      <c r="IJ484" s="42"/>
      <c r="IK484" s="42"/>
      <c r="IL484" s="42"/>
      <c r="IM484" s="42"/>
      <c r="IN484" s="42"/>
      <c r="IO484" s="42"/>
      <c r="IP484" s="42"/>
      <c r="IQ484" s="42"/>
      <c r="IR484" s="42"/>
      <c r="IS484" s="42"/>
      <c r="IT484" s="42"/>
      <c r="IU484" s="42"/>
      <c r="IV484" s="42"/>
      <c r="IW484" s="42"/>
      <c r="IX484" s="42"/>
      <c r="IY484" s="42"/>
      <c r="IZ484" s="42"/>
      <c r="JA484" s="42"/>
      <c r="JB484" s="42"/>
      <c r="JC484" s="42"/>
      <c r="JD484" s="42"/>
      <c r="JE484" s="42"/>
      <c r="JF484" s="42"/>
      <c r="JG484" s="42"/>
      <c r="JH484" s="42"/>
      <c r="JI484" s="42"/>
      <c r="JJ484" s="42"/>
      <c r="JK484" s="42"/>
      <c r="JL484" s="42"/>
      <c r="JM484" s="42"/>
      <c r="JN484" s="42"/>
      <c r="JO484" s="42"/>
      <c r="JP484" s="42"/>
      <c r="JQ484" s="42"/>
      <c r="JR484" s="42"/>
      <c r="JS484" s="42"/>
      <c r="JT484" s="42"/>
      <c r="JU484" s="42"/>
      <c r="JV484" s="42"/>
      <c r="JW484" s="42"/>
      <c r="JX484" s="42"/>
      <c r="JY484" s="42"/>
      <c r="JZ484" s="42"/>
      <c r="KA484" s="42"/>
    </row>
    <row r="485" spans="1:287" ht="12.75">
      <c r="A485" s="89"/>
      <c r="B485" s="89"/>
      <c r="J485" s="19"/>
      <c r="Q485" s="19"/>
      <c r="Y485" s="19"/>
      <c r="AF485" s="19"/>
      <c r="II485" s="42"/>
      <c r="IJ485" s="42"/>
      <c r="IK485" s="42"/>
      <c r="IL485" s="42"/>
      <c r="IM485" s="42"/>
      <c r="IN485" s="42"/>
      <c r="IO485" s="42"/>
      <c r="IP485" s="42"/>
      <c r="IQ485" s="42"/>
      <c r="IR485" s="42"/>
      <c r="IS485" s="42"/>
      <c r="IT485" s="42"/>
      <c r="IU485" s="42"/>
      <c r="IV485" s="42"/>
      <c r="IW485" s="42"/>
      <c r="IX485" s="42"/>
      <c r="IY485" s="42"/>
      <c r="IZ485" s="42"/>
      <c r="JA485" s="42"/>
      <c r="JB485" s="42"/>
      <c r="JC485" s="42"/>
      <c r="JD485" s="42"/>
      <c r="JE485" s="42"/>
      <c r="JF485" s="42"/>
      <c r="JG485" s="42"/>
      <c r="JH485" s="42"/>
      <c r="JI485" s="42"/>
      <c r="JJ485" s="42"/>
      <c r="JK485" s="42"/>
      <c r="JL485" s="42"/>
      <c r="JM485" s="42"/>
      <c r="JN485" s="42"/>
      <c r="JO485" s="42"/>
      <c r="JP485" s="42"/>
      <c r="JQ485" s="42"/>
      <c r="JR485" s="42"/>
      <c r="JS485" s="42"/>
      <c r="JT485" s="42"/>
      <c r="JU485" s="42"/>
      <c r="JV485" s="42"/>
      <c r="JW485" s="42"/>
      <c r="JX485" s="42"/>
      <c r="JY485" s="42"/>
      <c r="JZ485" s="42"/>
      <c r="KA485" s="42"/>
    </row>
    <row r="486" spans="1:287" ht="12.75">
      <c r="A486" s="89"/>
      <c r="B486" s="89"/>
      <c r="J486" s="19"/>
      <c r="Q486" s="19"/>
      <c r="Y486" s="19"/>
      <c r="AF486" s="19"/>
      <c r="II486" s="42"/>
      <c r="IJ486" s="42"/>
      <c r="IK486" s="42"/>
      <c r="IL486" s="42"/>
      <c r="IM486" s="42"/>
      <c r="IN486" s="42"/>
      <c r="IO486" s="42"/>
      <c r="IP486" s="42"/>
      <c r="IQ486" s="42"/>
      <c r="IR486" s="42"/>
      <c r="IS486" s="42"/>
      <c r="IT486" s="42"/>
      <c r="IU486" s="42"/>
      <c r="IV486" s="42"/>
      <c r="IW486" s="42"/>
      <c r="IX486" s="42"/>
      <c r="IY486" s="42"/>
      <c r="IZ486" s="42"/>
      <c r="JA486" s="42"/>
      <c r="JB486" s="42"/>
      <c r="JC486" s="42"/>
      <c r="JD486" s="42"/>
      <c r="JE486" s="42"/>
      <c r="JF486" s="42"/>
      <c r="JG486" s="42"/>
      <c r="JH486" s="42"/>
      <c r="JI486" s="42"/>
      <c r="JJ486" s="42"/>
      <c r="JK486" s="42"/>
      <c r="JL486" s="42"/>
      <c r="JM486" s="42"/>
      <c r="JN486" s="42"/>
      <c r="JO486" s="42"/>
      <c r="JP486" s="42"/>
      <c r="JQ486" s="42"/>
      <c r="JR486" s="42"/>
      <c r="JS486" s="42"/>
      <c r="JT486" s="42"/>
      <c r="JU486" s="42"/>
      <c r="JV486" s="42"/>
      <c r="JW486" s="42"/>
      <c r="JX486" s="42"/>
      <c r="JY486" s="42"/>
      <c r="JZ486" s="42"/>
      <c r="KA486" s="42"/>
    </row>
    <row r="487" spans="1:287" ht="12.75">
      <c r="A487" s="89"/>
      <c r="B487" s="89"/>
      <c r="J487" s="19"/>
      <c r="Q487" s="19"/>
      <c r="Y487" s="19"/>
      <c r="AF487" s="19"/>
      <c r="II487" s="42"/>
      <c r="IJ487" s="42"/>
      <c r="IK487" s="42"/>
      <c r="IL487" s="42"/>
      <c r="IM487" s="42"/>
      <c r="IN487" s="42"/>
      <c r="IO487" s="42"/>
      <c r="IP487" s="42"/>
      <c r="IQ487" s="42"/>
      <c r="IR487" s="42"/>
      <c r="IS487" s="42"/>
      <c r="IT487" s="42"/>
      <c r="IU487" s="42"/>
      <c r="IV487" s="42"/>
      <c r="IW487" s="42"/>
      <c r="IX487" s="42"/>
      <c r="IY487" s="42"/>
      <c r="IZ487" s="42"/>
      <c r="JA487" s="42"/>
      <c r="JB487" s="42"/>
      <c r="JC487" s="42"/>
      <c r="JD487" s="42"/>
      <c r="JE487" s="42"/>
      <c r="JF487" s="42"/>
      <c r="JG487" s="42"/>
      <c r="JH487" s="42"/>
      <c r="JI487" s="42"/>
      <c r="JJ487" s="42"/>
      <c r="JK487" s="42"/>
      <c r="JL487" s="42"/>
      <c r="JM487" s="42"/>
      <c r="JN487" s="42"/>
      <c r="JO487" s="42"/>
      <c r="JP487" s="42"/>
      <c r="JQ487" s="42"/>
      <c r="JR487" s="42"/>
      <c r="JS487" s="42"/>
      <c r="JT487" s="42"/>
      <c r="JU487" s="42"/>
      <c r="JV487" s="42"/>
      <c r="JW487" s="42"/>
      <c r="JX487" s="42"/>
      <c r="JY487" s="42"/>
      <c r="JZ487" s="42"/>
      <c r="KA487" s="42"/>
    </row>
    <row r="488" spans="1:287" ht="12.75">
      <c r="A488" s="89"/>
      <c r="B488" s="89"/>
      <c r="J488" s="19"/>
      <c r="Q488" s="19"/>
      <c r="Y488" s="19"/>
      <c r="AF488" s="19"/>
      <c r="II488" s="42"/>
      <c r="IJ488" s="42"/>
      <c r="IK488" s="42"/>
      <c r="IL488" s="42"/>
      <c r="IM488" s="42"/>
      <c r="IN488" s="42"/>
      <c r="IO488" s="42"/>
      <c r="IP488" s="42"/>
      <c r="IQ488" s="42"/>
      <c r="IR488" s="42"/>
      <c r="IS488" s="42"/>
      <c r="IT488" s="42"/>
      <c r="IU488" s="42"/>
      <c r="IV488" s="42"/>
      <c r="IW488" s="42"/>
      <c r="IX488" s="42"/>
      <c r="IY488" s="42"/>
      <c r="IZ488" s="42"/>
      <c r="JA488" s="42"/>
      <c r="JB488" s="42"/>
      <c r="JC488" s="42"/>
      <c r="JD488" s="42"/>
      <c r="JE488" s="42"/>
      <c r="JF488" s="42"/>
      <c r="JG488" s="42"/>
      <c r="JH488" s="42"/>
      <c r="JI488" s="42"/>
      <c r="JJ488" s="42"/>
      <c r="JK488" s="42"/>
      <c r="JL488" s="42"/>
      <c r="JM488" s="42"/>
      <c r="JN488" s="42"/>
      <c r="JO488" s="42"/>
      <c r="JP488" s="42"/>
      <c r="JQ488" s="42"/>
      <c r="JR488" s="42"/>
      <c r="JS488" s="42"/>
      <c r="JT488" s="42"/>
      <c r="JU488" s="42"/>
      <c r="JV488" s="42"/>
      <c r="JW488" s="42"/>
      <c r="JX488" s="42"/>
      <c r="JY488" s="42"/>
      <c r="JZ488" s="42"/>
      <c r="KA488" s="42"/>
    </row>
    <row r="489" spans="1:287" ht="12.75">
      <c r="A489" s="89"/>
      <c r="B489" s="89"/>
      <c r="J489" s="19"/>
      <c r="Q489" s="19"/>
      <c r="Y489" s="19"/>
      <c r="AF489" s="19"/>
      <c r="II489" s="42"/>
      <c r="IJ489" s="42"/>
      <c r="IK489" s="42"/>
      <c r="IL489" s="42"/>
      <c r="IM489" s="42"/>
      <c r="IN489" s="42"/>
      <c r="IO489" s="42"/>
      <c r="IP489" s="42"/>
      <c r="IQ489" s="42"/>
      <c r="IR489" s="42"/>
      <c r="IS489" s="42"/>
      <c r="IT489" s="42"/>
      <c r="IU489" s="42"/>
      <c r="IV489" s="42"/>
      <c r="IW489" s="42"/>
      <c r="IX489" s="42"/>
      <c r="IY489" s="42"/>
      <c r="IZ489" s="42"/>
      <c r="JA489" s="42"/>
      <c r="JB489" s="42"/>
      <c r="JC489" s="42"/>
      <c r="JD489" s="42"/>
      <c r="JE489" s="42"/>
      <c r="JF489" s="42"/>
      <c r="JG489" s="42"/>
      <c r="JH489" s="42"/>
      <c r="JI489" s="42"/>
      <c r="JJ489" s="42"/>
      <c r="JK489" s="42"/>
      <c r="JL489" s="42"/>
      <c r="JM489" s="42"/>
      <c r="JN489" s="42"/>
      <c r="JO489" s="42"/>
      <c r="JP489" s="42"/>
      <c r="JQ489" s="42"/>
      <c r="JR489" s="42"/>
      <c r="JS489" s="42"/>
      <c r="JT489" s="42"/>
      <c r="JU489" s="42"/>
      <c r="JV489" s="42"/>
      <c r="JW489" s="42"/>
      <c r="JX489" s="42"/>
      <c r="JY489" s="42"/>
      <c r="JZ489" s="42"/>
      <c r="KA489" s="42"/>
    </row>
    <row r="490" spans="1:287" ht="12.75">
      <c r="A490" s="89"/>
      <c r="B490" s="89"/>
      <c r="J490" s="19"/>
      <c r="Q490" s="19"/>
      <c r="Y490" s="19"/>
      <c r="AF490" s="19"/>
      <c r="II490" s="42"/>
      <c r="IJ490" s="42"/>
      <c r="IK490" s="42"/>
      <c r="IL490" s="42"/>
      <c r="IM490" s="42"/>
      <c r="IN490" s="42"/>
      <c r="IO490" s="42"/>
      <c r="IP490" s="42"/>
      <c r="IQ490" s="42"/>
      <c r="IR490" s="42"/>
      <c r="IS490" s="42"/>
      <c r="IT490" s="42"/>
      <c r="IU490" s="42"/>
      <c r="IV490" s="42"/>
      <c r="IW490" s="42"/>
      <c r="IX490" s="42"/>
      <c r="IY490" s="42"/>
      <c r="IZ490" s="42"/>
      <c r="JA490" s="42"/>
      <c r="JB490" s="42"/>
      <c r="JC490" s="42"/>
      <c r="JD490" s="42"/>
      <c r="JE490" s="42"/>
      <c r="JF490" s="42"/>
      <c r="JG490" s="42"/>
      <c r="JH490" s="42"/>
      <c r="JI490" s="42"/>
      <c r="JJ490" s="42"/>
      <c r="JK490" s="42"/>
      <c r="JL490" s="42"/>
      <c r="JM490" s="42"/>
      <c r="JN490" s="42"/>
      <c r="JO490" s="42"/>
      <c r="JP490" s="42"/>
      <c r="JQ490" s="42"/>
      <c r="JR490" s="42"/>
      <c r="JS490" s="42"/>
      <c r="JT490" s="42"/>
      <c r="JU490" s="42"/>
      <c r="JV490" s="42"/>
      <c r="JW490" s="42"/>
      <c r="JX490" s="42"/>
      <c r="JY490" s="42"/>
      <c r="JZ490" s="42"/>
      <c r="KA490" s="42"/>
    </row>
    <row r="491" spans="1:287" ht="12.75">
      <c r="A491" s="89"/>
      <c r="B491" s="89"/>
      <c r="J491" s="19"/>
      <c r="Q491" s="19"/>
      <c r="Y491" s="19"/>
      <c r="AF491" s="19"/>
      <c r="II491" s="42"/>
      <c r="IJ491" s="42"/>
      <c r="IK491" s="42"/>
      <c r="IL491" s="42"/>
      <c r="IM491" s="42"/>
      <c r="IN491" s="42"/>
      <c r="IO491" s="42"/>
      <c r="IP491" s="42"/>
      <c r="IQ491" s="42"/>
      <c r="IR491" s="42"/>
      <c r="IS491" s="42"/>
      <c r="IT491" s="42"/>
      <c r="IU491" s="42"/>
      <c r="IV491" s="42"/>
      <c r="IW491" s="42"/>
      <c r="IX491" s="42"/>
      <c r="IY491" s="42"/>
      <c r="IZ491" s="42"/>
      <c r="JA491" s="42"/>
      <c r="JB491" s="42"/>
      <c r="JC491" s="42"/>
      <c r="JD491" s="42"/>
      <c r="JE491" s="42"/>
      <c r="JF491" s="42"/>
      <c r="JG491" s="42"/>
      <c r="JH491" s="42"/>
      <c r="JI491" s="42"/>
      <c r="JJ491" s="42"/>
      <c r="JK491" s="42"/>
      <c r="JL491" s="42"/>
      <c r="JM491" s="42"/>
      <c r="JN491" s="42"/>
      <c r="JO491" s="42"/>
      <c r="JP491" s="42"/>
      <c r="JQ491" s="42"/>
      <c r="JR491" s="42"/>
      <c r="JS491" s="42"/>
      <c r="JT491" s="42"/>
      <c r="JU491" s="42"/>
      <c r="JV491" s="42"/>
      <c r="JW491" s="42"/>
      <c r="JX491" s="42"/>
      <c r="JY491" s="42"/>
      <c r="JZ491" s="42"/>
      <c r="KA491" s="42"/>
    </row>
    <row r="492" spans="1:287" ht="12.75">
      <c r="A492" s="89"/>
      <c r="B492" s="89"/>
      <c r="J492" s="19"/>
      <c r="Q492" s="19"/>
      <c r="Y492" s="19"/>
      <c r="AF492" s="19"/>
      <c r="II492" s="42"/>
      <c r="IJ492" s="42"/>
      <c r="IK492" s="42"/>
      <c r="IL492" s="42"/>
      <c r="IM492" s="42"/>
      <c r="IN492" s="42"/>
      <c r="IO492" s="42"/>
      <c r="IP492" s="42"/>
      <c r="IQ492" s="42"/>
      <c r="IR492" s="42"/>
      <c r="IS492" s="42"/>
      <c r="IT492" s="42"/>
      <c r="IU492" s="42"/>
      <c r="IV492" s="42"/>
      <c r="IW492" s="42"/>
      <c r="IX492" s="42"/>
      <c r="IY492" s="42"/>
      <c r="IZ492" s="42"/>
      <c r="JA492" s="42"/>
      <c r="JB492" s="42"/>
      <c r="JC492" s="42"/>
      <c r="JD492" s="42"/>
      <c r="JE492" s="42"/>
      <c r="JF492" s="42"/>
      <c r="JG492" s="42"/>
      <c r="JH492" s="42"/>
      <c r="JI492" s="42"/>
      <c r="JJ492" s="42"/>
      <c r="JK492" s="42"/>
      <c r="JL492" s="42"/>
      <c r="JM492" s="42"/>
      <c r="JN492" s="42"/>
      <c r="JO492" s="42"/>
      <c r="JP492" s="42"/>
      <c r="JQ492" s="42"/>
      <c r="JR492" s="42"/>
      <c r="JS492" s="42"/>
      <c r="JT492" s="42"/>
      <c r="JU492" s="42"/>
      <c r="JV492" s="42"/>
      <c r="JW492" s="42"/>
      <c r="JX492" s="42"/>
      <c r="JY492" s="42"/>
      <c r="JZ492" s="42"/>
      <c r="KA492" s="42"/>
    </row>
    <row r="493" spans="1:287" ht="12.75">
      <c r="A493" s="89"/>
      <c r="B493" s="89"/>
      <c r="J493" s="19"/>
      <c r="Q493" s="19"/>
      <c r="Y493" s="19"/>
      <c r="AF493" s="19"/>
      <c r="II493" s="42"/>
      <c r="IJ493" s="42"/>
      <c r="IK493" s="42"/>
      <c r="IL493" s="42"/>
      <c r="IM493" s="42"/>
      <c r="IN493" s="42"/>
      <c r="IO493" s="42"/>
      <c r="IP493" s="42"/>
      <c r="IQ493" s="42"/>
      <c r="IR493" s="42"/>
      <c r="IS493" s="42"/>
      <c r="IT493" s="42"/>
      <c r="IU493" s="42"/>
      <c r="IV493" s="42"/>
      <c r="IW493" s="42"/>
      <c r="IX493" s="42"/>
      <c r="IY493" s="42"/>
      <c r="IZ493" s="42"/>
      <c r="JA493" s="42"/>
      <c r="JB493" s="42"/>
      <c r="JC493" s="42"/>
      <c r="JD493" s="42"/>
      <c r="JE493" s="42"/>
      <c r="JF493" s="42"/>
      <c r="JG493" s="42"/>
      <c r="JH493" s="42"/>
      <c r="JI493" s="42"/>
      <c r="JJ493" s="42"/>
      <c r="JK493" s="42"/>
      <c r="JL493" s="42"/>
      <c r="JM493" s="42"/>
      <c r="JN493" s="42"/>
      <c r="JO493" s="42"/>
      <c r="JP493" s="42"/>
      <c r="JQ493" s="42"/>
      <c r="JR493" s="42"/>
      <c r="JS493" s="42"/>
      <c r="JT493" s="42"/>
      <c r="JU493" s="42"/>
      <c r="JV493" s="42"/>
      <c r="JW493" s="42"/>
      <c r="JX493" s="42"/>
      <c r="JY493" s="42"/>
      <c r="JZ493" s="42"/>
      <c r="KA493" s="42"/>
    </row>
    <row r="494" spans="1:287" ht="12.75">
      <c r="A494" s="89"/>
      <c r="B494" s="89"/>
      <c r="J494" s="19"/>
      <c r="Q494" s="19"/>
      <c r="Y494" s="19"/>
      <c r="AF494" s="19"/>
      <c r="II494" s="42"/>
      <c r="IJ494" s="42"/>
      <c r="IK494" s="42"/>
      <c r="IL494" s="42"/>
      <c r="IM494" s="42"/>
      <c r="IN494" s="42"/>
      <c r="IO494" s="42"/>
      <c r="IP494" s="42"/>
      <c r="IQ494" s="42"/>
      <c r="IR494" s="42"/>
      <c r="IS494" s="42"/>
      <c r="IT494" s="42"/>
      <c r="IU494" s="42"/>
      <c r="IV494" s="42"/>
      <c r="IW494" s="42"/>
      <c r="IX494" s="42"/>
      <c r="IY494" s="42"/>
      <c r="IZ494" s="42"/>
      <c r="JA494" s="42"/>
      <c r="JB494" s="42"/>
      <c r="JC494" s="42"/>
      <c r="JD494" s="42"/>
      <c r="JE494" s="42"/>
      <c r="JF494" s="42"/>
      <c r="JG494" s="42"/>
      <c r="JH494" s="42"/>
      <c r="JI494" s="42"/>
      <c r="JJ494" s="42"/>
      <c r="JK494" s="42"/>
      <c r="JL494" s="42"/>
      <c r="JM494" s="42"/>
      <c r="JN494" s="42"/>
      <c r="JO494" s="42"/>
      <c r="JP494" s="42"/>
      <c r="JQ494" s="42"/>
      <c r="JR494" s="42"/>
      <c r="JS494" s="42"/>
      <c r="JT494" s="42"/>
      <c r="JU494" s="42"/>
      <c r="JV494" s="42"/>
      <c r="JW494" s="42"/>
      <c r="JX494" s="42"/>
      <c r="JY494" s="42"/>
      <c r="JZ494" s="42"/>
      <c r="KA494" s="42"/>
    </row>
    <row r="495" spans="1:287" ht="12.75">
      <c r="A495" s="89"/>
      <c r="B495" s="89"/>
      <c r="J495" s="19"/>
      <c r="Q495" s="19"/>
      <c r="Y495" s="19"/>
      <c r="AF495" s="19"/>
      <c r="II495" s="42"/>
      <c r="IJ495" s="42"/>
      <c r="IK495" s="42"/>
      <c r="IL495" s="42"/>
      <c r="IM495" s="42"/>
      <c r="IN495" s="42"/>
      <c r="IO495" s="42"/>
      <c r="IP495" s="42"/>
      <c r="IQ495" s="42"/>
      <c r="IR495" s="42"/>
      <c r="IS495" s="42"/>
      <c r="IT495" s="42"/>
      <c r="IU495" s="42"/>
      <c r="IV495" s="42"/>
      <c r="IW495" s="42"/>
      <c r="IX495" s="42"/>
      <c r="IY495" s="42"/>
      <c r="IZ495" s="42"/>
      <c r="JA495" s="42"/>
      <c r="JB495" s="42"/>
      <c r="JC495" s="42"/>
      <c r="JD495" s="42"/>
      <c r="JE495" s="42"/>
      <c r="JF495" s="42"/>
      <c r="JG495" s="42"/>
      <c r="JH495" s="42"/>
      <c r="JI495" s="42"/>
      <c r="JJ495" s="42"/>
      <c r="JK495" s="42"/>
      <c r="JL495" s="42"/>
      <c r="JM495" s="42"/>
      <c r="JN495" s="42"/>
      <c r="JO495" s="42"/>
      <c r="JP495" s="42"/>
      <c r="JQ495" s="42"/>
      <c r="JR495" s="42"/>
      <c r="JS495" s="42"/>
      <c r="JT495" s="42"/>
      <c r="JU495" s="42"/>
      <c r="JV495" s="42"/>
      <c r="JW495" s="42"/>
      <c r="JX495" s="42"/>
      <c r="JY495" s="42"/>
      <c r="JZ495" s="42"/>
      <c r="KA495" s="42"/>
    </row>
    <row r="496" spans="1:287" ht="12.75">
      <c r="A496" s="89"/>
      <c r="B496" s="89"/>
      <c r="J496" s="19"/>
      <c r="Q496" s="19"/>
      <c r="Y496" s="19"/>
      <c r="AF496" s="19"/>
      <c r="II496" s="42"/>
      <c r="IJ496" s="42"/>
      <c r="IK496" s="42"/>
      <c r="IL496" s="42"/>
      <c r="IM496" s="42"/>
      <c r="IN496" s="42"/>
      <c r="IO496" s="42"/>
      <c r="IP496" s="42"/>
      <c r="IQ496" s="42"/>
      <c r="IR496" s="42"/>
      <c r="IS496" s="42"/>
      <c r="IT496" s="42"/>
      <c r="IU496" s="42"/>
      <c r="IV496" s="42"/>
      <c r="IW496" s="42"/>
      <c r="IX496" s="42"/>
      <c r="IY496" s="42"/>
      <c r="IZ496" s="42"/>
      <c r="JA496" s="42"/>
      <c r="JB496" s="42"/>
      <c r="JC496" s="42"/>
      <c r="JD496" s="42"/>
      <c r="JE496" s="42"/>
      <c r="JF496" s="42"/>
      <c r="JG496" s="42"/>
      <c r="JH496" s="42"/>
      <c r="JI496" s="42"/>
      <c r="JJ496" s="42"/>
      <c r="JK496" s="42"/>
      <c r="JL496" s="42"/>
      <c r="JM496" s="42"/>
      <c r="JN496" s="42"/>
      <c r="JO496" s="42"/>
      <c r="JP496" s="42"/>
      <c r="JQ496" s="42"/>
      <c r="JR496" s="42"/>
      <c r="JS496" s="42"/>
      <c r="JT496" s="42"/>
      <c r="JU496" s="42"/>
      <c r="JV496" s="42"/>
      <c r="JW496" s="42"/>
      <c r="JX496" s="42"/>
      <c r="JY496" s="42"/>
      <c r="JZ496" s="42"/>
      <c r="KA496" s="42"/>
    </row>
    <row r="497" spans="1:287" ht="12.75">
      <c r="A497" s="89"/>
      <c r="B497" s="89"/>
      <c r="J497" s="19"/>
      <c r="Q497" s="19"/>
      <c r="Y497" s="19"/>
      <c r="AF497" s="19"/>
      <c r="II497" s="42"/>
      <c r="IJ497" s="42"/>
      <c r="IK497" s="42"/>
      <c r="IL497" s="42"/>
      <c r="IM497" s="42"/>
      <c r="IN497" s="42"/>
      <c r="IO497" s="42"/>
      <c r="IP497" s="42"/>
      <c r="IQ497" s="42"/>
      <c r="IR497" s="42"/>
      <c r="IS497" s="42"/>
      <c r="IT497" s="42"/>
      <c r="IU497" s="42"/>
      <c r="IV497" s="42"/>
      <c r="IW497" s="42"/>
      <c r="IX497" s="42"/>
      <c r="IY497" s="42"/>
      <c r="IZ497" s="42"/>
      <c r="JA497" s="42"/>
      <c r="JB497" s="42"/>
      <c r="JC497" s="42"/>
      <c r="JD497" s="42"/>
      <c r="JE497" s="42"/>
      <c r="JF497" s="42"/>
      <c r="JG497" s="42"/>
      <c r="JH497" s="42"/>
      <c r="JI497" s="42"/>
      <c r="JJ497" s="42"/>
      <c r="JK497" s="42"/>
      <c r="JL497" s="42"/>
      <c r="JM497" s="42"/>
      <c r="JN497" s="42"/>
      <c r="JO497" s="42"/>
      <c r="JP497" s="42"/>
      <c r="JQ497" s="42"/>
      <c r="JR497" s="42"/>
      <c r="JS497" s="42"/>
      <c r="JT497" s="42"/>
      <c r="JU497" s="42"/>
      <c r="JV497" s="42"/>
      <c r="JW497" s="42"/>
      <c r="JX497" s="42"/>
      <c r="JY497" s="42"/>
      <c r="JZ497" s="42"/>
      <c r="KA497" s="42"/>
    </row>
    <row r="498" spans="1:287" ht="12.75">
      <c r="A498" s="89"/>
      <c r="B498" s="89"/>
      <c r="J498" s="19"/>
      <c r="Q498" s="19"/>
      <c r="Y498" s="19"/>
      <c r="AF498" s="19"/>
      <c r="II498" s="42"/>
      <c r="IJ498" s="42"/>
      <c r="IK498" s="42"/>
      <c r="IL498" s="42"/>
      <c r="IM498" s="42"/>
      <c r="IN498" s="42"/>
      <c r="IO498" s="42"/>
      <c r="IP498" s="42"/>
      <c r="IQ498" s="42"/>
      <c r="IR498" s="42"/>
      <c r="IS498" s="42"/>
      <c r="IT498" s="42"/>
      <c r="IU498" s="42"/>
      <c r="IV498" s="42"/>
      <c r="IW498" s="42"/>
      <c r="IX498" s="42"/>
      <c r="IY498" s="42"/>
      <c r="IZ498" s="42"/>
      <c r="JA498" s="42"/>
      <c r="JB498" s="42"/>
      <c r="JC498" s="42"/>
      <c r="JD498" s="42"/>
      <c r="JE498" s="42"/>
      <c r="JF498" s="42"/>
      <c r="JG498" s="42"/>
      <c r="JH498" s="42"/>
      <c r="JI498" s="42"/>
      <c r="JJ498" s="42"/>
      <c r="JK498" s="42"/>
      <c r="JL498" s="42"/>
      <c r="JM498" s="42"/>
      <c r="JN498" s="42"/>
      <c r="JO498" s="42"/>
      <c r="JP498" s="42"/>
      <c r="JQ498" s="42"/>
      <c r="JR498" s="42"/>
      <c r="JS498" s="42"/>
      <c r="JT498" s="42"/>
      <c r="JU498" s="42"/>
      <c r="JV498" s="42"/>
      <c r="JW498" s="42"/>
      <c r="JX498" s="42"/>
      <c r="JY498" s="42"/>
      <c r="JZ498" s="42"/>
      <c r="KA498" s="42"/>
    </row>
    <row r="499" spans="1:287" ht="12.75">
      <c r="A499" s="89"/>
      <c r="B499" s="89"/>
      <c r="J499" s="19"/>
      <c r="Q499" s="19"/>
      <c r="Y499" s="19"/>
      <c r="AF499" s="19"/>
      <c r="II499" s="42"/>
      <c r="IJ499" s="42"/>
      <c r="IK499" s="42"/>
      <c r="IL499" s="42"/>
      <c r="IM499" s="42"/>
      <c r="IN499" s="42"/>
      <c r="IO499" s="42"/>
      <c r="IP499" s="42"/>
      <c r="IQ499" s="42"/>
      <c r="IR499" s="42"/>
      <c r="IS499" s="42"/>
      <c r="IT499" s="42"/>
      <c r="IU499" s="42"/>
      <c r="IV499" s="42"/>
      <c r="IW499" s="42"/>
      <c r="IX499" s="42"/>
      <c r="IY499" s="42"/>
      <c r="IZ499" s="42"/>
      <c r="JA499" s="42"/>
      <c r="JB499" s="42"/>
      <c r="JC499" s="42"/>
      <c r="JD499" s="42"/>
      <c r="JE499" s="42"/>
      <c r="JF499" s="42"/>
      <c r="JG499" s="42"/>
      <c r="JH499" s="42"/>
      <c r="JI499" s="42"/>
      <c r="JJ499" s="42"/>
      <c r="JK499" s="42"/>
      <c r="JL499" s="42"/>
      <c r="JM499" s="42"/>
      <c r="JN499" s="42"/>
      <c r="JO499" s="42"/>
      <c r="JP499" s="42"/>
      <c r="JQ499" s="42"/>
      <c r="JR499" s="42"/>
      <c r="JS499" s="42"/>
      <c r="JT499" s="42"/>
      <c r="JU499" s="42"/>
      <c r="JV499" s="42"/>
      <c r="JW499" s="42"/>
      <c r="JX499" s="42"/>
      <c r="JY499" s="42"/>
      <c r="JZ499" s="42"/>
      <c r="KA499" s="42"/>
    </row>
    <row r="500" spans="1:287" ht="12.75">
      <c r="A500" s="89"/>
      <c r="B500" s="89"/>
      <c r="J500" s="19"/>
      <c r="Q500" s="19"/>
      <c r="Y500" s="19"/>
      <c r="AF500" s="19"/>
      <c r="II500" s="42"/>
      <c r="IJ500" s="42"/>
      <c r="IK500" s="42"/>
      <c r="IL500" s="42"/>
      <c r="IM500" s="42"/>
      <c r="IN500" s="42"/>
      <c r="IO500" s="42"/>
      <c r="IP500" s="42"/>
      <c r="IQ500" s="42"/>
      <c r="IR500" s="42"/>
      <c r="IS500" s="42"/>
      <c r="IT500" s="42"/>
      <c r="IU500" s="42"/>
      <c r="IV500" s="42"/>
      <c r="IW500" s="42"/>
      <c r="IX500" s="42"/>
      <c r="IY500" s="42"/>
      <c r="IZ500" s="42"/>
      <c r="JA500" s="42"/>
      <c r="JB500" s="42"/>
      <c r="JC500" s="42"/>
      <c r="JD500" s="42"/>
      <c r="JE500" s="42"/>
      <c r="JF500" s="42"/>
      <c r="JG500" s="42"/>
      <c r="JH500" s="42"/>
      <c r="JI500" s="42"/>
      <c r="JJ500" s="42"/>
      <c r="JK500" s="42"/>
      <c r="JL500" s="42"/>
      <c r="JM500" s="42"/>
      <c r="JN500" s="42"/>
      <c r="JO500" s="42"/>
      <c r="JP500" s="42"/>
      <c r="JQ500" s="42"/>
      <c r="JR500" s="42"/>
      <c r="JS500" s="42"/>
      <c r="JT500" s="42"/>
      <c r="JU500" s="42"/>
      <c r="JV500" s="42"/>
      <c r="JW500" s="42"/>
      <c r="JX500" s="42"/>
      <c r="JY500" s="42"/>
      <c r="JZ500" s="42"/>
      <c r="KA500" s="42"/>
    </row>
    <row r="501" spans="1:287" ht="12.75">
      <c r="A501" s="89"/>
      <c r="B501" s="89"/>
      <c r="J501" s="19"/>
      <c r="Q501" s="19"/>
      <c r="Y501" s="19"/>
      <c r="AF501" s="19"/>
      <c r="II501" s="42"/>
      <c r="IJ501" s="42"/>
      <c r="IK501" s="42"/>
      <c r="IL501" s="42"/>
      <c r="IM501" s="42"/>
      <c r="IN501" s="42"/>
      <c r="IO501" s="42"/>
      <c r="IP501" s="42"/>
      <c r="IQ501" s="42"/>
      <c r="IR501" s="42"/>
      <c r="IS501" s="42"/>
      <c r="IT501" s="42"/>
      <c r="IU501" s="42"/>
      <c r="IV501" s="42"/>
      <c r="IW501" s="42"/>
      <c r="IX501" s="42"/>
      <c r="IY501" s="42"/>
      <c r="IZ501" s="42"/>
      <c r="JA501" s="42"/>
      <c r="JB501" s="42"/>
      <c r="JC501" s="42"/>
      <c r="JD501" s="42"/>
      <c r="JE501" s="42"/>
      <c r="JF501" s="42"/>
      <c r="JG501" s="42"/>
      <c r="JH501" s="42"/>
      <c r="JI501" s="42"/>
      <c r="JJ501" s="42"/>
      <c r="JK501" s="42"/>
      <c r="JL501" s="42"/>
      <c r="JM501" s="42"/>
      <c r="JN501" s="42"/>
      <c r="JO501" s="42"/>
      <c r="JP501" s="42"/>
      <c r="JQ501" s="42"/>
      <c r="JR501" s="42"/>
      <c r="JS501" s="42"/>
      <c r="JT501" s="42"/>
      <c r="JU501" s="42"/>
      <c r="JV501" s="42"/>
      <c r="JW501" s="42"/>
      <c r="JX501" s="42"/>
      <c r="JY501" s="42"/>
      <c r="JZ501" s="42"/>
      <c r="KA501" s="42"/>
    </row>
    <row r="502" spans="1:287" ht="12.75">
      <c r="A502" s="89"/>
      <c r="B502" s="89"/>
      <c r="J502" s="19"/>
      <c r="Q502" s="19"/>
      <c r="Y502" s="19"/>
      <c r="AF502" s="19"/>
      <c r="II502" s="42"/>
      <c r="IJ502" s="42"/>
      <c r="IK502" s="42"/>
      <c r="IL502" s="42"/>
      <c r="IM502" s="42"/>
      <c r="IN502" s="42"/>
      <c r="IO502" s="42"/>
      <c r="IP502" s="42"/>
      <c r="IQ502" s="42"/>
      <c r="IR502" s="42"/>
      <c r="IS502" s="42"/>
      <c r="IT502" s="42"/>
      <c r="IU502" s="42"/>
      <c r="IV502" s="42"/>
      <c r="IW502" s="42"/>
      <c r="IX502" s="42"/>
      <c r="IY502" s="42"/>
      <c r="IZ502" s="42"/>
      <c r="JA502" s="42"/>
      <c r="JB502" s="42"/>
      <c r="JC502" s="42"/>
      <c r="JD502" s="42"/>
      <c r="JE502" s="42"/>
      <c r="JF502" s="42"/>
      <c r="JG502" s="42"/>
      <c r="JH502" s="42"/>
      <c r="JI502" s="42"/>
      <c r="JJ502" s="42"/>
      <c r="JK502" s="42"/>
      <c r="JL502" s="42"/>
      <c r="JM502" s="42"/>
      <c r="JN502" s="42"/>
      <c r="JO502" s="42"/>
      <c r="JP502" s="42"/>
      <c r="JQ502" s="42"/>
      <c r="JR502" s="42"/>
      <c r="JS502" s="42"/>
      <c r="JT502" s="42"/>
      <c r="JU502" s="42"/>
      <c r="JV502" s="42"/>
      <c r="JW502" s="42"/>
      <c r="JX502" s="42"/>
      <c r="JY502" s="42"/>
      <c r="JZ502" s="42"/>
      <c r="KA502" s="42"/>
    </row>
    <row r="503" spans="1:287" ht="12.75">
      <c r="A503" s="89"/>
      <c r="B503" s="89"/>
      <c r="J503" s="19"/>
      <c r="Q503" s="19"/>
      <c r="Y503" s="19"/>
      <c r="AF503" s="19"/>
      <c r="II503" s="42"/>
      <c r="IJ503" s="42"/>
      <c r="IK503" s="42"/>
      <c r="IL503" s="42"/>
      <c r="IM503" s="42"/>
      <c r="IN503" s="42"/>
      <c r="IO503" s="42"/>
      <c r="IP503" s="42"/>
      <c r="IQ503" s="42"/>
      <c r="IR503" s="42"/>
      <c r="IS503" s="42"/>
      <c r="IT503" s="42"/>
      <c r="IU503" s="42"/>
      <c r="IV503" s="42"/>
      <c r="IW503" s="42"/>
      <c r="IX503" s="42"/>
      <c r="IY503" s="42"/>
      <c r="IZ503" s="42"/>
      <c r="JA503" s="42"/>
      <c r="JB503" s="42"/>
      <c r="JC503" s="42"/>
      <c r="JD503" s="42"/>
      <c r="JE503" s="42"/>
      <c r="JF503" s="42"/>
      <c r="JG503" s="42"/>
      <c r="JH503" s="42"/>
      <c r="JI503" s="42"/>
      <c r="JJ503" s="42"/>
      <c r="JK503" s="42"/>
      <c r="JL503" s="42"/>
      <c r="JM503" s="42"/>
      <c r="JN503" s="42"/>
      <c r="JO503" s="42"/>
      <c r="JP503" s="42"/>
      <c r="JQ503" s="42"/>
      <c r="JR503" s="42"/>
      <c r="JS503" s="42"/>
      <c r="JT503" s="42"/>
      <c r="JU503" s="42"/>
      <c r="JV503" s="42"/>
      <c r="JW503" s="42"/>
      <c r="JX503" s="42"/>
      <c r="JY503" s="42"/>
      <c r="JZ503" s="42"/>
      <c r="KA503" s="42"/>
    </row>
    <row r="504" spans="1:287" ht="12.75">
      <c r="A504" s="89"/>
      <c r="B504" s="89"/>
      <c r="J504" s="19"/>
      <c r="Q504" s="19"/>
      <c r="Y504" s="19"/>
      <c r="AF504" s="19"/>
      <c r="II504" s="42"/>
      <c r="IJ504" s="42"/>
      <c r="IK504" s="42"/>
      <c r="IL504" s="42"/>
      <c r="IM504" s="42"/>
      <c r="IN504" s="42"/>
      <c r="IO504" s="42"/>
      <c r="IP504" s="42"/>
      <c r="IQ504" s="42"/>
      <c r="IR504" s="42"/>
      <c r="IS504" s="42"/>
      <c r="IT504" s="42"/>
      <c r="IU504" s="42"/>
      <c r="IV504" s="42"/>
      <c r="IW504" s="42"/>
      <c r="IX504" s="42"/>
      <c r="IY504" s="42"/>
      <c r="IZ504" s="42"/>
      <c r="JA504" s="42"/>
      <c r="JB504" s="42"/>
      <c r="JC504" s="42"/>
      <c r="JD504" s="42"/>
      <c r="JE504" s="42"/>
      <c r="JF504" s="42"/>
      <c r="JG504" s="42"/>
      <c r="JH504" s="42"/>
      <c r="JI504" s="42"/>
      <c r="JJ504" s="42"/>
      <c r="JK504" s="42"/>
      <c r="JL504" s="42"/>
      <c r="JM504" s="42"/>
      <c r="JN504" s="42"/>
      <c r="JO504" s="42"/>
      <c r="JP504" s="42"/>
      <c r="JQ504" s="42"/>
      <c r="JR504" s="42"/>
      <c r="JS504" s="42"/>
      <c r="JT504" s="42"/>
      <c r="JU504" s="42"/>
      <c r="JV504" s="42"/>
      <c r="JW504" s="42"/>
      <c r="JX504" s="42"/>
      <c r="JY504" s="42"/>
      <c r="JZ504" s="42"/>
      <c r="KA504" s="42"/>
    </row>
    <row r="505" spans="1:287" ht="12.75">
      <c r="A505" s="89"/>
      <c r="B505" s="89"/>
      <c r="J505" s="19"/>
      <c r="Q505" s="19"/>
      <c r="Y505" s="19"/>
      <c r="AF505" s="19"/>
      <c r="II505" s="42"/>
      <c r="IJ505" s="42"/>
      <c r="IK505" s="42"/>
      <c r="IL505" s="42"/>
      <c r="IM505" s="42"/>
      <c r="IN505" s="42"/>
      <c r="IO505" s="42"/>
      <c r="IP505" s="42"/>
      <c r="IQ505" s="42"/>
      <c r="IR505" s="42"/>
      <c r="IS505" s="42"/>
      <c r="IT505" s="42"/>
      <c r="IU505" s="42"/>
      <c r="IV505" s="42"/>
      <c r="IW505" s="42"/>
      <c r="IX505" s="42"/>
      <c r="IY505" s="42"/>
      <c r="IZ505" s="42"/>
      <c r="JA505" s="42"/>
      <c r="JB505" s="42"/>
      <c r="JC505" s="42"/>
      <c r="JD505" s="42"/>
      <c r="JE505" s="42"/>
      <c r="JF505" s="42"/>
      <c r="JG505" s="42"/>
      <c r="JH505" s="42"/>
      <c r="JI505" s="42"/>
      <c r="JJ505" s="42"/>
      <c r="JK505" s="42"/>
      <c r="JL505" s="42"/>
      <c r="JM505" s="42"/>
      <c r="JN505" s="42"/>
      <c r="JO505" s="42"/>
      <c r="JP505" s="42"/>
      <c r="JQ505" s="42"/>
      <c r="JR505" s="42"/>
      <c r="JS505" s="42"/>
      <c r="JT505" s="42"/>
      <c r="JU505" s="42"/>
      <c r="JV505" s="42"/>
      <c r="JW505" s="42"/>
      <c r="JX505" s="42"/>
      <c r="JY505" s="42"/>
      <c r="JZ505" s="42"/>
      <c r="KA505" s="42"/>
    </row>
    <row r="506" spans="1:287" ht="12.75">
      <c r="A506" s="89"/>
      <c r="B506" s="89"/>
      <c r="J506" s="19"/>
      <c r="Q506" s="19"/>
      <c r="Y506" s="19"/>
      <c r="AF506" s="19"/>
      <c r="II506" s="42"/>
      <c r="IJ506" s="42"/>
      <c r="IK506" s="42"/>
      <c r="IL506" s="42"/>
      <c r="IM506" s="42"/>
      <c r="IN506" s="42"/>
      <c r="IO506" s="42"/>
      <c r="IP506" s="42"/>
      <c r="IQ506" s="42"/>
      <c r="IR506" s="42"/>
      <c r="IS506" s="42"/>
      <c r="IT506" s="42"/>
      <c r="IU506" s="42"/>
      <c r="IV506" s="42"/>
      <c r="IW506" s="42"/>
      <c r="IX506" s="42"/>
      <c r="IY506" s="42"/>
      <c r="IZ506" s="42"/>
      <c r="JA506" s="42"/>
      <c r="JB506" s="42"/>
      <c r="JC506" s="42"/>
      <c r="JD506" s="42"/>
      <c r="JE506" s="42"/>
      <c r="JF506" s="42"/>
      <c r="JG506" s="42"/>
      <c r="JH506" s="42"/>
      <c r="JI506" s="42"/>
      <c r="JJ506" s="42"/>
      <c r="JK506" s="42"/>
      <c r="JL506" s="42"/>
      <c r="JM506" s="42"/>
      <c r="JN506" s="42"/>
      <c r="JO506" s="42"/>
      <c r="JP506" s="42"/>
      <c r="JQ506" s="42"/>
      <c r="JR506" s="42"/>
      <c r="JS506" s="42"/>
      <c r="JT506" s="42"/>
      <c r="JU506" s="42"/>
      <c r="JV506" s="42"/>
      <c r="JW506" s="42"/>
      <c r="JX506" s="42"/>
      <c r="JY506" s="42"/>
      <c r="JZ506" s="42"/>
      <c r="KA506" s="42"/>
    </row>
    <row r="507" spans="1:287" ht="12.75">
      <c r="A507" s="89"/>
      <c r="B507" s="89"/>
      <c r="J507" s="19"/>
      <c r="Q507" s="19"/>
      <c r="Y507" s="19"/>
      <c r="AF507" s="19"/>
      <c r="II507" s="42"/>
      <c r="IJ507" s="42"/>
      <c r="IK507" s="42"/>
      <c r="IL507" s="42"/>
      <c r="IM507" s="42"/>
      <c r="IN507" s="42"/>
      <c r="IO507" s="42"/>
      <c r="IP507" s="42"/>
      <c r="IQ507" s="42"/>
      <c r="IR507" s="42"/>
      <c r="IS507" s="42"/>
      <c r="IT507" s="42"/>
      <c r="IU507" s="42"/>
      <c r="IV507" s="42"/>
      <c r="IW507" s="42"/>
      <c r="IX507" s="42"/>
      <c r="IY507" s="42"/>
      <c r="IZ507" s="42"/>
      <c r="JA507" s="42"/>
      <c r="JB507" s="42"/>
      <c r="JC507" s="42"/>
      <c r="JD507" s="42"/>
      <c r="JE507" s="42"/>
      <c r="JF507" s="42"/>
      <c r="JG507" s="42"/>
      <c r="JH507" s="42"/>
      <c r="JI507" s="42"/>
      <c r="JJ507" s="42"/>
      <c r="JK507" s="42"/>
      <c r="JL507" s="42"/>
      <c r="JM507" s="42"/>
      <c r="JN507" s="42"/>
      <c r="JO507" s="42"/>
      <c r="JP507" s="42"/>
      <c r="JQ507" s="42"/>
      <c r="JR507" s="42"/>
      <c r="JS507" s="42"/>
      <c r="JT507" s="42"/>
      <c r="JU507" s="42"/>
      <c r="JV507" s="42"/>
      <c r="JW507" s="42"/>
      <c r="JX507" s="42"/>
      <c r="JY507" s="42"/>
      <c r="JZ507" s="42"/>
      <c r="KA507" s="42"/>
    </row>
    <row r="508" spans="1:287" ht="12.75">
      <c r="A508" s="89"/>
      <c r="B508" s="89"/>
      <c r="J508" s="19"/>
      <c r="Q508" s="19"/>
      <c r="Y508" s="19"/>
      <c r="AF508" s="19"/>
      <c r="II508" s="42"/>
      <c r="IJ508" s="42"/>
      <c r="IK508" s="42"/>
      <c r="IL508" s="42"/>
      <c r="IM508" s="42"/>
      <c r="IN508" s="42"/>
      <c r="IO508" s="42"/>
      <c r="IP508" s="42"/>
      <c r="IQ508" s="42"/>
      <c r="IR508" s="42"/>
      <c r="IS508" s="42"/>
      <c r="IT508" s="42"/>
      <c r="IU508" s="42"/>
      <c r="IV508" s="42"/>
      <c r="IW508" s="42"/>
      <c r="IX508" s="42"/>
      <c r="IY508" s="42"/>
      <c r="IZ508" s="42"/>
      <c r="JA508" s="42"/>
      <c r="JB508" s="42"/>
      <c r="JC508" s="42"/>
      <c r="JD508" s="42"/>
      <c r="JE508" s="42"/>
      <c r="JF508" s="42"/>
      <c r="JG508" s="42"/>
      <c r="JH508" s="42"/>
      <c r="JI508" s="42"/>
      <c r="JJ508" s="42"/>
      <c r="JK508" s="42"/>
      <c r="JL508" s="42"/>
      <c r="JM508" s="42"/>
      <c r="JN508" s="42"/>
      <c r="JO508" s="42"/>
      <c r="JP508" s="42"/>
      <c r="JQ508" s="42"/>
      <c r="JR508" s="42"/>
      <c r="JS508" s="42"/>
      <c r="JT508" s="42"/>
      <c r="JU508" s="42"/>
      <c r="JV508" s="42"/>
      <c r="JW508" s="42"/>
      <c r="JX508" s="42"/>
      <c r="JY508" s="42"/>
      <c r="JZ508" s="42"/>
      <c r="KA508" s="42"/>
    </row>
    <row r="509" spans="1:287" ht="12.75">
      <c r="A509" s="89"/>
      <c r="B509" s="89"/>
      <c r="J509" s="19"/>
      <c r="Q509" s="19"/>
      <c r="Y509" s="19"/>
      <c r="AF509" s="19"/>
      <c r="II509" s="42"/>
      <c r="IJ509" s="42"/>
      <c r="IK509" s="42"/>
      <c r="IL509" s="42"/>
      <c r="IM509" s="42"/>
      <c r="IN509" s="42"/>
      <c r="IO509" s="42"/>
      <c r="IP509" s="42"/>
      <c r="IQ509" s="42"/>
      <c r="IR509" s="42"/>
      <c r="IS509" s="42"/>
      <c r="IT509" s="42"/>
      <c r="IU509" s="42"/>
      <c r="IV509" s="42"/>
      <c r="IW509" s="42"/>
      <c r="IX509" s="42"/>
      <c r="IY509" s="42"/>
      <c r="IZ509" s="42"/>
      <c r="JA509" s="42"/>
      <c r="JB509" s="42"/>
      <c r="JC509" s="42"/>
      <c r="JD509" s="42"/>
      <c r="JE509" s="42"/>
      <c r="JF509" s="42"/>
      <c r="JG509" s="42"/>
      <c r="JH509" s="42"/>
      <c r="JI509" s="42"/>
      <c r="JJ509" s="42"/>
      <c r="JK509" s="42"/>
      <c r="JL509" s="42"/>
      <c r="JM509" s="42"/>
      <c r="JN509" s="42"/>
      <c r="JO509" s="42"/>
      <c r="JP509" s="42"/>
      <c r="JQ509" s="42"/>
      <c r="JR509" s="42"/>
      <c r="JS509" s="42"/>
      <c r="JT509" s="42"/>
      <c r="JU509" s="42"/>
      <c r="JV509" s="42"/>
      <c r="JW509" s="42"/>
      <c r="JX509" s="42"/>
      <c r="JY509" s="42"/>
      <c r="JZ509" s="42"/>
      <c r="KA509" s="42"/>
    </row>
    <row r="510" spans="1:287" ht="12.75">
      <c r="A510" s="89"/>
      <c r="B510" s="89"/>
      <c r="J510" s="19"/>
      <c r="Q510" s="19"/>
      <c r="Y510" s="19"/>
      <c r="AF510" s="19"/>
      <c r="II510" s="42"/>
      <c r="IJ510" s="42"/>
      <c r="IK510" s="42"/>
      <c r="IL510" s="42"/>
      <c r="IM510" s="42"/>
      <c r="IN510" s="42"/>
      <c r="IO510" s="42"/>
      <c r="IP510" s="42"/>
      <c r="IQ510" s="42"/>
      <c r="IR510" s="42"/>
      <c r="IS510" s="42"/>
      <c r="IT510" s="42"/>
      <c r="IU510" s="42"/>
      <c r="IV510" s="42"/>
      <c r="IW510" s="42"/>
      <c r="IX510" s="42"/>
      <c r="IY510" s="42"/>
      <c r="IZ510" s="42"/>
      <c r="JA510" s="42"/>
      <c r="JB510" s="42"/>
      <c r="JC510" s="42"/>
      <c r="JD510" s="42"/>
      <c r="JE510" s="42"/>
      <c r="JF510" s="42"/>
      <c r="JG510" s="42"/>
      <c r="JH510" s="42"/>
      <c r="JI510" s="42"/>
      <c r="JJ510" s="42"/>
      <c r="JK510" s="42"/>
      <c r="JL510" s="42"/>
      <c r="JM510" s="42"/>
      <c r="JN510" s="42"/>
      <c r="JO510" s="42"/>
      <c r="JP510" s="42"/>
      <c r="JQ510" s="42"/>
      <c r="JR510" s="42"/>
      <c r="JS510" s="42"/>
      <c r="JT510" s="42"/>
      <c r="JU510" s="42"/>
      <c r="JV510" s="42"/>
      <c r="JW510" s="42"/>
      <c r="JX510" s="42"/>
      <c r="JY510" s="42"/>
      <c r="JZ510" s="42"/>
      <c r="KA510" s="42"/>
    </row>
    <row r="511" spans="1:287" ht="12.75">
      <c r="A511" s="89"/>
      <c r="B511" s="89"/>
      <c r="J511" s="19"/>
      <c r="Q511" s="19"/>
      <c r="Y511" s="19"/>
      <c r="AF511" s="19"/>
      <c r="II511" s="42"/>
      <c r="IJ511" s="42"/>
      <c r="IK511" s="42"/>
      <c r="IL511" s="42"/>
      <c r="IM511" s="42"/>
      <c r="IN511" s="42"/>
      <c r="IO511" s="42"/>
      <c r="IP511" s="42"/>
      <c r="IQ511" s="42"/>
      <c r="IR511" s="42"/>
      <c r="IS511" s="42"/>
      <c r="IT511" s="42"/>
      <c r="IU511" s="42"/>
      <c r="IV511" s="42"/>
      <c r="IW511" s="42"/>
      <c r="IX511" s="42"/>
      <c r="IY511" s="42"/>
      <c r="IZ511" s="42"/>
      <c r="JA511" s="42"/>
      <c r="JB511" s="42"/>
      <c r="JC511" s="42"/>
      <c r="JD511" s="42"/>
      <c r="JE511" s="42"/>
      <c r="JF511" s="42"/>
      <c r="JG511" s="42"/>
      <c r="JH511" s="42"/>
      <c r="JI511" s="42"/>
      <c r="JJ511" s="42"/>
      <c r="JK511" s="42"/>
      <c r="JL511" s="42"/>
      <c r="JM511" s="42"/>
      <c r="JN511" s="42"/>
      <c r="JO511" s="42"/>
      <c r="JP511" s="42"/>
      <c r="JQ511" s="42"/>
      <c r="JR511" s="42"/>
      <c r="JS511" s="42"/>
      <c r="JT511" s="42"/>
      <c r="JU511" s="42"/>
      <c r="JV511" s="42"/>
      <c r="JW511" s="42"/>
      <c r="JX511" s="42"/>
      <c r="JY511" s="42"/>
      <c r="JZ511" s="42"/>
      <c r="KA511" s="42"/>
    </row>
    <row r="512" spans="1:287" ht="12.75">
      <c r="A512" s="89"/>
      <c r="B512" s="89"/>
      <c r="J512" s="19"/>
      <c r="Q512" s="19"/>
      <c r="Y512" s="19"/>
      <c r="AF512" s="19"/>
      <c r="II512" s="42"/>
      <c r="IJ512" s="42"/>
      <c r="IK512" s="42"/>
      <c r="IL512" s="42"/>
      <c r="IM512" s="42"/>
      <c r="IN512" s="42"/>
      <c r="IO512" s="42"/>
      <c r="IP512" s="42"/>
      <c r="IQ512" s="42"/>
      <c r="IR512" s="42"/>
      <c r="IS512" s="42"/>
      <c r="IT512" s="42"/>
      <c r="IU512" s="42"/>
      <c r="IV512" s="42"/>
      <c r="IW512" s="42"/>
      <c r="IX512" s="42"/>
      <c r="IY512" s="42"/>
      <c r="IZ512" s="42"/>
      <c r="JA512" s="42"/>
      <c r="JB512" s="42"/>
      <c r="JC512" s="42"/>
      <c r="JD512" s="42"/>
      <c r="JE512" s="42"/>
      <c r="JF512" s="42"/>
      <c r="JG512" s="42"/>
      <c r="JH512" s="42"/>
      <c r="JI512" s="42"/>
      <c r="JJ512" s="42"/>
      <c r="JK512" s="42"/>
      <c r="JL512" s="42"/>
      <c r="JM512" s="42"/>
      <c r="JN512" s="42"/>
      <c r="JO512" s="42"/>
      <c r="JP512" s="42"/>
      <c r="JQ512" s="42"/>
      <c r="JR512" s="42"/>
      <c r="JS512" s="42"/>
      <c r="JT512" s="42"/>
      <c r="JU512" s="42"/>
      <c r="JV512" s="42"/>
      <c r="JW512" s="42"/>
      <c r="JX512" s="42"/>
      <c r="JY512" s="42"/>
      <c r="JZ512" s="42"/>
      <c r="KA512" s="42"/>
    </row>
    <row r="513" spans="1:287" ht="12.75">
      <c r="A513" s="89"/>
      <c r="B513" s="89"/>
      <c r="J513" s="19"/>
      <c r="Q513" s="19"/>
      <c r="Y513" s="19"/>
      <c r="AF513" s="19"/>
      <c r="II513" s="42"/>
      <c r="IJ513" s="42"/>
      <c r="IK513" s="42"/>
      <c r="IL513" s="42"/>
      <c r="IM513" s="42"/>
      <c r="IN513" s="42"/>
      <c r="IO513" s="42"/>
      <c r="IP513" s="42"/>
      <c r="IQ513" s="42"/>
      <c r="IR513" s="42"/>
      <c r="IS513" s="42"/>
      <c r="IT513" s="42"/>
      <c r="IU513" s="42"/>
      <c r="IV513" s="42"/>
      <c r="IW513" s="42"/>
      <c r="IX513" s="42"/>
      <c r="IY513" s="42"/>
      <c r="IZ513" s="42"/>
      <c r="JA513" s="42"/>
      <c r="JB513" s="42"/>
      <c r="JC513" s="42"/>
      <c r="JD513" s="42"/>
      <c r="JE513" s="42"/>
      <c r="JF513" s="42"/>
      <c r="JG513" s="42"/>
      <c r="JH513" s="42"/>
      <c r="JI513" s="42"/>
      <c r="JJ513" s="42"/>
      <c r="JK513" s="42"/>
      <c r="JL513" s="42"/>
      <c r="JM513" s="42"/>
      <c r="JN513" s="42"/>
      <c r="JO513" s="42"/>
      <c r="JP513" s="42"/>
      <c r="JQ513" s="42"/>
      <c r="JR513" s="42"/>
      <c r="JS513" s="42"/>
      <c r="JT513" s="42"/>
      <c r="JU513" s="42"/>
      <c r="JV513" s="42"/>
      <c r="JW513" s="42"/>
      <c r="JX513" s="42"/>
      <c r="JY513" s="42"/>
      <c r="JZ513" s="42"/>
      <c r="KA513" s="42"/>
    </row>
    <row r="514" spans="1:287" ht="12.75">
      <c r="A514" s="89"/>
      <c r="B514" s="89"/>
      <c r="J514" s="19"/>
      <c r="Q514" s="19"/>
      <c r="Y514" s="19"/>
      <c r="AF514" s="19"/>
      <c r="II514" s="42"/>
      <c r="IJ514" s="42"/>
      <c r="IK514" s="42"/>
      <c r="IL514" s="42"/>
      <c r="IM514" s="42"/>
      <c r="IN514" s="42"/>
      <c r="IO514" s="42"/>
      <c r="IP514" s="42"/>
      <c r="IQ514" s="42"/>
      <c r="IR514" s="42"/>
      <c r="IS514" s="42"/>
      <c r="IT514" s="42"/>
      <c r="IU514" s="42"/>
      <c r="IV514" s="42"/>
      <c r="IW514" s="42"/>
      <c r="IX514" s="42"/>
      <c r="IY514" s="42"/>
      <c r="IZ514" s="42"/>
      <c r="JA514" s="42"/>
      <c r="JB514" s="42"/>
      <c r="JC514" s="42"/>
      <c r="JD514" s="42"/>
      <c r="JE514" s="42"/>
      <c r="JF514" s="42"/>
      <c r="JG514" s="42"/>
      <c r="JH514" s="42"/>
      <c r="JI514" s="42"/>
      <c r="JJ514" s="42"/>
      <c r="JK514" s="42"/>
      <c r="JL514" s="42"/>
      <c r="JM514" s="42"/>
      <c r="JN514" s="42"/>
      <c r="JO514" s="42"/>
      <c r="JP514" s="42"/>
      <c r="JQ514" s="42"/>
      <c r="JR514" s="42"/>
      <c r="JS514" s="42"/>
      <c r="JT514" s="42"/>
      <c r="JU514" s="42"/>
      <c r="JV514" s="42"/>
      <c r="JW514" s="42"/>
      <c r="JX514" s="42"/>
      <c r="JY514" s="42"/>
      <c r="JZ514" s="42"/>
      <c r="KA514" s="42"/>
    </row>
    <row r="515" spans="1:287" ht="12.75">
      <c r="A515" s="89"/>
      <c r="B515" s="89"/>
      <c r="J515" s="19"/>
      <c r="Q515" s="19"/>
      <c r="Y515" s="19"/>
      <c r="AF515" s="19"/>
      <c r="II515" s="42"/>
      <c r="IJ515" s="42"/>
      <c r="IK515" s="42"/>
      <c r="IL515" s="42"/>
      <c r="IM515" s="42"/>
      <c r="IN515" s="42"/>
      <c r="IO515" s="42"/>
      <c r="IP515" s="42"/>
      <c r="IQ515" s="42"/>
      <c r="IR515" s="42"/>
      <c r="IS515" s="42"/>
      <c r="IT515" s="42"/>
      <c r="IU515" s="42"/>
      <c r="IV515" s="42"/>
      <c r="IW515" s="42"/>
      <c r="IX515" s="42"/>
      <c r="IY515" s="42"/>
      <c r="IZ515" s="42"/>
      <c r="JA515" s="42"/>
      <c r="JB515" s="42"/>
      <c r="JC515" s="42"/>
      <c r="JD515" s="42"/>
      <c r="JE515" s="42"/>
      <c r="JF515" s="42"/>
      <c r="JG515" s="42"/>
      <c r="JH515" s="42"/>
      <c r="JI515" s="42"/>
      <c r="JJ515" s="42"/>
      <c r="JK515" s="42"/>
      <c r="JL515" s="42"/>
      <c r="JM515" s="42"/>
      <c r="JN515" s="42"/>
      <c r="JO515" s="42"/>
      <c r="JP515" s="42"/>
      <c r="JQ515" s="42"/>
      <c r="JR515" s="42"/>
      <c r="JS515" s="42"/>
      <c r="JT515" s="42"/>
      <c r="JU515" s="42"/>
      <c r="JV515" s="42"/>
      <c r="JW515" s="42"/>
      <c r="JX515" s="42"/>
      <c r="JY515" s="42"/>
      <c r="JZ515" s="42"/>
      <c r="KA515" s="42"/>
    </row>
    <row r="516" spans="1:287" ht="12.75">
      <c r="A516" s="89"/>
      <c r="B516" s="89"/>
      <c r="J516" s="19"/>
      <c r="Q516" s="19"/>
      <c r="Y516" s="19"/>
      <c r="AF516" s="19"/>
      <c r="II516" s="42"/>
      <c r="IJ516" s="42"/>
      <c r="IK516" s="42"/>
      <c r="IL516" s="42"/>
      <c r="IM516" s="42"/>
      <c r="IN516" s="42"/>
      <c r="IO516" s="42"/>
      <c r="IP516" s="42"/>
      <c r="IQ516" s="42"/>
      <c r="IR516" s="42"/>
      <c r="IS516" s="42"/>
      <c r="IT516" s="42"/>
      <c r="IU516" s="42"/>
      <c r="IV516" s="42"/>
      <c r="IW516" s="42"/>
      <c r="IX516" s="42"/>
      <c r="IY516" s="42"/>
      <c r="IZ516" s="42"/>
      <c r="JA516" s="42"/>
      <c r="JB516" s="42"/>
      <c r="JC516" s="42"/>
      <c r="JD516" s="42"/>
      <c r="JE516" s="42"/>
      <c r="JF516" s="42"/>
      <c r="JG516" s="42"/>
      <c r="JH516" s="42"/>
      <c r="JI516" s="42"/>
      <c r="JJ516" s="42"/>
      <c r="JK516" s="42"/>
      <c r="JL516" s="42"/>
      <c r="JM516" s="42"/>
      <c r="JN516" s="42"/>
      <c r="JO516" s="42"/>
      <c r="JP516" s="42"/>
      <c r="JQ516" s="42"/>
      <c r="JR516" s="42"/>
      <c r="JS516" s="42"/>
      <c r="JT516" s="42"/>
      <c r="JU516" s="42"/>
      <c r="JV516" s="42"/>
      <c r="JW516" s="42"/>
      <c r="JX516" s="42"/>
      <c r="JY516" s="42"/>
      <c r="JZ516" s="42"/>
      <c r="KA516" s="42"/>
    </row>
    <row r="517" spans="1:287" ht="12.75">
      <c r="A517" s="89"/>
      <c r="B517" s="89"/>
      <c r="J517" s="19"/>
      <c r="Q517" s="19"/>
      <c r="Y517" s="19"/>
      <c r="AF517" s="19"/>
      <c r="II517" s="42"/>
      <c r="IJ517" s="42"/>
      <c r="IK517" s="42"/>
      <c r="IL517" s="42"/>
      <c r="IM517" s="42"/>
      <c r="IN517" s="42"/>
      <c r="IO517" s="42"/>
      <c r="IP517" s="42"/>
      <c r="IQ517" s="42"/>
      <c r="IR517" s="42"/>
      <c r="IS517" s="42"/>
      <c r="IT517" s="42"/>
      <c r="IU517" s="42"/>
      <c r="IV517" s="42"/>
      <c r="IW517" s="42"/>
      <c r="IX517" s="42"/>
      <c r="IY517" s="42"/>
      <c r="IZ517" s="42"/>
      <c r="JA517" s="42"/>
      <c r="JB517" s="42"/>
      <c r="JC517" s="42"/>
      <c r="JD517" s="42"/>
      <c r="JE517" s="42"/>
      <c r="JF517" s="42"/>
      <c r="JG517" s="42"/>
      <c r="JH517" s="42"/>
      <c r="JI517" s="42"/>
      <c r="JJ517" s="42"/>
      <c r="JK517" s="42"/>
      <c r="JL517" s="42"/>
      <c r="JM517" s="42"/>
      <c r="JN517" s="42"/>
      <c r="JO517" s="42"/>
      <c r="JP517" s="42"/>
      <c r="JQ517" s="42"/>
      <c r="JR517" s="42"/>
      <c r="JS517" s="42"/>
      <c r="JT517" s="42"/>
      <c r="JU517" s="42"/>
      <c r="JV517" s="42"/>
      <c r="JW517" s="42"/>
      <c r="JX517" s="42"/>
      <c r="JY517" s="42"/>
      <c r="JZ517" s="42"/>
      <c r="KA517" s="42"/>
    </row>
    <row r="518" spans="1:287" ht="12.75">
      <c r="A518" s="89"/>
      <c r="B518" s="89"/>
      <c r="J518" s="19"/>
      <c r="Q518" s="19"/>
      <c r="Y518" s="19"/>
      <c r="AF518" s="19"/>
      <c r="II518" s="42"/>
      <c r="IJ518" s="42"/>
      <c r="IK518" s="42"/>
      <c r="IL518" s="42"/>
      <c r="IM518" s="42"/>
      <c r="IN518" s="42"/>
      <c r="IO518" s="42"/>
      <c r="IP518" s="42"/>
      <c r="IQ518" s="42"/>
      <c r="IR518" s="42"/>
      <c r="IS518" s="42"/>
      <c r="IT518" s="42"/>
      <c r="IU518" s="42"/>
      <c r="IV518" s="42"/>
      <c r="IW518" s="42"/>
      <c r="IX518" s="42"/>
      <c r="IY518" s="42"/>
      <c r="IZ518" s="42"/>
      <c r="JA518" s="42"/>
      <c r="JB518" s="42"/>
      <c r="JC518" s="42"/>
      <c r="JD518" s="42"/>
      <c r="JE518" s="42"/>
      <c r="JF518" s="42"/>
      <c r="JG518" s="42"/>
      <c r="JH518" s="42"/>
      <c r="JI518" s="42"/>
      <c r="JJ518" s="42"/>
      <c r="JK518" s="42"/>
      <c r="JL518" s="42"/>
      <c r="JM518" s="42"/>
      <c r="JN518" s="42"/>
      <c r="JO518" s="42"/>
      <c r="JP518" s="42"/>
      <c r="JQ518" s="42"/>
      <c r="JR518" s="42"/>
      <c r="JS518" s="42"/>
      <c r="JT518" s="42"/>
      <c r="JU518" s="42"/>
      <c r="JV518" s="42"/>
      <c r="JW518" s="42"/>
      <c r="JX518" s="42"/>
      <c r="JY518" s="42"/>
      <c r="JZ518" s="42"/>
      <c r="KA518" s="42"/>
    </row>
    <row r="519" spans="1:287" ht="12.75">
      <c r="A519" s="89"/>
      <c r="B519" s="89"/>
      <c r="J519" s="19"/>
      <c r="Q519" s="19"/>
      <c r="Y519" s="19"/>
      <c r="AF519" s="19"/>
      <c r="II519" s="42"/>
      <c r="IJ519" s="42"/>
      <c r="IK519" s="42"/>
      <c r="IL519" s="42"/>
      <c r="IM519" s="42"/>
      <c r="IN519" s="42"/>
      <c r="IO519" s="42"/>
      <c r="IP519" s="42"/>
      <c r="IQ519" s="42"/>
      <c r="IR519" s="42"/>
      <c r="IS519" s="42"/>
      <c r="IT519" s="42"/>
      <c r="IU519" s="42"/>
      <c r="IV519" s="42"/>
      <c r="IW519" s="42"/>
      <c r="IX519" s="42"/>
      <c r="IY519" s="42"/>
      <c r="IZ519" s="42"/>
      <c r="JA519" s="42"/>
      <c r="JB519" s="42"/>
      <c r="JC519" s="42"/>
      <c r="JD519" s="42"/>
      <c r="JE519" s="42"/>
      <c r="JF519" s="42"/>
      <c r="JG519" s="42"/>
      <c r="JH519" s="42"/>
      <c r="JI519" s="42"/>
      <c r="JJ519" s="42"/>
      <c r="JK519" s="42"/>
      <c r="JL519" s="42"/>
      <c r="JM519" s="42"/>
      <c r="JN519" s="42"/>
      <c r="JO519" s="42"/>
      <c r="JP519" s="42"/>
      <c r="JQ519" s="42"/>
      <c r="JR519" s="42"/>
      <c r="JS519" s="42"/>
      <c r="JT519" s="42"/>
      <c r="JU519" s="42"/>
      <c r="JV519" s="42"/>
      <c r="JW519" s="42"/>
      <c r="JX519" s="42"/>
      <c r="JY519" s="42"/>
      <c r="JZ519" s="42"/>
      <c r="KA519" s="42"/>
    </row>
    <row r="520" spans="1:287" ht="12.75">
      <c r="A520" s="89"/>
      <c r="B520" s="89"/>
      <c r="J520" s="19"/>
      <c r="Q520" s="19"/>
      <c r="Y520" s="19"/>
      <c r="AF520" s="19"/>
      <c r="II520" s="42"/>
      <c r="IJ520" s="42"/>
      <c r="IK520" s="42"/>
      <c r="IL520" s="42"/>
      <c r="IM520" s="42"/>
      <c r="IN520" s="42"/>
      <c r="IO520" s="42"/>
      <c r="IP520" s="42"/>
      <c r="IQ520" s="42"/>
      <c r="IR520" s="42"/>
      <c r="IS520" s="42"/>
      <c r="IT520" s="42"/>
      <c r="IU520" s="42"/>
      <c r="IV520" s="42"/>
      <c r="IW520" s="42"/>
      <c r="IX520" s="42"/>
      <c r="IY520" s="42"/>
      <c r="IZ520" s="42"/>
      <c r="JA520" s="42"/>
      <c r="JB520" s="42"/>
      <c r="JC520" s="42"/>
      <c r="JD520" s="42"/>
      <c r="JE520" s="42"/>
      <c r="JF520" s="42"/>
      <c r="JG520" s="42"/>
      <c r="JH520" s="42"/>
      <c r="JI520" s="42"/>
      <c r="JJ520" s="42"/>
      <c r="JK520" s="42"/>
      <c r="JL520" s="42"/>
      <c r="JM520" s="42"/>
      <c r="JN520" s="42"/>
      <c r="JO520" s="42"/>
      <c r="JP520" s="42"/>
      <c r="JQ520" s="42"/>
      <c r="JR520" s="42"/>
      <c r="JS520" s="42"/>
      <c r="JT520" s="42"/>
      <c r="JU520" s="42"/>
      <c r="JV520" s="42"/>
      <c r="JW520" s="42"/>
      <c r="JX520" s="42"/>
      <c r="JY520" s="42"/>
      <c r="JZ520" s="42"/>
      <c r="KA520" s="42"/>
    </row>
    <row r="521" spans="1:287" ht="12.75">
      <c r="A521" s="89"/>
      <c r="B521" s="89"/>
      <c r="J521" s="19"/>
      <c r="Q521" s="19"/>
      <c r="Y521" s="19"/>
      <c r="AF521" s="19"/>
      <c r="II521" s="42"/>
      <c r="IJ521" s="42"/>
      <c r="IK521" s="42"/>
      <c r="IL521" s="42"/>
      <c r="IM521" s="42"/>
      <c r="IN521" s="42"/>
      <c r="IO521" s="42"/>
      <c r="IP521" s="42"/>
      <c r="IQ521" s="42"/>
      <c r="IR521" s="42"/>
      <c r="IS521" s="42"/>
      <c r="IT521" s="42"/>
      <c r="IU521" s="42"/>
      <c r="IV521" s="42"/>
      <c r="IW521" s="42"/>
      <c r="IX521" s="42"/>
      <c r="IY521" s="42"/>
      <c r="IZ521" s="42"/>
      <c r="JA521" s="42"/>
      <c r="JB521" s="42"/>
      <c r="JC521" s="42"/>
      <c r="JD521" s="42"/>
      <c r="JE521" s="42"/>
      <c r="JF521" s="42"/>
      <c r="JG521" s="42"/>
      <c r="JH521" s="42"/>
      <c r="JI521" s="42"/>
      <c r="JJ521" s="42"/>
      <c r="JK521" s="42"/>
      <c r="JL521" s="42"/>
      <c r="JM521" s="42"/>
      <c r="JN521" s="42"/>
      <c r="JO521" s="42"/>
      <c r="JP521" s="42"/>
      <c r="JQ521" s="42"/>
      <c r="JR521" s="42"/>
      <c r="JS521" s="42"/>
      <c r="JT521" s="42"/>
      <c r="JU521" s="42"/>
      <c r="JV521" s="42"/>
      <c r="JW521" s="42"/>
      <c r="JX521" s="42"/>
      <c r="JY521" s="42"/>
      <c r="JZ521" s="42"/>
      <c r="KA521" s="42"/>
    </row>
    <row r="522" spans="1:287" ht="12.75">
      <c r="A522" s="89"/>
      <c r="B522" s="89"/>
      <c r="J522" s="19"/>
      <c r="Q522" s="19"/>
      <c r="Y522" s="19"/>
      <c r="AF522" s="19"/>
      <c r="II522" s="42"/>
      <c r="IJ522" s="42"/>
      <c r="IK522" s="42"/>
      <c r="IL522" s="42"/>
      <c r="IM522" s="42"/>
      <c r="IN522" s="42"/>
      <c r="IO522" s="42"/>
      <c r="IP522" s="42"/>
      <c r="IQ522" s="42"/>
      <c r="IR522" s="42"/>
      <c r="IS522" s="42"/>
      <c r="IT522" s="42"/>
      <c r="IU522" s="42"/>
      <c r="IV522" s="42"/>
      <c r="IW522" s="42"/>
      <c r="IX522" s="42"/>
      <c r="IY522" s="42"/>
      <c r="IZ522" s="42"/>
      <c r="JA522" s="42"/>
      <c r="JB522" s="42"/>
      <c r="JC522" s="42"/>
      <c r="JD522" s="42"/>
      <c r="JE522" s="42"/>
      <c r="JF522" s="42"/>
      <c r="JG522" s="42"/>
      <c r="JH522" s="42"/>
      <c r="JI522" s="42"/>
      <c r="JJ522" s="42"/>
      <c r="JK522" s="42"/>
      <c r="JL522" s="42"/>
      <c r="JM522" s="42"/>
      <c r="JN522" s="42"/>
      <c r="JO522" s="42"/>
      <c r="JP522" s="42"/>
      <c r="JQ522" s="42"/>
      <c r="JR522" s="42"/>
      <c r="JS522" s="42"/>
      <c r="JT522" s="42"/>
      <c r="JU522" s="42"/>
      <c r="JV522" s="42"/>
      <c r="JW522" s="42"/>
      <c r="JX522" s="42"/>
      <c r="JY522" s="42"/>
      <c r="JZ522" s="42"/>
      <c r="KA522" s="42"/>
    </row>
    <row r="523" spans="1:287" ht="12.75">
      <c r="A523" s="89"/>
      <c r="B523" s="89"/>
      <c r="J523" s="19"/>
      <c r="Q523" s="19"/>
      <c r="Y523" s="19"/>
      <c r="AF523" s="19"/>
      <c r="II523" s="42"/>
      <c r="IJ523" s="42"/>
      <c r="IK523" s="42"/>
      <c r="IL523" s="42"/>
      <c r="IM523" s="42"/>
      <c r="IN523" s="42"/>
      <c r="IO523" s="42"/>
      <c r="IP523" s="42"/>
      <c r="IQ523" s="42"/>
      <c r="IR523" s="42"/>
      <c r="IS523" s="42"/>
      <c r="IT523" s="42"/>
      <c r="IU523" s="42"/>
      <c r="IV523" s="42"/>
      <c r="IW523" s="42"/>
      <c r="IX523" s="42"/>
      <c r="IY523" s="42"/>
      <c r="IZ523" s="42"/>
      <c r="JA523" s="42"/>
      <c r="JB523" s="42"/>
      <c r="JC523" s="42"/>
      <c r="JD523" s="42"/>
      <c r="JE523" s="42"/>
      <c r="JF523" s="42"/>
      <c r="JG523" s="42"/>
      <c r="JH523" s="42"/>
      <c r="JI523" s="42"/>
      <c r="JJ523" s="42"/>
      <c r="JK523" s="42"/>
      <c r="JL523" s="42"/>
      <c r="JM523" s="42"/>
      <c r="JN523" s="42"/>
      <c r="JO523" s="42"/>
      <c r="JP523" s="42"/>
      <c r="JQ523" s="42"/>
      <c r="JR523" s="42"/>
      <c r="JS523" s="42"/>
      <c r="JT523" s="42"/>
      <c r="JU523" s="42"/>
      <c r="JV523" s="42"/>
      <c r="JW523" s="42"/>
      <c r="JX523" s="42"/>
      <c r="JY523" s="42"/>
      <c r="JZ523" s="42"/>
      <c r="KA523" s="42"/>
    </row>
    <row r="524" spans="1:287" ht="12.75">
      <c r="A524" s="89"/>
      <c r="B524" s="89"/>
      <c r="J524" s="19"/>
      <c r="Q524" s="19"/>
      <c r="Y524" s="19"/>
      <c r="AF524" s="19"/>
      <c r="II524" s="42"/>
      <c r="IJ524" s="42"/>
      <c r="IK524" s="42"/>
      <c r="IL524" s="42"/>
      <c r="IM524" s="42"/>
      <c r="IN524" s="42"/>
      <c r="IO524" s="42"/>
      <c r="IP524" s="42"/>
      <c r="IQ524" s="42"/>
      <c r="IR524" s="42"/>
      <c r="IS524" s="42"/>
      <c r="IT524" s="42"/>
      <c r="IU524" s="42"/>
      <c r="IV524" s="42"/>
      <c r="IW524" s="42"/>
      <c r="IX524" s="42"/>
      <c r="IY524" s="42"/>
      <c r="IZ524" s="42"/>
      <c r="JA524" s="42"/>
      <c r="JB524" s="42"/>
      <c r="JC524" s="42"/>
      <c r="JD524" s="42"/>
      <c r="JE524" s="42"/>
      <c r="JF524" s="42"/>
      <c r="JG524" s="42"/>
      <c r="JH524" s="42"/>
      <c r="JI524" s="42"/>
      <c r="JJ524" s="42"/>
      <c r="JK524" s="42"/>
      <c r="JL524" s="42"/>
      <c r="JM524" s="42"/>
      <c r="JN524" s="42"/>
      <c r="JO524" s="42"/>
      <c r="JP524" s="42"/>
      <c r="JQ524" s="42"/>
      <c r="JR524" s="42"/>
      <c r="JS524" s="42"/>
      <c r="JT524" s="42"/>
      <c r="JU524" s="42"/>
      <c r="JV524" s="42"/>
      <c r="JW524" s="42"/>
      <c r="JX524" s="42"/>
      <c r="JY524" s="42"/>
      <c r="JZ524" s="42"/>
      <c r="KA524" s="42"/>
    </row>
    <row r="525" spans="1:287" ht="12.75">
      <c r="A525" s="89"/>
      <c r="B525" s="89"/>
      <c r="J525" s="19"/>
      <c r="Q525" s="19"/>
      <c r="Y525" s="19"/>
      <c r="AF525" s="19"/>
      <c r="II525" s="42"/>
      <c r="IJ525" s="42"/>
      <c r="IK525" s="42"/>
      <c r="IL525" s="42"/>
      <c r="IM525" s="42"/>
      <c r="IN525" s="42"/>
      <c r="IO525" s="42"/>
      <c r="IP525" s="42"/>
      <c r="IQ525" s="42"/>
      <c r="IR525" s="42"/>
      <c r="IS525" s="42"/>
      <c r="IT525" s="42"/>
      <c r="IU525" s="42"/>
      <c r="IV525" s="42"/>
      <c r="IW525" s="42"/>
      <c r="IX525" s="42"/>
      <c r="IY525" s="42"/>
      <c r="IZ525" s="42"/>
      <c r="JA525" s="42"/>
      <c r="JB525" s="42"/>
      <c r="JC525" s="42"/>
      <c r="JD525" s="42"/>
      <c r="JE525" s="42"/>
      <c r="JF525" s="42"/>
      <c r="JG525" s="42"/>
      <c r="JH525" s="42"/>
      <c r="JI525" s="42"/>
      <c r="JJ525" s="42"/>
      <c r="JK525" s="42"/>
      <c r="JL525" s="42"/>
      <c r="JM525" s="42"/>
      <c r="JN525" s="42"/>
      <c r="JO525" s="42"/>
      <c r="JP525" s="42"/>
      <c r="JQ525" s="42"/>
      <c r="JR525" s="42"/>
      <c r="JS525" s="42"/>
      <c r="JT525" s="42"/>
      <c r="JU525" s="42"/>
      <c r="JV525" s="42"/>
      <c r="JW525" s="42"/>
      <c r="JX525" s="42"/>
      <c r="JY525" s="42"/>
      <c r="JZ525" s="42"/>
      <c r="KA525" s="42"/>
    </row>
    <row r="526" spans="1:287" ht="12.75">
      <c r="A526" s="89"/>
      <c r="B526" s="89"/>
      <c r="J526" s="19"/>
      <c r="Q526" s="19"/>
      <c r="Y526" s="19"/>
      <c r="AF526" s="19"/>
      <c r="II526" s="42"/>
      <c r="IJ526" s="42"/>
      <c r="IK526" s="42"/>
      <c r="IL526" s="42"/>
      <c r="IM526" s="42"/>
      <c r="IN526" s="42"/>
      <c r="IO526" s="42"/>
      <c r="IP526" s="42"/>
      <c r="IQ526" s="42"/>
      <c r="IR526" s="42"/>
      <c r="IS526" s="42"/>
      <c r="IT526" s="42"/>
      <c r="IU526" s="42"/>
      <c r="IV526" s="42"/>
      <c r="IW526" s="42"/>
      <c r="IX526" s="42"/>
      <c r="IY526" s="42"/>
      <c r="IZ526" s="42"/>
      <c r="JA526" s="42"/>
      <c r="JB526" s="42"/>
      <c r="JC526" s="42"/>
      <c r="JD526" s="42"/>
      <c r="JE526" s="42"/>
      <c r="JF526" s="42"/>
      <c r="JG526" s="42"/>
      <c r="JH526" s="42"/>
      <c r="JI526" s="42"/>
      <c r="JJ526" s="42"/>
      <c r="JK526" s="42"/>
      <c r="JL526" s="42"/>
      <c r="JM526" s="42"/>
      <c r="JN526" s="42"/>
      <c r="JO526" s="42"/>
      <c r="JP526" s="42"/>
      <c r="JQ526" s="42"/>
      <c r="JR526" s="42"/>
      <c r="JS526" s="42"/>
      <c r="JT526" s="42"/>
      <c r="JU526" s="42"/>
      <c r="JV526" s="42"/>
      <c r="JW526" s="42"/>
      <c r="JX526" s="42"/>
      <c r="JY526" s="42"/>
      <c r="JZ526" s="42"/>
      <c r="KA526" s="42"/>
    </row>
    <row r="527" spans="1:287" ht="12.75">
      <c r="A527" s="89"/>
      <c r="B527" s="89"/>
      <c r="J527" s="19"/>
      <c r="Q527" s="19"/>
      <c r="Y527" s="19"/>
      <c r="AF527" s="19"/>
      <c r="II527" s="42"/>
      <c r="IJ527" s="42"/>
      <c r="IK527" s="42"/>
      <c r="IL527" s="42"/>
      <c r="IM527" s="42"/>
      <c r="IN527" s="42"/>
      <c r="IO527" s="42"/>
      <c r="IP527" s="42"/>
      <c r="IQ527" s="42"/>
      <c r="IR527" s="42"/>
      <c r="IS527" s="42"/>
      <c r="IT527" s="42"/>
      <c r="IU527" s="42"/>
      <c r="IV527" s="42"/>
      <c r="IW527" s="42"/>
      <c r="IX527" s="42"/>
      <c r="IY527" s="42"/>
      <c r="IZ527" s="42"/>
      <c r="JA527" s="42"/>
      <c r="JB527" s="42"/>
      <c r="JC527" s="42"/>
      <c r="JD527" s="42"/>
      <c r="JE527" s="42"/>
      <c r="JF527" s="42"/>
      <c r="JG527" s="42"/>
      <c r="JH527" s="42"/>
      <c r="JI527" s="42"/>
      <c r="JJ527" s="42"/>
      <c r="JK527" s="42"/>
      <c r="JL527" s="42"/>
      <c r="JM527" s="42"/>
      <c r="JN527" s="42"/>
      <c r="JO527" s="42"/>
      <c r="JP527" s="42"/>
      <c r="JQ527" s="42"/>
      <c r="JR527" s="42"/>
      <c r="JS527" s="42"/>
      <c r="JT527" s="42"/>
      <c r="JU527" s="42"/>
      <c r="JV527" s="42"/>
      <c r="JW527" s="42"/>
      <c r="JX527" s="42"/>
      <c r="JY527" s="42"/>
      <c r="JZ527" s="42"/>
      <c r="KA527" s="42"/>
    </row>
    <row r="528" spans="1:287" ht="12.75">
      <c r="A528" s="89"/>
      <c r="B528" s="89"/>
      <c r="J528" s="19"/>
      <c r="Q528" s="19"/>
      <c r="Y528" s="19"/>
      <c r="AF528" s="19"/>
      <c r="II528" s="42"/>
      <c r="IJ528" s="42"/>
      <c r="IK528" s="42"/>
      <c r="IL528" s="42"/>
      <c r="IM528" s="42"/>
      <c r="IN528" s="42"/>
      <c r="IO528" s="42"/>
      <c r="IP528" s="42"/>
      <c r="IQ528" s="42"/>
      <c r="IR528" s="42"/>
      <c r="IS528" s="42"/>
      <c r="IT528" s="42"/>
      <c r="IU528" s="42"/>
      <c r="IV528" s="42"/>
      <c r="IW528" s="42"/>
      <c r="IX528" s="42"/>
      <c r="IY528" s="42"/>
      <c r="IZ528" s="42"/>
      <c r="JA528" s="42"/>
      <c r="JB528" s="42"/>
      <c r="JC528" s="42"/>
      <c r="JD528" s="42"/>
      <c r="JE528" s="42"/>
      <c r="JF528" s="42"/>
      <c r="JG528" s="42"/>
      <c r="JH528" s="42"/>
      <c r="JI528" s="42"/>
      <c r="JJ528" s="42"/>
      <c r="JK528" s="42"/>
      <c r="JL528" s="42"/>
      <c r="JM528" s="42"/>
      <c r="JN528" s="42"/>
      <c r="JO528" s="42"/>
      <c r="JP528" s="42"/>
      <c r="JQ528" s="42"/>
      <c r="JR528" s="42"/>
      <c r="JS528" s="42"/>
      <c r="JT528" s="42"/>
      <c r="JU528" s="42"/>
      <c r="JV528" s="42"/>
      <c r="JW528" s="42"/>
      <c r="JX528" s="42"/>
      <c r="JY528" s="42"/>
      <c r="JZ528" s="42"/>
      <c r="KA528" s="42"/>
    </row>
    <row r="529" spans="1:287" ht="12.75">
      <c r="A529" s="89"/>
      <c r="B529" s="89"/>
      <c r="J529" s="19"/>
      <c r="Q529" s="19"/>
      <c r="Y529" s="19"/>
      <c r="AF529" s="19"/>
      <c r="II529" s="42"/>
      <c r="IJ529" s="42"/>
      <c r="IK529" s="42"/>
      <c r="IL529" s="42"/>
      <c r="IM529" s="42"/>
      <c r="IN529" s="42"/>
      <c r="IO529" s="42"/>
      <c r="IP529" s="42"/>
      <c r="IQ529" s="42"/>
      <c r="IR529" s="42"/>
      <c r="IS529" s="42"/>
      <c r="IT529" s="42"/>
      <c r="IU529" s="42"/>
      <c r="IV529" s="42"/>
      <c r="IW529" s="42"/>
      <c r="IX529" s="42"/>
      <c r="IY529" s="42"/>
      <c r="IZ529" s="42"/>
      <c r="JA529" s="42"/>
      <c r="JB529" s="42"/>
      <c r="JC529" s="42"/>
      <c r="JD529" s="42"/>
      <c r="JE529" s="42"/>
      <c r="JF529" s="42"/>
      <c r="JG529" s="42"/>
      <c r="JH529" s="42"/>
      <c r="JI529" s="42"/>
      <c r="JJ529" s="42"/>
      <c r="JK529" s="42"/>
      <c r="JL529" s="42"/>
      <c r="JM529" s="42"/>
      <c r="JN529" s="42"/>
      <c r="JO529" s="42"/>
      <c r="JP529" s="42"/>
      <c r="JQ529" s="42"/>
      <c r="JR529" s="42"/>
      <c r="JS529" s="42"/>
      <c r="JT529" s="42"/>
      <c r="JU529" s="42"/>
      <c r="JV529" s="42"/>
      <c r="JW529" s="42"/>
      <c r="JX529" s="42"/>
      <c r="JY529" s="42"/>
      <c r="JZ529" s="42"/>
      <c r="KA529" s="42"/>
    </row>
    <row r="530" spans="1:287" ht="12.75">
      <c r="A530" s="89"/>
      <c r="B530" s="89"/>
      <c r="J530" s="19"/>
      <c r="Q530" s="19"/>
      <c r="Y530" s="19"/>
      <c r="AF530" s="19"/>
      <c r="II530" s="42"/>
      <c r="IJ530" s="42"/>
      <c r="IK530" s="42"/>
      <c r="IL530" s="42"/>
      <c r="IM530" s="42"/>
      <c r="IN530" s="42"/>
      <c r="IO530" s="42"/>
      <c r="IP530" s="42"/>
      <c r="IQ530" s="42"/>
      <c r="IR530" s="42"/>
      <c r="IS530" s="42"/>
      <c r="IT530" s="42"/>
      <c r="IU530" s="42"/>
      <c r="IV530" s="42"/>
      <c r="IW530" s="42"/>
      <c r="IX530" s="42"/>
      <c r="IY530" s="42"/>
      <c r="IZ530" s="42"/>
      <c r="JA530" s="42"/>
      <c r="JB530" s="42"/>
      <c r="JC530" s="42"/>
      <c r="JD530" s="42"/>
      <c r="JE530" s="42"/>
      <c r="JF530" s="42"/>
      <c r="JG530" s="42"/>
      <c r="JH530" s="42"/>
      <c r="JI530" s="42"/>
      <c r="JJ530" s="42"/>
      <c r="JK530" s="42"/>
      <c r="JL530" s="42"/>
      <c r="JM530" s="42"/>
      <c r="JN530" s="42"/>
      <c r="JO530" s="42"/>
      <c r="JP530" s="42"/>
      <c r="JQ530" s="42"/>
      <c r="JR530" s="42"/>
      <c r="JS530" s="42"/>
      <c r="JT530" s="42"/>
      <c r="JU530" s="42"/>
      <c r="JV530" s="42"/>
      <c r="JW530" s="42"/>
      <c r="JX530" s="42"/>
      <c r="JY530" s="42"/>
      <c r="JZ530" s="42"/>
      <c r="KA530" s="42"/>
    </row>
    <row r="531" spans="1:287" ht="12.75">
      <c r="A531" s="89"/>
      <c r="B531" s="89"/>
      <c r="J531" s="19"/>
      <c r="Q531" s="19"/>
      <c r="Y531" s="19"/>
      <c r="AF531" s="19"/>
      <c r="II531" s="42"/>
      <c r="IJ531" s="42"/>
      <c r="IK531" s="42"/>
      <c r="IL531" s="42"/>
      <c r="IM531" s="42"/>
      <c r="IN531" s="42"/>
      <c r="IO531" s="42"/>
      <c r="IP531" s="42"/>
      <c r="IQ531" s="42"/>
      <c r="IR531" s="42"/>
      <c r="IS531" s="42"/>
      <c r="IT531" s="42"/>
      <c r="IU531" s="42"/>
      <c r="IV531" s="42"/>
      <c r="IW531" s="42"/>
      <c r="IX531" s="42"/>
      <c r="IY531" s="42"/>
      <c r="IZ531" s="42"/>
      <c r="JA531" s="42"/>
      <c r="JB531" s="42"/>
      <c r="JC531" s="42"/>
      <c r="JD531" s="42"/>
      <c r="JE531" s="42"/>
      <c r="JF531" s="42"/>
      <c r="JG531" s="42"/>
      <c r="JH531" s="42"/>
      <c r="JI531" s="42"/>
      <c r="JJ531" s="42"/>
      <c r="JK531" s="42"/>
      <c r="JL531" s="42"/>
      <c r="JM531" s="42"/>
      <c r="JN531" s="42"/>
      <c r="JO531" s="42"/>
      <c r="JP531" s="42"/>
      <c r="JQ531" s="42"/>
      <c r="JR531" s="42"/>
      <c r="JS531" s="42"/>
      <c r="JT531" s="42"/>
      <c r="JU531" s="42"/>
      <c r="JV531" s="42"/>
      <c r="JW531" s="42"/>
      <c r="JX531" s="42"/>
      <c r="JY531" s="42"/>
      <c r="JZ531" s="42"/>
      <c r="KA531" s="42"/>
    </row>
    <row r="532" spans="1:287" ht="12.75">
      <c r="A532" s="89"/>
      <c r="B532" s="89"/>
      <c r="J532" s="19"/>
      <c r="Q532" s="19"/>
      <c r="Y532" s="19"/>
      <c r="AF532" s="19"/>
      <c r="II532" s="42"/>
      <c r="IJ532" s="42"/>
      <c r="IK532" s="42"/>
      <c r="IL532" s="42"/>
      <c r="IM532" s="42"/>
      <c r="IN532" s="42"/>
      <c r="IO532" s="42"/>
      <c r="IP532" s="42"/>
      <c r="IQ532" s="42"/>
      <c r="IR532" s="42"/>
      <c r="IS532" s="42"/>
      <c r="IT532" s="42"/>
      <c r="IU532" s="42"/>
      <c r="IV532" s="42"/>
      <c r="IW532" s="42"/>
      <c r="IX532" s="42"/>
      <c r="IY532" s="42"/>
      <c r="IZ532" s="42"/>
      <c r="JA532" s="42"/>
      <c r="JB532" s="42"/>
      <c r="JC532" s="42"/>
      <c r="JD532" s="42"/>
      <c r="JE532" s="42"/>
      <c r="JF532" s="42"/>
      <c r="JG532" s="42"/>
      <c r="JH532" s="42"/>
      <c r="JI532" s="42"/>
      <c r="JJ532" s="42"/>
      <c r="JK532" s="42"/>
      <c r="JL532" s="42"/>
      <c r="JM532" s="42"/>
      <c r="JN532" s="42"/>
      <c r="JO532" s="42"/>
      <c r="JP532" s="42"/>
      <c r="JQ532" s="42"/>
      <c r="JR532" s="42"/>
      <c r="JS532" s="42"/>
      <c r="JT532" s="42"/>
      <c r="JU532" s="42"/>
      <c r="JV532" s="42"/>
      <c r="JW532" s="42"/>
      <c r="JX532" s="42"/>
      <c r="JY532" s="42"/>
      <c r="JZ532" s="42"/>
      <c r="KA532" s="42"/>
    </row>
    <row r="533" spans="1:287" ht="12.75">
      <c r="A533" s="89"/>
      <c r="B533" s="89"/>
      <c r="J533" s="19"/>
      <c r="Q533" s="19"/>
      <c r="Y533" s="19"/>
      <c r="AF533" s="19"/>
      <c r="II533" s="42"/>
      <c r="IJ533" s="42"/>
      <c r="IK533" s="42"/>
      <c r="IL533" s="42"/>
      <c r="IM533" s="42"/>
      <c r="IN533" s="42"/>
      <c r="IO533" s="42"/>
      <c r="IP533" s="42"/>
      <c r="IQ533" s="42"/>
      <c r="IR533" s="42"/>
      <c r="IS533" s="42"/>
      <c r="IT533" s="42"/>
      <c r="IU533" s="42"/>
      <c r="IV533" s="42"/>
      <c r="IW533" s="42"/>
      <c r="IX533" s="42"/>
      <c r="IY533" s="42"/>
      <c r="IZ533" s="42"/>
      <c r="JA533" s="42"/>
      <c r="JB533" s="42"/>
      <c r="JC533" s="42"/>
      <c r="JD533" s="42"/>
      <c r="JE533" s="42"/>
      <c r="JF533" s="42"/>
      <c r="JG533" s="42"/>
      <c r="JH533" s="42"/>
      <c r="JI533" s="42"/>
      <c r="JJ533" s="42"/>
      <c r="JK533" s="42"/>
      <c r="JL533" s="42"/>
      <c r="JM533" s="42"/>
      <c r="JN533" s="42"/>
      <c r="JO533" s="42"/>
      <c r="JP533" s="42"/>
      <c r="JQ533" s="42"/>
      <c r="JR533" s="42"/>
      <c r="JS533" s="42"/>
      <c r="JT533" s="42"/>
      <c r="JU533" s="42"/>
      <c r="JV533" s="42"/>
      <c r="JW533" s="42"/>
      <c r="JX533" s="42"/>
      <c r="JY533" s="42"/>
      <c r="JZ533" s="42"/>
      <c r="KA533" s="42"/>
    </row>
    <row r="534" spans="1:287" ht="12.75">
      <c r="A534" s="89"/>
      <c r="B534" s="89"/>
      <c r="J534" s="19"/>
      <c r="Q534" s="19"/>
      <c r="Y534" s="19"/>
      <c r="AF534" s="19"/>
      <c r="II534" s="42"/>
      <c r="IJ534" s="42"/>
      <c r="IK534" s="42"/>
      <c r="IL534" s="42"/>
      <c r="IM534" s="42"/>
      <c r="IN534" s="42"/>
      <c r="IO534" s="42"/>
      <c r="IP534" s="42"/>
      <c r="IQ534" s="42"/>
      <c r="IR534" s="42"/>
      <c r="IS534" s="42"/>
      <c r="IT534" s="42"/>
      <c r="IU534" s="42"/>
      <c r="IV534" s="42"/>
      <c r="IW534" s="42"/>
      <c r="IX534" s="42"/>
      <c r="IY534" s="42"/>
      <c r="IZ534" s="42"/>
      <c r="JA534" s="42"/>
      <c r="JB534" s="42"/>
      <c r="JC534" s="42"/>
      <c r="JD534" s="42"/>
      <c r="JE534" s="42"/>
      <c r="JF534" s="42"/>
      <c r="JG534" s="42"/>
      <c r="JH534" s="42"/>
      <c r="JI534" s="42"/>
      <c r="JJ534" s="42"/>
      <c r="JK534" s="42"/>
      <c r="JL534" s="42"/>
      <c r="JM534" s="42"/>
      <c r="JN534" s="42"/>
      <c r="JO534" s="42"/>
      <c r="JP534" s="42"/>
      <c r="JQ534" s="42"/>
      <c r="JR534" s="42"/>
      <c r="JS534" s="42"/>
      <c r="JT534" s="42"/>
      <c r="JU534" s="42"/>
      <c r="JV534" s="42"/>
      <c r="JW534" s="42"/>
      <c r="JX534" s="42"/>
      <c r="JY534" s="42"/>
      <c r="JZ534" s="42"/>
      <c r="KA534" s="42"/>
    </row>
    <row r="535" spans="1:287" ht="12.75">
      <c r="A535" s="89"/>
      <c r="B535" s="89"/>
      <c r="J535" s="19"/>
      <c r="Q535" s="19"/>
      <c r="Y535" s="19"/>
      <c r="AF535" s="19"/>
      <c r="II535" s="42"/>
      <c r="IJ535" s="42"/>
      <c r="IK535" s="42"/>
      <c r="IL535" s="42"/>
      <c r="IM535" s="42"/>
      <c r="IN535" s="42"/>
      <c r="IO535" s="42"/>
      <c r="IP535" s="42"/>
      <c r="IQ535" s="42"/>
      <c r="IR535" s="42"/>
      <c r="IS535" s="42"/>
      <c r="IT535" s="42"/>
      <c r="IU535" s="42"/>
      <c r="IV535" s="42"/>
      <c r="IW535" s="42"/>
      <c r="IX535" s="42"/>
      <c r="IY535" s="42"/>
      <c r="IZ535" s="42"/>
      <c r="JA535" s="42"/>
      <c r="JB535" s="42"/>
      <c r="JC535" s="42"/>
      <c r="JD535" s="42"/>
      <c r="JE535" s="42"/>
      <c r="JF535" s="42"/>
      <c r="JG535" s="42"/>
      <c r="JH535" s="42"/>
      <c r="JI535" s="42"/>
      <c r="JJ535" s="42"/>
      <c r="JK535" s="42"/>
      <c r="JL535" s="42"/>
      <c r="JM535" s="42"/>
      <c r="JN535" s="42"/>
      <c r="JO535" s="42"/>
      <c r="JP535" s="42"/>
      <c r="JQ535" s="42"/>
      <c r="JR535" s="42"/>
      <c r="JS535" s="42"/>
      <c r="JT535" s="42"/>
      <c r="JU535" s="42"/>
      <c r="JV535" s="42"/>
      <c r="JW535" s="42"/>
      <c r="JX535" s="42"/>
      <c r="JY535" s="42"/>
      <c r="JZ535" s="42"/>
      <c r="KA535" s="42"/>
    </row>
    <row r="536" spans="1:287" ht="12.75">
      <c r="A536" s="89"/>
      <c r="B536" s="89"/>
      <c r="J536" s="19"/>
      <c r="Q536" s="19"/>
      <c r="Y536" s="19"/>
      <c r="AF536" s="19"/>
      <c r="II536" s="42"/>
      <c r="IJ536" s="42"/>
      <c r="IK536" s="42"/>
      <c r="IL536" s="42"/>
      <c r="IM536" s="42"/>
      <c r="IN536" s="42"/>
      <c r="IO536" s="42"/>
      <c r="IP536" s="42"/>
      <c r="IQ536" s="42"/>
      <c r="IR536" s="42"/>
      <c r="IS536" s="42"/>
      <c r="IT536" s="42"/>
      <c r="IU536" s="42"/>
      <c r="IV536" s="42"/>
      <c r="IW536" s="42"/>
      <c r="IX536" s="42"/>
      <c r="IY536" s="42"/>
      <c r="IZ536" s="42"/>
      <c r="JA536" s="42"/>
      <c r="JB536" s="42"/>
      <c r="JC536" s="42"/>
      <c r="JD536" s="42"/>
      <c r="JE536" s="42"/>
      <c r="JF536" s="42"/>
      <c r="JG536" s="42"/>
      <c r="JH536" s="42"/>
      <c r="JI536" s="42"/>
      <c r="JJ536" s="42"/>
      <c r="JK536" s="42"/>
      <c r="JL536" s="42"/>
      <c r="JM536" s="42"/>
      <c r="JN536" s="42"/>
      <c r="JO536" s="42"/>
      <c r="JP536" s="42"/>
      <c r="JQ536" s="42"/>
      <c r="JR536" s="42"/>
      <c r="JS536" s="42"/>
      <c r="JT536" s="42"/>
      <c r="JU536" s="42"/>
      <c r="JV536" s="42"/>
      <c r="JW536" s="42"/>
      <c r="JX536" s="42"/>
      <c r="JY536" s="42"/>
      <c r="JZ536" s="42"/>
      <c r="KA536" s="42"/>
    </row>
    <row r="537" spans="1:287" ht="12.75">
      <c r="A537" s="89"/>
      <c r="B537" s="89"/>
      <c r="J537" s="19"/>
      <c r="Q537" s="19"/>
      <c r="Y537" s="19"/>
      <c r="AF537" s="19"/>
      <c r="II537" s="42"/>
      <c r="IJ537" s="42"/>
      <c r="IK537" s="42"/>
      <c r="IL537" s="42"/>
      <c r="IM537" s="42"/>
      <c r="IN537" s="42"/>
      <c r="IO537" s="42"/>
      <c r="IP537" s="42"/>
      <c r="IQ537" s="42"/>
      <c r="IR537" s="42"/>
      <c r="IS537" s="42"/>
      <c r="IT537" s="42"/>
      <c r="IU537" s="42"/>
      <c r="IV537" s="42"/>
      <c r="IW537" s="42"/>
      <c r="IX537" s="42"/>
      <c r="IY537" s="42"/>
      <c r="IZ537" s="42"/>
      <c r="JA537" s="42"/>
      <c r="JB537" s="42"/>
      <c r="JC537" s="42"/>
      <c r="JD537" s="42"/>
      <c r="JE537" s="42"/>
      <c r="JF537" s="42"/>
      <c r="JG537" s="42"/>
      <c r="JH537" s="42"/>
      <c r="JI537" s="42"/>
      <c r="JJ537" s="42"/>
      <c r="JK537" s="42"/>
      <c r="JL537" s="42"/>
      <c r="JM537" s="42"/>
      <c r="JN537" s="42"/>
      <c r="JO537" s="42"/>
      <c r="JP537" s="42"/>
      <c r="JQ537" s="42"/>
      <c r="JR537" s="42"/>
      <c r="JS537" s="42"/>
      <c r="JT537" s="42"/>
      <c r="JU537" s="42"/>
      <c r="JV537" s="42"/>
      <c r="JW537" s="42"/>
      <c r="JX537" s="42"/>
      <c r="JY537" s="42"/>
      <c r="JZ537" s="42"/>
      <c r="KA537" s="42"/>
    </row>
    <row r="538" spans="1:287" ht="12.75">
      <c r="A538" s="89"/>
      <c r="B538" s="89"/>
      <c r="J538" s="19"/>
      <c r="Q538" s="19"/>
      <c r="Y538" s="19"/>
      <c r="AF538" s="19"/>
      <c r="II538" s="42"/>
      <c r="IJ538" s="42"/>
      <c r="IK538" s="42"/>
      <c r="IL538" s="42"/>
      <c r="IM538" s="42"/>
      <c r="IN538" s="42"/>
      <c r="IO538" s="42"/>
      <c r="IP538" s="42"/>
      <c r="IQ538" s="42"/>
      <c r="IR538" s="42"/>
      <c r="IS538" s="42"/>
      <c r="IT538" s="42"/>
      <c r="IU538" s="42"/>
      <c r="IV538" s="42"/>
      <c r="IW538" s="42"/>
      <c r="IX538" s="42"/>
      <c r="IY538" s="42"/>
      <c r="IZ538" s="42"/>
      <c r="JA538" s="42"/>
      <c r="JB538" s="42"/>
      <c r="JC538" s="42"/>
      <c r="JD538" s="42"/>
      <c r="JE538" s="42"/>
      <c r="JF538" s="42"/>
      <c r="JG538" s="42"/>
      <c r="JH538" s="42"/>
      <c r="JI538" s="42"/>
      <c r="JJ538" s="42"/>
      <c r="JK538" s="42"/>
      <c r="JL538" s="42"/>
      <c r="JM538" s="42"/>
      <c r="JN538" s="42"/>
      <c r="JO538" s="42"/>
      <c r="JP538" s="42"/>
      <c r="JQ538" s="42"/>
      <c r="JR538" s="42"/>
      <c r="JS538" s="42"/>
      <c r="JT538" s="42"/>
      <c r="JU538" s="42"/>
      <c r="JV538" s="42"/>
      <c r="JW538" s="42"/>
      <c r="JX538" s="42"/>
      <c r="JY538" s="42"/>
      <c r="JZ538" s="42"/>
      <c r="KA538" s="42"/>
    </row>
    <row r="539" spans="1:287" ht="12.75">
      <c r="A539" s="89"/>
      <c r="B539" s="89"/>
      <c r="J539" s="19"/>
      <c r="Q539" s="19"/>
      <c r="Y539" s="19"/>
      <c r="AF539" s="19"/>
      <c r="II539" s="42"/>
      <c r="IJ539" s="42"/>
      <c r="IK539" s="42"/>
      <c r="IL539" s="42"/>
      <c r="IM539" s="42"/>
      <c r="IN539" s="42"/>
      <c r="IO539" s="42"/>
      <c r="IP539" s="42"/>
      <c r="IQ539" s="42"/>
      <c r="IR539" s="42"/>
      <c r="IS539" s="42"/>
      <c r="IT539" s="42"/>
      <c r="IU539" s="42"/>
      <c r="IV539" s="42"/>
      <c r="IW539" s="42"/>
      <c r="IX539" s="42"/>
      <c r="IY539" s="42"/>
      <c r="IZ539" s="42"/>
      <c r="JA539" s="42"/>
      <c r="JB539" s="42"/>
      <c r="JC539" s="42"/>
      <c r="JD539" s="42"/>
      <c r="JE539" s="42"/>
      <c r="JF539" s="42"/>
      <c r="JG539" s="42"/>
      <c r="JH539" s="42"/>
      <c r="JI539" s="42"/>
      <c r="JJ539" s="42"/>
      <c r="JK539" s="42"/>
      <c r="JL539" s="42"/>
      <c r="JM539" s="42"/>
      <c r="JN539" s="42"/>
      <c r="JO539" s="42"/>
      <c r="JP539" s="42"/>
      <c r="JQ539" s="42"/>
      <c r="JR539" s="42"/>
      <c r="JS539" s="42"/>
      <c r="JT539" s="42"/>
      <c r="JU539" s="42"/>
      <c r="JV539" s="42"/>
      <c r="JW539" s="42"/>
      <c r="JX539" s="42"/>
      <c r="JY539" s="42"/>
      <c r="JZ539" s="42"/>
      <c r="KA539" s="42"/>
    </row>
    <row r="540" spans="1:287" ht="12.75">
      <c r="A540" s="89"/>
      <c r="B540" s="89"/>
      <c r="J540" s="19"/>
      <c r="Q540" s="19"/>
      <c r="Y540" s="19"/>
      <c r="AF540" s="19"/>
      <c r="II540" s="42"/>
      <c r="IJ540" s="42"/>
      <c r="IK540" s="42"/>
      <c r="IL540" s="42"/>
      <c r="IM540" s="42"/>
      <c r="IN540" s="42"/>
      <c r="IO540" s="42"/>
      <c r="IP540" s="42"/>
      <c r="IQ540" s="42"/>
      <c r="IR540" s="42"/>
      <c r="IS540" s="42"/>
      <c r="IT540" s="42"/>
      <c r="IU540" s="42"/>
      <c r="IV540" s="42"/>
      <c r="IW540" s="42"/>
      <c r="IX540" s="42"/>
      <c r="IY540" s="42"/>
      <c r="IZ540" s="42"/>
      <c r="JA540" s="42"/>
      <c r="JB540" s="42"/>
      <c r="JC540" s="42"/>
      <c r="JD540" s="42"/>
      <c r="JE540" s="42"/>
      <c r="JF540" s="42"/>
      <c r="JG540" s="42"/>
      <c r="JH540" s="42"/>
      <c r="JI540" s="42"/>
      <c r="JJ540" s="42"/>
      <c r="JK540" s="42"/>
      <c r="JL540" s="42"/>
      <c r="JM540" s="42"/>
      <c r="JN540" s="42"/>
      <c r="JO540" s="42"/>
      <c r="JP540" s="42"/>
      <c r="JQ540" s="42"/>
      <c r="JR540" s="42"/>
      <c r="JS540" s="42"/>
      <c r="JT540" s="42"/>
      <c r="JU540" s="42"/>
      <c r="JV540" s="42"/>
      <c r="JW540" s="42"/>
      <c r="JX540" s="42"/>
      <c r="JY540" s="42"/>
      <c r="JZ540" s="42"/>
      <c r="KA540" s="42"/>
    </row>
    <row r="541" spans="1:287" ht="12.75">
      <c r="A541" s="89"/>
      <c r="B541" s="89"/>
      <c r="J541" s="19"/>
      <c r="Q541" s="19"/>
      <c r="Y541" s="19"/>
      <c r="AF541" s="19"/>
      <c r="II541" s="42"/>
      <c r="IJ541" s="42"/>
      <c r="IK541" s="42"/>
      <c r="IL541" s="42"/>
      <c r="IM541" s="42"/>
      <c r="IN541" s="42"/>
      <c r="IO541" s="42"/>
      <c r="IP541" s="42"/>
      <c r="IQ541" s="42"/>
      <c r="IR541" s="42"/>
      <c r="IS541" s="42"/>
      <c r="IT541" s="42"/>
      <c r="IU541" s="42"/>
      <c r="IV541" s="42"/>
      <c r="IW541" s="42"/>
      <c r="IX541" s="42"/>
      <c r="IY541" s="42"/>
      <c r="IZ541" s="42"/>
      <c r="JA541" s="42"/>
      <c r="JB541" s="42"/>
      <c r="JC541" s="42"/>
      <c r="JD541" s="42"/>
      <c r="JE541" s="42"/>
      <c r="JF541" s="42"/>
      <c r="JG541" s="42"/>
      <c r="JH541" s="42"/>
      <c r="JI541" s="42"/>
      <c r="JJ541" s="42"/>
      <c r="JK541" s="42"/>
      <c r="JL541" s="42"/>
      <c r="JM541" s="42"/>
      <c r="JN541" s="42"/>
      <c r="JO541" s="42"/>
      <c r="JP541" s="42"/>
      <c r="JQ541" s="42"/>
      <c r="JR541" s="42"/>
      <c r="JS541" s="42"/>
      <c r="JT541" s="42"/>
      <c r="JU541" s="42"/>
      <c r="JV541" s="42"/>
      <c r="JW541" s="42"/>
      <c r="JX541" s="42"/>
      <c r="JY541" s="42"/>
      <c r="JZ541" s="42"/>
      <c r="KA541" s="42"/>
    </row>
    <row r="542" spans="1:287" ht="12.75">
      <c r="A542" s="89"/>
      <c r="B542" s="89"/>
      <c r="J542" s="19"/>
      <c r="Q542" s="19"/>
      <c r="Y542" s="19"/>
      <c r="AF542" s="19"/>
      <c r="II542" s="42"/>
      <c r="IJ542" s="42"/>
      <c r="IK542" s="42"/>
      <c r="IL542" s="42"/>
      <c r="IM542" s="42"/>
      <c r="IN542" s="42"/>
      <c r="IO542" s="42"/>
      <c r="IP542" s="42"/>
      <c r="IQ542" s="42"/>
      <c r="IR542" s="42"/>
      <c r="IS542" s="42"/>
      <c r="IT542" s="42"/>
      <c r="IU542" s="42"/>
      <c r="IV542" s="42"/>
      <c r="IW542" s="42"/>
      <c r="IX542" s="42"/>
      <c r="IY542" s="42"/>
      <c r="IZ542" s="42"/>
      <c r="JA542" s="42"/>
      <c r="JB542" s="42"/>
      <c r="JC542" s="42"/>
      <c r="JD542" s="42"/>
      <c r="JE542" s="42"/>
      <c r="JF542" s="42"/>
      <c r="JG542" s="42"/>
      <c r="JH542" s="42"/>
      <c r="JI542" s="42"/>
      <c r="JJ542" s="42"/>
      <c r="JK542" s="42"/>
      <c r="JL542" s="42"/>
      <c r="JM542" s="42"/>
      <c r="JN542" s="42"/>
      <c r="JO542" s="42"/>
      <c r="JP542" s="42"/>
      <c r="JQ542" s="42"/>
      <c r="JR542" s="42"/>
      <c r="JS542" s="42"/>
      <c r="JT542" s="42"/>
      <c r="JU542" s="42"/>
      <c r="JV542" s="42"/>
      <c r="JW542" s="42"/>
      <c r="JX542" s="42"/>
      <c r="JY542" s="42"/>
      <c r="JZ542" s="42"/>
      <c r="KA542" s="42"/>
    </row>
    <row r="543" spans="1:287" ht="12.75">
      <c r="A543" s="89"/>
      <c r="B543" s="89"/>
      <c r="J543" s="19"/>
      <c r="Q543" s="19"/>
      <c r="Y543" s="19"/>
      <c r="AF543" s="19"/>
      <c r="II543" s="42"/>
      <c r="IJ543" s="42"/>
      <c r="IK543" s="42"/>
      <c r="IL543" s="42"/>
      <c r="IM543" s="42"/>
      <c r="IN543" s="42"/>
      <c r="IO543" s="42"/>
      <c r="IP543" s="42"/>
      <c r="IQ543" s="42"/>
      <c r="IR543" s="42"/>
      <c r="IS543" s="42"/>
      <c r="IT543" s="42"/>
      <c r="IU543" s="42"/>
      <c r="IV543" s="42"/>
      <c r="IW543" s="42"/>
      <c r="IX543" s="42"/>
      <c r="IY543" s="42"/>
      <c r="IZ543" s="42"/>
      <c r="JA543" s="42"/>
      <c r="JB543" s="42"/>
      <c r="JC543" s="42"/>
      <c r="JD543" s="42"/>
      <c r="JE543" s="42"/>
      <c r="JF543" s="42"/>
      <c r="JG543" s="42"/>
      <c r="JH543" s="42"/>
      <c r="JI543" s="42"/>
      <c r="JJ543" s="42"/>
      <c r="JK543" s="42"/>
      <c r="JL543" s="42"/>
      <c r="JM543" s="42"/>
      <c r="JN543" s="42"/>
      <c r="JO543" s="42"/>
      <c r="JP543" s="42"/>
      <c r="JQ543" s="42"/>
      <c r="JR543" s="42"/>
      <c r="JS543" s="42"/>
      <c r="JT543" s="42"/>
      <c r="JU543" s="42"/>
      <c r="JV543" s="42"/>
      <c r="JW543" s="42"/>
      <c r="JX543" s="42"/>
      <c r="JY543" s="42"/>
      <c r="JZ543" s="42"/>
      <c r="KA543" s="42"/>
    </row>
    <row r="544" spans="1:287" ht="12.75">
      <c r="A544" s="89"/>
      <c r="B544" s="89"/>
      <c r="J544" s="19"/>
      <c r="Q544" s="19"/>
      <c r="Y544" s="19"/>
      <c r="AF544" s="19"/>
      <c r="II544" s="42"/>
      <c r="IJ544" s="42"/>
      <c r="IK544" s="42"/>
      <c r="IL544" s="42"/>
      <c r="IM544" s="42"/>
      <c r="IN544" s="42"/>
      <c r="IO544" s="42"/>
      <c r="IP544" s="42"/>
      <c r="IQ544" s="42"/>
      <c r="IR544" s="42"/>
      <c r="IS544" s="42"/>
      <c r="IT544" s="42"/>
      <c r="IU544" s="42"/>
      <c r="IV544" s="42"/>
      <c r="IW544" s="42"/>
      <c r="IX544" s="42"/>
      <c r="IY544" s="42"/>
      <c r="IZ544" s="42"/>
      <c r="JA544" s="42"/>
      <c r="JB544" s="42"/>
      <c r="JC544" s="42"/>
      <c r="JD544" s="42"/>
      <c r="JE544" s="42"/>
      <c r="JF544" s="42"/>
      <c r="JG544" s="42"/>
      <c r="JH544" s="42"/>
      <c r="JI544" s="42"/>
      <c r="JJ544" s="42"/>
      <c r="JK544" s="42"/>
      <c r="JL544" s="42"/>
      <c r="JM544" s="42"/>
      <c r="JN544" s="42"/>
      <c r="JO544" s="42"/>
      <c r="JP544" s="42"/>
      <c r="JQ544" s="42"/>
      <c r="JR544" s="42"/>
      <c r="JS544" s="42"/>
      <c r="JT544" s="42"/>
      <c r="JU544" s="42"/>
      <c r="JV544" s="42"/>
      <c r="JW544" s="42"/>
      <c r="JX544" s="42"/>
      <c r="JY544" s="42"/>
      <c r="JZ544" s="42"/>
      <c r="KA544" s="42"/>
    </row>
    <row r="545" spans="1:287" ht="12.75">
      <c r="A545" s="89"/>
      <c r="B545" s="89"/>
      <c r="J545" s="19"/>
      <c r="Q545" s="19"/>
      <c r="Y545" s="19"/>
      <c r="AF545" s="19"/>
      <c r="II545" s="42"/>
      <c r="IJ545" s="42"/>
      <c r="IK545" s="42"/>
      <c r="IL545" s="42"/>
      <c r="IM545" s="42"/>
      <c r="IN545" s="42"/>
      <c r="IO545" s="42"/>
      <c r="IP545" s="42"/>
      <c r="IQ545" s="42"/>
      <c r="IR545" s="42"/>
      <c r="IS545" s="42"/>
      <c r="IT545" s="42"/>
      <c r="IU545" s="42"/>
      <c r="IV545" s="42"/>
      <c r="IW545" s="42"/>
      <c r="IX545" s="42"/>
      <c r="IY545" s="42"/>
      <c r="IZ545" s="42"/>
      <c r="JA545" s="42"/>
      <c r="JB545" s="42"/>
      <c r="JC545" s="42"/>
      <c r="JD545" s="42"/>
      <c r="JE545" s="42"/>
      <c r="JF545" s="42"/>
      <c r="JG545" s="42"/>
      <c r="JH545" s="42"/>
      <c r="JI545" s="42"/>
      <c r="JJ545" s="42"/>
      <c r="JK545" s="42"/>
      <c r="JL545" s="42"/>
      <c r="JM545" s="42"/>
      <c r="JN545" s="42"/>
      <c r="JO545" s="42"/>
      <c r="JP545" s="42"/>
      <c r="JQ545" s="42"/>
      <c r="JR545" s="42"/>
      <c r="JS545" s="42"/>
      <c r="JT545" s="42"/>
      <c r="JU545" s="42"/>
      <c r="JV545" s="42"/>
      <c r="JW545" s="42"/>
      <c r="JX545" s="42"/>
      <c r="JY545" s="42"/>
      <c r="JZ545" s="42"/>
      <c r="KA545" s="42"/>
    </row>
    <row r="546" spans="1:287" ht="12.75">
      <c r="A546" s="89"/>
      <c r="B546" s="89"/>
      <c r="J546" s="19"/>
      <c r="Q546" s="19"/>
      <c r="Y546" s="19"/>
      <c r="AF546" s="19"/>
      <c r="II546" s="42"/>
      <c r="IJ546" s="42"/>
      <c r="IK546" s="42"/>
      <c r="IL546" s="42"/>
      <c r="IM546" s="42"/>
      <c r="IN546" s="42"/>
      <c r="IO546" s="42"/>
      <c r="IP546" s="42"/>
      <c r="IQ546" s="42"/>
      <c r="IR546" s="42"/>
      <c r="IS546" s="42"/>
      <c r="IT546" s="42"/>
      <c r="IU546" s="42"/>
      <c r="IV546" s="42"/>
      <c r="IW546" s="42"/>
      <c r="IX546" s="42"/>
      <c r="IY546" s="42"/>
      <c r="IZ546" s="42"/>
      <c r="JA546" s="42"/>
      <c r="JB546" s="42"/>
      <c r="JC546" s="42"/>
      <c r="JD546" s="42"/>
      <c r="JE546" s="42"/>
      <c r="JF546" s="42"/>
      <c r="JG546" s="42"/>
      <c r="JH546" s="42"/>
      <c r="JI546" s="42"/>
      <c r="JJ546" s="42"/>
      <c r="JK546" s="42"/>
      <c r="JL546" s="42"/>
      <c r="JM546" s="42"/>
      <c r="JN546" s="42"/>
      <c r="JO546" s="42"/>
      <c r="JP546" s="42"/>
      <c r="JQ546" s="42"/>
      <c r="JR546" s="42"/>
      <c r="JS546" s="42"/>
      <c r="JT546" s="42"/>
      <c r="JU546" s="42"/>
      <c r="JV546" s="42"/>
      <c r="JW546" s="42"/>
      <c r="JX546" s="42"/>
      <c r="JY546" s="42"/>
      <c r="JZ546" s="42"/>
      <c r="KA546" s="42"/>
    </row>
    <row r="547" spans="1:287" ht="12.75">
      <c r="A547" s="89"/>
      <c r="B547" s="89"/>
      <c r="J547" s="19"/>
      <c r="Q547" s="19"/>
      <c r="Y547" s="19"/>
      <c r="AF547" s="19"/>
      <c r="II547" s="42"/>
      <c r="IJ547" s="42"/>
      <c r="IK547" s="42"/>
      <c r="IL547" s="42"/>
      <c r="IM547" s="42"/>
      <c r="IN547" s="42"/>
      <c r="IO547" s="42"/>
      <c r="IP547" s="42"/>
      <c r="IQ547" s="42"/>
      <c r="IR547" s="42"/>
      <c r="IS547" s="42"/>
      <c r="IT547" s="42"/>
      <c r="IU547" s="42"/>
      <c r="IV547" s="42"/>
      <c r="IW547" s="42"/>
      <c r="IX547" s="42"/>
      <c r="IY547" s="42"/>
      <c r="IZ547" s="42"/>
      <c r="JA547" s="42"/>
      <c r="JB547" s="42"/>
      <c r="JC547" s="42"/>
      <c r="JD547" s="42"/>
      <c r="JE547" s="42"/>
      <c r="JF547" s="42"/>
      <c r="JG547" s="42"/>
      <c r="JH547" s="42"/>
      <c r="JI547" s="42"/>
      <c r="JJ547" s="42"/>
      <c r="JK547" s="42"/>
      <c r="JL547" s="42"/>
      <c r="JM547" s="42"/>
      <c r="JN547" s="42"/>
      <c r="JO547" s="42"/>
      <c r="JP547" s="42"/>
      <c r="JQ547" s="42"/>
      <c r="JR547" s="42"/>
      <c r="JS547" s="42"/>
      <c r="JT547" s="42"/>
      <c r="JU547" s="42"/>
      <c r="JV547" s="42"/>
      <c r="JW547" s="42"/>
      <c r="JX547" s="42"/>
      <c r="JY547" s="42"/>
      <c r="JZ547" s="42"/>
      <c r="KA547" s="42"/>
    </row>
    <row r="548" spans="1:287" ht="12.75">
      <c r="A548" s="89"/>
      <c r="B548" s="89"/>
      <c r="J548" s="19"/>
      <c r="Q548" s="19"/>
      <c r="Y548" s="19"/>
      <c r="AF548" s="19"/>
      <c r="II548" s="42"/>
      <c r="IJ548" s="42"/>
      <c r="IK548" s="42"/>
      <c r="IL548" s="42"/>
      <c r="IM548" s="42"/>
      <c r="IN548" s="42"/>
      <c r="IO548" s="42"/>
      <c r="IP548" s="42"/>
      <c r="IQ548" s="42"/>
      <c r="IR548" s="42"/>
      <c r="IS548" s="42"/>
      <c r="IT548" s="42"/>
      <c r="IU548" s="42"/>
      <c r="IV548" s="42"/>
      <c r="IW548" s="42"/>
      <c r="IX548" s="42"/>
      <c r="IY548" s="42"/>
      <c r="IZ548" s="42"/>
      <c r="JA548" s="42"/>
      <c r="JB548" s="42"/>
      <c r="JC548" s="42"/>
      <c r="JD548" s="42"/>
      <c r="JE548" s="42"/>
      <c r="JF548" s="42"/>
      <c r="JG548" s="42"/>
      <c r="JH548" s="42"/>
      <c r="JI548" s="42"/>
      <c r="JJ548" s="42"/>
      <c r="JK548" s="42"/>
      <c r="JL548" s="42"/>
      <c r="JM548" s="42"/>
      <c r="JN548" s="42"/>
      <c r="JO548" s="42"/>
      <c r="JP548" s="42"/>
      <c r="JQ548" s="42"/>
      <c r="JR548" s="42"/>
      <c r="JS548" s="42"/>
      <c r="JT548" s="42"/>
      <c r="JU548" s="42"/>
      <c r="JV548" s="42"/>
      <c r="JW548" s="42"/>
      <c r="JX548" s="42"/>
      <c r="JY548" s="42"/>
      <c r="JZ548" s="42"/>
      <c r="KA548" s="42"/>
    </row>
    <row r="549" spans="1:287" ht="12.75">
      <c r="A549" s="89"/>
      <c r="B549" s="89"/>
      <c r="J549" s="19"/>
      <c r="Q549" s="19"/>
      <c r="Y549" s="19"/>
      <c r="AF549" s="19"/>
      <c r="II549" s="42"/>
      <c r="IJ549" s="42"/>
      <c r="IK549" s="42"/>
      <c r="IL549" s="42"/>
      <c r="IM549" s="42"/>
      <c r="IN549" s="42"/>
      <c r="IO549" s="42"/>
      <c r="IP549" s="42"/>
      <c r="IQ549" s="42"/>
      <c r="IR549" s="42"/>
      <c r="IS549" s="42"/>
      <c r="IT549" s="42"/>
      <c r="IU549" s="42"/>
      <c r="IV549" s="42"/>
      <c r="IW549" s="42"/>
      <c r="IX549" s="42"/>
      <c r="IY549" s="42"/>
      <c r="IZ549" s="42"/>
      <c r="JA549" s="42"/>
      <c r="JB549" s="42"/>
      <c r="JC549" s="42"/>
      <c r="JD549" s="42"/>
      <c r="JE549" s="42"/>
      <c r="JF549" s="42"/>
      <c r="JG549" s="42"/>
      <c r="JH549" s="42"/>
      <c r="JI549" s="42"/>
      <c r="JJ549" s="42"/>
      <c r="JK549" s="42"/>
      <c r="JL549" s="42"/>
      <c r="JM549" s="42"/>
      <c r="JN549" s="42"/>
      <c r="JO549" s="42"/>
      <c r="JP549" s="42"/>
      <c r="JQ549" s="42"/>
      <c r="JR549" s="42"/>
      <c r="JS549" s="42"/>
      <c r="JT549" s="42"/>
      <c r="JU549" s="42"/>
      <c r="JV549" s="42"/>
      <c r="JW549" s="42"/>
      <c r="JX549" s="42"/>
      <c r="JY549" s="42"/>
      <c r="JZ549" s="42"/>
      <c r="KA549" s="42"/>
    </row>
    <row r="550" spans="1:287" ht="12.75">
      <c r="A550" s="89"/>
      <c r="B550" s="89"/>
      <c r="J550" s="19"/>
      <c r="Q550" s="19"/>
      <c r="Y550" s="19"/>
      <c r="AF550" s="19"/>
      <c r="II550" s="42"/>
      <c r="IJ550" s="42"/>
      <c r="IK550" s="42"/>
      <c r="IL550" s="42"/>
      <c r="IM550" s="42"/>
      <c r="IN550" s="42"/>
      <c r="IO550" s="42"/>
      <c r="IP550" s="42"/>
      <c r="IQ550" s="42"/>
      <c r="IR550" s="42"/>
      <c r="IS550" s="42"/>
      <c r="IT550" s="42"/>
      <c r="IU550" s="42"/>
      <c r="IV550" s="42"/>
      <c r="IW550" s="42"/>
      <c r="IX550" s="42"/>
      <c r="IY550" s="42"/>
      <c r="IZ550" s="42"/>
      <c r="JA550" s="42"/>
      <c r="JB550" s="42"/>
      <c r="JC550" s="42"/>
      <c r="JD550" s="42"/>
      <c r="JE550" s="42"/>
      <c r="JF550" s="42"/>
      <c r="JG550" s="42"/>
      <c r="JH550" s="42"/>
      <c r="JI550" s="42"/>
      <c r="JJ550" s="42"/>
      <c r="JK550" s="42"/>
      <c r="JL550" s="42"/>
      <c r="JM550" s="42"/>
      <c r="JN550" s="42"/>
      <c r="JO550" s="42"/>
      <c r="JP550" s="42"/>
      <c r="JQ550" s="42"/>
      <c r="JR550" s="42"/>
      <c r="JS550" s="42"/>
      <c r="JT550" s="42"/>
      <c r="JU550" s="42"/>
      <c r="JV550" s="42"/>
      <c r="JW550" s="42"/>
      <c r="JX550" s="42"/>
      <c r="JY550" s="42"/>
      <c r="JZ550" s="42"/>
      <c r="KA550" s="42"/>
    </row>
    <row r="551" spans="1:287" ht="12.75">
      <c r="A551" s="89"/>
      <c r="B551" s="89"/>
      <c r="J551" s="19"/>
      <c r="Q551" s="19"/>
      <c r="Y551" s="19"/>
      <c r="AF551" s="19"/>
      <c r="II551" s="42"/>
      <c r="IJ551" s="42"/>
      <c r="IK551" s="42"/>
      <c r="IL551" s="42"/>
      <c r="IM551" s="42"/>
      <c r="IN551" s="42"/>
      <c r="IO551" s="42"/>
      <c r="IP551" s="42"/>
      <c r="IQ551" s="42"/>
      <c r="IR551" s="42"/>
      <c r="IS551" s="42"/>
      <c r="IT551" s="42"/>
      <c r="IU551" s="42"/>
      <c r="IV551" s="42"/>
      <c r="IW551" s="42"/>
      <c r="IX551" s="42"/>
      <c r="IY551" s="42"/>
      <c r="IZ551" s="42"/>
      <c r="JA551" s="42"/>
      <c r="JB551" s="42"/>
      <c r="JC551" s="42"/>
      <c r="JD551" s="42"/>
      <c r="JE551" s="42"/>
      <c r="JF551" s="42"/>
      <c r="JG551" s="42"/>
      <c r="JH551" s="42"/>
      <c r="JI551" s="42"/>
      <c r="JJ551" s="42"/>
      <c r="JK551" s="42"/>
      <c r="JL551" s="42"/>
      <c r="JM551" s="42"/>
      <c r="JN551" s="42"/>
      <c r="JO551" s="42"/>
      <c r="JP551" s="42"/>
      <c r="JQ551" s="42"/>
      <c r="JR551" s="42"/>
      <c r="JS551" s="42"/>
      <c r="JT551" s="42"/>
      <c r="JU551" s="42"/>
      <c r="JV551" s="42"/>
      <c r="JW551" s="42"/>
      <c r="JX551" s="42"/>
      <c r="JY551" s="42"/>
      <c r="JZ551" s="42"/>
      <c r="KA551" s="42"/>
    </row>
    <row r="552" spans="1:287" ht="12.75">
      <c r="A552" s="89"/>
      <c r="B552" s="89"/>
      <c r="J552" s="19"/>
      <c r="Q552" s="19"/>
      <c r="Y552" s="19"/>
      <c r="AF552" s="19"/>
      <c r="II552" s="42"/>
      <c r="IJ552" s="42"/>
      <c r="IK552" s="42"/>
      <c r="IL552" s="42"/>
      <c r="IM552" s="42"/>
      <c r="IN552" s="42"/>
      <c r="IO552" s="42"/>
      <c r="IP552" s="42"/>
      <c r="IQ552" s="42"/>
      <c r="IR552" s="42"/>
      <c r="IS552" s="42"/>
      <c r="IT552" s="42"/>
      <c r="IU552" s="42"/>
      <c r="IV552" s="42"/>
      <c r="IW552" s="42"/>
      <c r="IX552" s="42"/>
      <c r="IY552" s="42"/>
      <c r="IZ552" s="42"/>
      <c r="JA552" s="42"/>
      <c r="JB552" s="42"/>
      <c r="JC552" s="42"/>
      <c r="JD552" s="42"/>
      <c r="JE552" s="42"/>
      <c r="JF552" s="42"/>
      <c r="JG552" s="42"/>
      <c r="JH552" s="42"/>
      <c r="JI552" s="42"/>
      <c r="JJ552" s="42"/>
      <c r="JK552" s="42"/>
      <c r="JL552" s="42"/>
      <c r="JM552" s="42"/>
      <c r="JN552" s="42"/>
      <c r="JO552" s="42"/>
      <c r="JP552" s="42"/>
      <c r="JQ552" s="42"/>
      <c r="JR552" s="42"/>
      <c r="JS552" s="42"/>
      <c r="JT552" s="42"/>
      <c r="JU552" s="42"/>
      <c r="JV552" s="42"/>
      <c r="JW552" s="42"/>
      <c r="JX552" s="42"/>
      <c r="JY552" s="42"/>
      <c r="JZ552" s="42"/>
      <c r="KA552" s="42"/>
    </row>
    <row r="553" spans="1:287" ht="12.75">
      <c r="A553" s="89"/>
      <c r="B553" s="89"/>
      <c r="J553" s="19"/>
      <c r="Q553" s="19"/>
      <c r="Y553" s="19"/>
      <c r="AF553" s="19"/>
      <c r="II553" s="42"/>
      <c r="IJ553" s="42"/>
      <c r="IK553" s="42"/>
      <c r="IL553" s="42"/>
      <c r="IM553" s="42"/>
      <c r="IN553" s="42"/>
      <c r="IO553" s="42"/>
      <c r="IP553" s="42"/>
      <c r="IQ553" s="42"/>
      <c r="IR553" s="42"/>
      <c r="IS553" s="42"/>
      <c r="IT553" s="42"/>
      <c r="IU553" s="42"/>
      <c r="IV553" s="42"/>
      <c r="IW553" s="42"/>
      <c r="IX553" s="42"/>
      <c r="IY553" s="42"/>
      <c r="IZ553" s="42"/>
      <c r="JA553" s="42"/>
      <c r="JB553" s="42"/>
      <c r="JC553" s="42"/>
      <c r="JD553" s="42"/>
      <c r="JE553" s="42"/>
      <c r="JF553" s="42"/>
      <c r="JG553" s="42"/>
      <c r="JH553" s="42"/>
      <c r="JI553" s="42"/>
      <c r="JJ553" s="42"/>
      <c r="JK553" s="42"/>
      <c r="JL553" s="42"/>
      <c r="JM553" s="42"/>
      <c r="JN553" s="42"/>
      <c r="JO553" s="42"/>
      <c r="JP553" s="42"/>
      <c r="JQ553" s="42"/>
      <c r="JR553" s="42"/>
      <c r="JS553" s="42"/>
      <c r="JT553" s="42"/>
      <c r="JU553" s="42"/>
      <c r="JV553" s="42"/>
      <c r="JW553" s="42"/>
      <c r="JX553" s="42"/>
      <c r="JY553" s="42"/>
      <c r="JZ553" s="42"/>
      <c r="KA553" s="42"/>
    </row>
    <row r="554" spans="1:287" ht="12.75">
      <c r="A554" s="89"/>
      <c r="B554" s="89"/>
      <c r="J554" s="19"/>
      <c r="Q554" s="19"/>
      <c r="Y554" s="19"/>
      <c r="AF554" s="19"/>
      <c r="II554" s="42"/>
      <c r="IJ554" s="42"/>
      <c r="IK554" s="42"/>
      <c r="IL554" s="42"/>
      <c r="IM554" s="42"/>
      <c r="IN554" s="42"/>
      <c r="IO554" s="42"/>
      <c r="IP554" s="42"/>
      <c r="IQ554" s="42"/>
      <c r="IR554" s="42"/>
      <c r="IS554" s="42"/>
      <c r="IT554" s="42"/>
      <c r="IU554" s="42"/>
      <c r="IV554" s="42"/>
      <c r="IW554" s="42"/>
      <c r="IX554" s="42"/>
      <c r="IY554" s="42"/>
      <c r="IZ554" s="42"/>
      <c r="JA554" s="42"/>
      <c r="JB554" s="42"/>
      <c r="JC554" s="42"/>
      <c r="JD554" s="42"/>
      <c r="JE554" s="42"/>
      <c r="JF554" s="42"/>
      <c r="JG554" s="42"/>
      <c r="JH554" s="42"/>
      <c r="JI554" s="42"/>
      <c r="JJ554" s="42"/>
      <c r="JK554" s="42"/>
      <c r="JL554" s="42"/>
      <c r="JM554" s="42"/>
      <c r="JN554" s="42"/>
      <c r="JO554" s="42"/>
      <c r="JP554" s="42"/>
      <c r="JQ554" s="42"/>
      <c r="JR554" s="42"/>
      <c r="JS554" s="42"/>
      <c r="JT554" s="42"/>
      <c r="JU554" s="42"/>
      <c r="JV554" s="42"/>
      <c r="JW554" s="42"/>
      <c r="JX554" s="42"/>
      <c r="JY554" s="42"/>
      <c r="JZ554" s="42"/>
      <c r="KA554" s="42"/>
    </row>
    <row r="555" spans="1:287" ht="12.75">
      <c r="A555" s="89"/>
      <c r="B555" s="89"/>
      <c r="J555" s="19"/>
      <c r="Q555" s="19"/>
      <c r="Y555" s="19"/>
      <c r="AF555" s="19"/>
      <c r="II555" s="42"/>
      <c r="IJ555" s="42"/>
      <c r="IK555" s="42"/>
      <c r="IL555" s="42"/>
      <c r="IM555" s="42"/>
      <c r="IN555" s="42"/>
      <c r="IO555" s="42"/>
      <c r="IP555" s="42"/>
      <c r="IQ555" s="42"/>
      <c r="IR555" s="42"/>
      <c r="IS555" s="42"/>
      <c r="IT555" s="42"/>
      <c r="IU555" s="42"/>
      <c r="IV555" s="42"/>
      <c r="IW555" s="42"/>
      <c r="IX555" s="42"/>
      <c r="IY555" s="42"/>
      <c r="IZ555" s="42"/>
      <c r="JA555" s="42"/>
      <c r="JB555" s="42"/>
      <c r="JC555" s="42"/>
      <c r="JD555" s="42"/>
      <c r="JE555" s="42"/>
      <c r="JF555" s="42"/>
      <c r="JG555" s="42"/>
      <c r="JH555" s="42"/>
      <c r="JI555" s="42"/>
      <c r="JJ555" s="42"/>
      <c r="JK555" s="42"/>
      <c r="JL555" s="42"/>
      <c r="JM555" s="42"/>
      <c r="JN555" s="42"/>
      <c r="JO555" s="42"/>
      <c r="JP555" s="42"/>
      <c r="JQ555" s="42"/>
      <c r="JR555" s="42"/>
      <c r="JS555" s="42"/>
      <c r="JT555" s="42"/>
      <c r="JU555" s="42"/>
      <c r="JV555" s="42"/>
      <c r="JW555" s="42"/>
      <c r="JX555" s="42"/>
      <c r="JY555" s="42"/>
      <c r="JZ555" s="42"/>
      <c r="KA555" s="42"/>
    </row>
    <row r="556" spans="1:287" ht="12.75">
      <c r="A556" s="89"/>
      <c r="B556" s="89"/>
      <c r="J556" s="19"/>
      <c r="Q556" s="19"/>
      <c r="Y556" s="19"/>
      <c r="AF556" s="19"/>
      <c r="II556" s="42"/>
      <c r="IJ556" s="42"/>
      <c r="IK556" s="42"/>
      <c r="IL556" s="42"/>
      <c r="IM556" s="42"/>
      <c r="IN556" s="42"/>
      <c r="IO556" s="42"/>
      <c r="IP556" s="42"/>
      <c r="IQ556" s="42"/>
      <c r="IR556" s="42"/>
      <c r="IS556" s="42"/>
      <c r="IT556" s="42"/>
      <c r="IU556" s="42"/>
      <c r="IV556" s="42"/>
      <c r="IW556" s="42"/>
      <c r="IX556" s="42"/>
      <c r="IY556" s="42"/>
      <c r="IZ556" s="42"/>
      <c r="JA556" s="42"/>
      <c r="JB556" s="42"/>
      <c r="JC556" s="42"/>
      <c r="JD556" s="42"/>
      <c r="JE556" s="42"/>
      <c r="JF556" s="42"/>
      <c r="JG556" s="42"/>
      <c r="JH556" s="42"/>
      <c r="JI556" s="42"/>
      <c r="JJ556" s="42"/>
      <c r="JK556" s="42"/>
      <c r="JL556" s="42"/>
      <c r="JM556" s="42"/>
      <c r="JN556" s="42"/>
      <c r="JO556" s="42"/>
      <c r="JP556" s="42"/>
      <c r="JQ556" s="42"/>
      <c r="JR556" s="42"/>
      <c r="JS556" s="42"/>
      <c r="JT556" s="42"/>
      <c r="JU556" s="42"/>
      <c r="JV556" s="42"/>
      <c r="JW556" s="42"/>
      <c r="JX556" s="42"/>
      <c r="JY556" s="42"/>
      <c r="JZ556" s="42"/>
      <c r="KA556" s="42"/>
    </row>
    <row r="557" spans="1:287" ht="12.75">
      <c r="A557" s="89"/>
      <c r="B557" s="89"/>
      <c r="J557" s="19"/>
      <c r="Q557" s="19"/>
      <c r="Y557" s="19"/>
      <c r="AF557" s="19"/>
      <c r="II557" s="42"/>
      <c r="IJ557" s="42"/>
      <c r="IK557" s="42"/>
      <c r="IL557" s="42"/>
      <c r="IM557" s="42"/>
      <c r="IN557" s="42"/>
      <c r="IO557" s="42"/>
      <c r="IP557" s="42"/>
      <c r="IQ557" s="42"/>
      <c r="IR557" s="42"/>
      <c r="IS557" s="42"/>
      <c r="IT557" s="42"/>
      <c r="IU557" s="42"/>
      <c r="IV557" s="42"/>
      <c r="IW557" s="42"/>
      <c r="IX557" s="42"/>
      <c r="IY557" s="42"/>
      <c r="IZ557" s="42"/>
      <c r="JA557" s="42"/>
      <c r="JB557" s="42"/>
      <c r="JC557" s="42"/>
      <c r="JD557" s="42"/>
      <c r="JE557" s="42"/>
      <c r="JF557" s="42"/>
      <c r="JG557" s="42"/>
      <c r="JH557" s="42"/>
      <c r="JI557" s="42"/>
      <c r="JJ557" s="42"/>
      <c r="JK557" s="42"/>
      <c r="JL557" s="42"/>
      <c r="JM557" s="42"/>
      <c r="JN557" s="42"/>
      <c r="JO557" s="42"/>
      <c r="JP557" s="42"/>
      <c r="JQ557" s="42"/>
      <c r="JR557" s="42"/>
      <c r="JS557" s="42"/>
      <c r="JT557" s="42"/>
      <c r="JU557" s="42"/>
      <c r="JV557" s="42"/>
      <c r="JW557" s="42"/>
      <c r="JX557" s="42"/>
      <c r="JY557" s="42"/>
      <c r="JZ557" s="42"/>
      <c r="KA557" s="42"/>
    </row>
    <row r="558" spans="1:287" ht="12.75">
      <c r="A558" s="89"/>
      <c r="B558" s="89"/>
      <c r="J558" s="19"/>
      <c r="Q558" s="19"/>
      <c r="Y558" s="19"/>
      <c r="AF558" s="19"/>
      <c r="II558" s="42"/>
      <c r="IJ558" s="42"/>
      <c r="IK558" s="42"/>
      <c r="IL558" s="42"/>
      <c r="IM558" s="42"/>
      <c r="IN558" s="42"/>
      <c r="IO558" s="42"/>
      <c r="IP558" s="42"/>
      <c r="IQ558" s="42"/>
      <c r="IR558" s="42"/>
      <c r="IS558" s="42"/>
      <c r="IT558" s="42"/>
      <c r="IU558" s="42"/>
      <c r="IV558" s="42"/>
      <c r="IW558" s="42"/>
      <c r="IX558" s="42"/>
      <c r="IY558" s="42"/>
      <c r="IZ558" s="42"/>
      <c r="JA558" s="42"/>
      <c r="JB558" s="42"/>
      <c r="JC558" s="42"/>
      <c r="JD558" s="42"/>
      <c r="JE558" s="42"/>
      <c r="JF558" s="42"/>
      <c r="JG558" s="42"/>
      <c r="JH558" s="42"/>
      <c r="JI558" s="42"/>
      <c r="JJ558" s="42"/>
      <c r="JK558" s="42"/>
      <c r="JL558" s="42"/>
      <c r="JM558" s="42"/>
      <c r="JN558" s="42"/>
      <c r="JO558" s="42"/>
      <c r="JP558" s="42"/>
      <c r="JQ558" s="42"/>
      <c r="JR558" s="42"/>
      <c r="JS558" s="42"/>
      <c r="JT558" s="42"/>
      <c r="JU558" s="42"/>
      <c r="JV558" s="42"/>
      <c r="JW558" s="42"/>
      <c r="JX558" s="42"/>
      <c r="JY558" s="42"/>
      <c r="JZ558" s="42"/>
      <c r="KA558" s="42"/>
    </row>
    <row r="559" spans="1:287" ht="12.75">
      <c r="A559" s="89"/>
      <c r="B559" s="89"/>
      <c r="J559" s="19"/>
      <c r="Q559" s="19"/>
      <c r="Y559" s="19"/>
      <c r="AF559" s="19"/>
      <c r="II559" s="42"/>
      <c r="IJ559" s="42"/>
      <c r="IK559" s="42"/>
      <c r="IL559" s="42"/>
      <c r="IM559" s="42"/>
      <c r="IN559" s="42"/>
      <c r="IO559" s="42"/>
      <c r="IP559" s="42"/>
      <c r="IQ559" s="42"/>
      <c r="IR559" s="42"/>
      <c r="IS559" s="42"/>
      <c r="IT559" s="42"/>
      <c r="IU559" s="42"/>
      <c r="IV559" s="42"/>
      <c r="IW559" s="42"/>
      <c r="IX559" s="42"/>
      <c r="IY559" s="42"/>
      <c r="IZ559" s="42"/>
      <c r="JA559" s="42"/>
      <c r="JB559" s="42"/>
      <c r="JC559" s="42"/>
      <c r="JD559" s="42"/>
      <c r="JE559" s="42"/>
      <c r="JF559" s="42"/>
      <c r="JG559" s="42"/>
      <c r="JH559" s="42"/>
      <c r="JI559" s="42"/>
      <c r="JJ559" s="42"/>
      <c r="JK559" s="42"/>
      <c r="JL559" s="42"/>
      <c r="JM559" s="42"/>
      <c r="JN559" s="42"/>
      <c r="JO559" s="42"/>
      <c r="JP559" s="42"/>
      <c r="JQ559" s="42"/>
      <c r="JR559" s="42"/>
      <c r="JS559" s="42"/>
      <c r="JT559" s="42"/>
      <c r="JU559" s="42"/>
      <c r="JV559" s="42"/>
      <c r="JW559" s="42"/>
      <c r="JX559" s="42"/>
      <c r="JY559" s="42"/>
      <c r="JZ559" s="42"/>
      <c r="KA559" s="42"/>
    </row>
    <row r="560" spans="1:287" ht="12.75">
      <c r="A560" s="89"/>
      <c r="B560" s="89"/>
      <c r="J560" s="19"/>
      <c r="Q560" s="19"/>
      <c r="Y560" s="19"/>
      <c r="AF560" s="19"/>
      <c r="II560" s="42"/>
      <c r="IJ560" s="42"/>
      <c r="IK560" s="42"/>
      <c r="IL560" s="42"/>
      <c r="IM560" s="42"/>
      <c r="IN560" s="42"/>
      <c r="IO560" s="42"/>
      <c r="IP560" s="42"/>
      <c r="IQ560" s="42"/>
      <c r="IR560" s="42"/>
      <c r="IS560" s="42"/>
      <c r="IT560" s="42"/>
      <c r="IU560" s="42"/>
      <c r="IV560" s="42"/>
      <c r="IW560" s="42"/>
      <c r="IX560" s="42"/>
      <c r="IY560" s="42"/>
      <c r="IZ560" s="42"/>
      <c r="JA560" s="42"/>
      <c r="JB560" s="42"/>
      <c r="JC560" s="42"/>
      <c r="JD560" s="42"/>
      <c r="JE560" s="42"/>
      <c r="JF560" s="42"/>
      <c r="JG560" s="42"/>
      <c r="JH560" s="42"/>
      <c r="JI560" s="42"/>
      <c r="JJ560" s="42"/>
      <c r="JK560" s="42"/>
      <c r="JL560" s="42"/>
      <c r="JM560" s="42"/>
      <c r="JN560" s="42"/>
      <c r="JO560" s="42"/>
      <c r="JP560" s="42"/>
      <c r="JQ560" s="42"/>
      <c r="JR560" s="42"/>
      <c r="JS560" s="42"/>
      <c r="JT560" s="42"/>
      <c r="JU560" s="42"/>
      <c r="JV560" s="42"/>
      <c r="JW560" s="42"/>
      <c r="JX560" s="42"/>
      <c r="JY560" s="42"/>
      <c r="JZ560" s="42"/>
      <c r="KA560" s="42"/>
    </row>
    <row r="561" spans="1:287" ht="12.75">
      <c r="A561" s="89"/>
      <c r="B561" s="89"/>
      <c r="J561" s="19"/>
      <c r="Q561" s="19"/>
      <c r="Y561" s="19"/>
      <c r="AF561" s="19"/>
      <c r="II561" s="42"/>
      <c r="IJ561" s="42"/>
      <c r="IK561" s="42"/>
      <c r="IL561" s="42"/>
      <c r="IM561" s="42"/>
      <c r="IN561" s="42"/>
      <c r="IO561" s="42"/>
      <c r="IP561" s="42"/>
      <c r="IQ561" s="42"/>
      <c r="IR561" s="42"/>
      <c r="IS561" s="42"/>
      <c r="IT561" s="42"/>
      <c r="IU561" s="42"/>
      <c r="IV561" s="42"/>
      <c r="IW561" s="42"/>
      <c r="IX561" s="42"/>
      <c r="IY561" s="42"/>
      <c r="IZ561" s="42"/>
      <c r="JA561" s="42"/>
      <c r="JB561" s="42"/>
      <c r="JC561" s="42"/>
      <c r="JD561" s="42"/>
      <c r="JE561" s="42"/>
      <c r="JF561" s="42"/>
      <c r="JG561" s="42"/>
      <c r="JH561" s="42"/>
      <c r="JI561" s="42"/>
      <c r="JJ561" s="42"/>
      <c r="JK561" s="42"/>
      <c r="JL561" s="42"/>
      <c r="JM561" s="42"/>
      <c r="JN561" s="42"/>
      <c r="JO561" s="42"/>
      <c r="JP561" s="42"/>
      <c r="JQ561" s="42"/>
      <c r="JR561" s="42"/>
      <c r="JS561" s="42"/>
      <c r="JT561" s="42"/>
      <c r="JU561" s="42"/>
      <c r="JV561" s="42"/>
      <c r="JW561" s="42"/>
      <c r="JX561" s="42"/>
      <c r="JY561" s="42"/>
      <c r="JZ561" s="42"/>
      <c r="KA561" s="42"/>
    </row>
    <row r="562" spans="1:287" ht="12.75">
      <c r="A562" s="89"/>
      <c r="B562" s="89"/>
      <c r="J562" s="19"/>
      <c r="Q562" s="19"/>
      <c r="Y562" s="19"/>
      <c r="AF562" s="19"/>
      <c r="II562" s="42"/>
      <c r="IJ562" s="42"/>
      <c r="IK562" s="42"/>
      <c r="IL562" s="42"/>
      <c r="IM562" s="42"/>
      <c r="IN562" s="42"/>
      <c r="IO562" s="42"/>
      <c r="IP562" s="42"/>
      <c r="IQ562" s="42"/>
      <c r="IR562" s="42"/>
      <c r="IS562" s="42"/>
      <c r="IT562" s="42"/>
      <c r="IU562" s="42"/>
      <c r="IV562" s="42"/>
      <c r="IW562" s="42"/>
      <c r="IX562" s="42"/>
      <c r="IY562" s="42"/>
      <c r="IZ562" s="42"/>
      <c r="JA562" s="42"/>
      <c r="JB562" s="42"/>
      <c r="JC562" s="42"/>
      <c r="JD562" s="42"/>
      <c r="JE562" s="42"/>
      <c r="JF562" s="42"/>
      <c r="JG562" s="42"/>
      <c r="JH562" s="42"/>
      <c r="JI562" s="42"/>
      <c r="JJ562" s="42"/>
      <c r="JK562" s="42"/>
      <c r="JL562" s="42"/>
      <c r="JM562" s="42"/>
      <c r="JN562" s="42"/>
      <c r="JO562" s="42"/>
      <c r="JP562" s="42"/>
      <c r="JQ562" s="42"/>
      <c r="JR562" s="42"/>
      <c r="JS562" s="42"/>
      <c r="JT562" s="42"/>
      <c r="JU562" s="42"/>
      <c r="JV562" s="42"/>
      <c r="JW562" s="42"/>
      <c r="JX562" s="42"/>
      <c r="JY562" s="42"/>
      <c r="JZ562" s="42"/>
      <c r="KA562" s="42"/>
    </row>
    <row r="563" spans="1:287" ht="12.75">
      <c r="A563" s="89"/>
      <c r="B563" s="89"/>
      <c r="J563" s="19"/>
      <c r="Q563" s="19"/>
      <c r="Y563" s="19"/>
      <c r="AF563" s="19"/>
      <c r="II563" s="42"/>
      <c r="IJ563" s="42"/>
      <c r="IK563" s="42"/>
      <c r="IL563" s="42"/>
      <c r="IM563" s="42"/>
      <c r="IN563" s="42"/>
      <c r="IO563" s="42"/>
      <c r="IP563" s="42"/>
      <c r="IQ563" s="42"/>
      <c r="IR563" s="42"/>
      <c r="IS563" s="42"/>
      <c r="IT563" s="42"/>
      <c r="IU563" s="42"/>
      <c r="IV563" s="42"/>
      <c r="IW563" s="42"/>
      <c r="IX563" s="42"/>
      <c r="IY563" s="42"/>
      <c r="IZ563" s="42"/>
      <c r="JA563" s="42"/>
      <c r="JB563" s="42"/>
      <c r="JC563" s="42"/>
      <c r="JD563" s="42"/>
      <c r="JE563" s="42"/>
      <c r="JF563" s="42"/>
      <c r="JG563" s="42"/>
      <c r="JH563" s="42"/>
      <c r="JI563" s="42"/>
      <c r="JJ563" s="42"/>
      <c r="JK563" s="42"/>
      <c r="JL563" s="42"/>
      <c r="JM563" s="42"/>
      <c r="JN563" s="42"/>
      <c r="JO563" s="42"/>
      <c r="JP563" s="42"/>
      <c r="JQ563" s="42"/>
      <c r="JR563" s="42"/>
      <c r="JS563" s="42"/>
      <c r="JT563" s="42"/>
      <c r="JU563" s="42"/>
      <c r="JV563" s="42"/>
      <c r="JW563" s="42"/>
      <c r="JX563" s="42"/>
      <c r="JY563" s="42"/>
      <c r="JZ563" s="42"/>
      <c r="KA563" s="42"/>
    </row>
    <row r="564" spans="1:287" ht="12.75">
      <c r="A564" s="89"/>
      <c r="B564" s="89"/>
      <c r="J564" s="19"/>
      <c r="Q564" s="19"/>
      <c r="Y564" s="19"/>
      <c r="AF564" s="19"/>
      <c r="II564" s="42"/>
      <c r="IJ564" s="42"/>
      <c r="IK564" s="42"/>
      <c r="IL564" s="42"/>
      <c r="IM564" s="42"/>
      <c r="IN564" s="42"/>
      <c r="IO564" s="42"/>
      <c r="IP564" s="42"/>
      <c r="IQ564" s="42"/>
      <c r="IR564" s="42"/>
      <c r="IS564" s="42"/>
      <c r="IT564" s="42"/>
      <c r="IU564" s="42"/>
      <c r="IV564" s="42"/>
      <c r="IW564" s="42"/>
      <c r="IX564" s="42"/>
      <c r="IY564" s="42"/>
      <c r="IZ564" s="42"/>
      <c r="JA564" s="42"/>
      <c r="JB564" s="42"/>
      <c r="JC564" s="42"/>
      <c r="JD564" s="42"/>
      <c r="JE564" s="42"/>
      <c r="JF564" s="42"/>
      <c r="JG564" s="42"/>
      <c r="JH564" s="42"/>
      <c r="JI564" s="42"/>
      <c r="JJ564" s="42"/>
      <c r="JK564" s="42"/>
      <c r="JL564" s="42"/>
      <c r="JM564" s="42"/>
      <c r="JN564" s="42"/>
      <c r="JO564" s="42"/>
      <c r="JP564" s="42"/>
      <c r="JQ564" s="42"/>
      <c r="JR564" s="42"/>
      <c r="JS564" s="42"/>
      <c r="JT564" s="42"/>
      <c r="JU564" s="42"/>
      <c r="JV564" s="42"/>
      <c r="JW564" s="42"/>
      <c r="JX564" s="42"/>
      <c r="JY564" s="42"/>
      <c r="JZ564" s="42"/>
      <c r="KA564" s="42"/>
    </row>
    <row r="565" spans="1:287" ht="12.75">
      <c r="A565" s="89"/>
      <c r="B565" s="89"/>
      <c r="J565" s="19"/>
      <c r="Q565" s="19"/>
      <c r="Y565" s="19"/>
      <c r="AF565" s="19"/>
      <c r="II565" s="42"/>
      <c r="IJ565" s="42"/>
      <c r="IK565" s="42"/>
      <c r="IL565" s="42"/>
      <c r="IM565" s="42"/>
      <c r="IN565" s="42"/>
      <c r="IO565" s="42"/>
      <c r="IP565" s="42"/>
      <c r="IQ565" s="42"/>
      <c r="IR565" s="42"/>
      <c r="IS565" s="42"/>
      <c r="IT565" s="42"/>
      <c r="IU565" s="42"/>
      <c r="IV565" s="42"/>
      <c r="IW565" s="42"/>
      <c r="IX565" s="42"/>
      <c r="IY565" s="42"/>
      <c r="IZ565" s="42"/>
      <c r="JA565" s="42"/>
      <c r="JB565" s="42"/>
      <c r="JC565" s="42"/>
      <c r="JD565" s="42"/>
      <c r="JE565" s="42"/>
      <c r="JF565" s="42"/>
      <c r="JG565" s="42"/>
      <c r="JH565" s="42"/>
      <c r="JI565" s="42"/>
      <c r="JJ565" s="42"/>
      <c r="JK565" s="42"/>
      <c r="JL565" s="42"/>
      <c r="JM565" s="42"/>
      <c r="JN565" s="42"/>
      <c r="JO565" s="42"/>
      <c r="JP565" s="42"/>
      <c r="JQ565" s="42"/>
      <c r="JR565" s="42"/>
      <c r="JS565" s="42"/>
      <c r="JT565" s="42"/>
      <c r="JU565" s="42"/>
      <c r="JV565" s="42"/>
      <c r="JW565" s="42"/>
      <c r="JX565" s="42"/>
      <c r="JY565" s="42"/>
      <c r="JZ565" s="42"/>
      <c r="KA565" s="42"/>
    </row>
    <row r="566" spans="1:287" ht="12.75">
      <c r="A566" s="89"/>
      <c r="B566" s="89"/>
      <c r="J566" s="19"/>
      <c r="Q566" s="19"/>
      <c r="Y566" s="19"/>
      <c r="AF566" s="19"/>
      <c r="II566" s="42"/>
      <c r="IJ566" s="42"/>
      <c r="IK566" s="42"/>
      <c r="IL566" s="42"/>
      <c r="IM566" s="42"/>
      <c r="IN566" s="42"/>
      <c r="IO566" s="42"/>
      <c r="IP566" s="42"/>
      <c r="IQ566" s="42"/>
      <c r="IR566" s="42"/>
      <c r="IS566" s="42"/>
      <c r="IT566" s="42"/>
      <c r="IU566" s="42"/>
      <c r="IV566" s="42"/>
      <c r="IW566" s="42"/>
      <c r="IX566" s="42"/>
      <c r="IY566" s="42"/>
      <c r="IZ566" s="42"/>
      <c r="JA566" s="42"/>
      <c r="JB566" s="42"/>
      <c r="JC566" s="42"/>
      <c r="JD566" s="42"/>
      <c r="JE566" s="42"/>
      <c r="JF566" s="42"/>
      <c r="JG566" s="42"/>
      <c r="JH566" s="42"/>
      <c r="JI566" s="42"/>
      <c r="JJ566" s="42"/>
      <c r="JK566" s="42"/>
      <c r="JL566" s="42"/>
      <c r="JM566" s="42"/>
      <c r="JN566" s="42"/>
      <c r="JO566" s="42"/>
      <c r="JP566" s="42"/>
      <c r="JQ566" s="42"/>
      <c r="JR566" s="42"/>
      <c r="JS566" s="42"/>
      <c r="JT566" s="42"/>
      <c r="JU566" s="42"/>
      <c r="JV566" s="42"/>
      <c r="JW566" s="42"/>
      <c r="JX566" s="42"/>
      <c r="JY566" s="42"/>
      <c r="JZ566" s="42"/>
      <c r="KA566" s="42"/>
    </row>
    <row r="567" spans="1:287" ht="12.75">
      <c r="A567" s="89"/>
      <c r="B567" s="89"/>
      <c r="J567" s="19"/>
      <c r="Q567" s="19"/>
      <c r="Y567" s="19"/>
      <c r="AF567" s="19"/>
      <c r="II567" s="42"/>
      <c r="IJ567" s="42"/>
      <c r="IK567" s="42"/>
      <c r="IL567" s="42"/>
      <c r="IM567" s="42"/>
      <c r="IN567" s="42"/>
      <c r="IO567" s="42"/>
      <c r="IP567" s="42"/>
      <c r="IQ567" s="42"/>
      <c r="IR567" s="42"/>
      <c r="IS567" s="42"/>
      <c r="IT567" s="42"/>
      <c r="IU567" s="42"/>
      <c r="IV567" s="42"/>
      <c r="IW567" s="42"/>
      <c r="IX567" s="42"/>
      <c r="IY567" s="42"/>
      <c r="IZ567" s="42"/>
      <c r="JA567" s="42"/>
      <c r="JB567" s="42"/>
      <c r="JC567" s="42"/>
      <c r="JD567" s="42"/>
      <c r="JE567" s="42"/>
      <c r="JF567" s="42"/>
      <c r="JG567" s="42"/>
      <c r="JH567" s="42"/>
      <c r="JI567" s="42"/>
      <c r="JJ567" s="42"/>
      <c r="JK567" s="42"/>
      <c r="JL567" s="42"/>
      <c r="JM567" s="42"/>
      <c r="JN567" s="42"/>
      <c r="JO567" s="42"/>
      <c r="JP567" s="42"/>
      <c r="JQ567" s="42"/>
      <c r="JR567" s="42"/>
      <c r="JS567" s="42"/>
      <c r="JT567" s="42"/>
      <c r="JU567" s="42"/>
      <c r="JV567" s="42"/>
      <c r="JW567" s="42"/>
      <c r="JX567" s="42"/>
      <c r="JY567" s="42"/>
      <c r="JZ567" s="42"/>
      <c r="KA567" s="42"/>
    </row>
    <row r="568" spans="1:287" ht="12.75">
      <c r="A568" s="89"/>
      <c r="B568" s="89"/>
      <c r="J568" s="19"/>
      <c r="Q568" s="19"/>
      <c r="Y568" s="19"/>
      <c r="AF568" s="19"/>
      <c r="II568" s="42"/>
      <c r="IJ568" s="42"/>
      <c r="IK568" s="42"/>
      <c r="IL568" s="42"/>
      <c r="IM568" s="42"/>
      <c r="IN568" s="42"/>
      <c r="IO568" s="42"/>
      <c r="IP568" s="42"/>
      <c r="IQ568" s="42"/>
      <c r="IR568" s="42"/>
      <c r="IS568" s="42"/>
      <c r="IT568" s="42"/>
      <c r="IU568" s="42"/>
      <c r="IV568" s="42"/>
      <c r="IW568" s="42"/>
      <c r="IX568" s="42"/>
      <c r="IY568" s="42"/>
      <c r="IZ568" s="42"/>
      <c r="JA568" s="42"/>
      <c r="JB568" s="42"/>
      <c r="JC568" s="42"/>
      <c r="JD568" s="42"/>
      <c r="JE568" s="42"/>
      <c r="JF568" s="42"/>
      <c r="JG568" s="42"/>
      <c r="JH568" s="42"/>
      <c r="JI568" s="42"/>
      <c r="JJ568" s="42"/>
      <c r="JK568" s="42"/>
      <c r="JL568" s="42"/>
      <c r="JM568" s="42"/>
      <c r="JN568" s="42"/>
      <c r="JO568" s="42"/>
      <c r="JP568" s="42"/>
      <c r="JQ568" s="42"/>
      <c r="JR568" s="42"/>
      <c r="JS568" s="42"/>
      <c r="JT568" s="42"/>
      <c r="JU568" s="42"/>
      <c r="JV568" s="42"/>
      <c r="JW568" s="42"/>
      <c r="JX568" s="42"/>
      <c r="JY568" s="42"/>
      <c r="JZ568" s="42"/>
      <c r="KA568" s="42"/>
    </row>
    <row r="569" spans="1:287" ht="12.75">
      <c r="A569" s="89"/>
      <c r="B569" s="89"/>
      <c r="J569" s="19"/>
      <c r="Q569" s="19"/>
      <c r="Y569" s="19"/>
      <c r="AF569" s="19"/>
      <c r="II569" s="42"/>
      <c r="IJ569" s="42"/>
      <c r="IK569" s="42"/>
      <c r="IL569" s="42"/>
      <c r="IM569" s="42"/>
      <c r="IN569" s="42"/>
      <c r="IO569" s="42"/>
      <c r="IP569" s="42"/>
      <c r="IQ569" s="42"/>
      <c r="IR569" s="42"/>
      <c r="IS569" s="42"/>
      <c r="IT569" s="42"/>
      <c r="IU569" s="42"/>
      <c r="IV569" s="42"/>
      <c r="IW569" s="42"/>
      <c r="IX569" s="42"/>
      <c r="IY569" s="42"/>
      <c r="IZ569" s="42"/>
      <c r="JA569" s="42"/>
      <c r="JB569" s="42"/>
      <c r="JC569" s="42"/>
      <c r="JD569" s="42"/>
      <c r="JE569" s="42"/>
      <c r="JF569" s="42"/>
      <c r="JG569" s="42"/>
      <c r="JH569" s="42"/>
      <c r="JI569" s="42"/>
      <c r="JJ569" s="42"/>
      <c r="JK569" s="42"/>
      <c r="JL569" s="42"/>
      <c r="JM569" s="42"/>
      <c r="JN569" s="42"/>
      <c r="JO569" s="42"/>
      <c r="JP569" s="42"/>
      <c r="JQ569" s="42"/>
      <c r="JR569" s="42"/>
      <c r="JS569" s="42"/>
      <c r="JT569" s="42"/>
      <c r="JU569" s="42"/>
      <c r="JV569" s="42"/>
      <c r="JW569" s="42"/>
      <c r="JX569" s="42"/>
      <c r="JY569" s="42"/>
      <c r="JZ569" s="42"/>
      <c r="KA569" s="42"/>
    </row>
    <row r="570" spans="1:287" ht="12.75">
      <c r="A570" s="89"/>
      <c r="B570" s="89"/>
      <c r="J570" s="19"/>
      <c r="Q570" s="19"/>
      <c r="Y570" s="19"/>
      <c r="AF570" s="19"/>
      <c r="II570" s="42"/>
      <c r="IJ570" s="42"/>
      <c r="IK570" s="42"/>
      <c r="IL570" s="42"/>
      <c r="IM570" s="42"/>
      <c r="IN570" s="42"/>
      <c r="IO570" s="42"/>
      <c r="IP570" s="42"/>
      <c r="IQ570" s="42"/>
      <c r="IR570" s="42"/>
      <c r="IS570" s="42"/>
      <c r="IT570" s="42"/>
      <c r="IU570" s="42"/>
      <c r="IV570" s="42"/>
      <c r="IW570" s="42"/>
      <c r="IX570" s="42"/>
      <c r="IY570" s="42"/>
      <c r="IZ570" s="42"/>
      <c r="JA570" s="42"/>
      <c r="JB570" s="42"/>
      <c r="JC570" s="42"/>
      <c r="JD570" s="42"/>
      <c r="JE570" s="42"/>
      <c r="JF570" s="42"/>
      <c r="JG570" s="42"/>
      <c r="JH570" s="42"/>
      <c r="JI570" s="42"/>
      <c r="JJ570" s="42"/>
      <c r="JK570" s="42"/>
      <c r="JL570" s="42"/>
      <c r="JM570" s="42"/>
      <c r="JN570" s="42"/>
      <c r="JO570" s="42"/>
      <c r="JP570" s="42"/>
      <c r="JQ570" s="42"/>
      <c r="JR570" s="42"/>
      <c r="JS570" s="42"/>
      <c r="JT570" s="42"/>
      <c r="JU570" s="42"/>
      <c r="JV570" s="42"/>
      <c r="JW570" s="42"/>
      <c r="JX570" s="42"/>
      <c r="JY570" s="42"/>
      <c r="JZ570" s="42"/>
      <c r="KA570" s="42"/>
    </row>
    <row r="571" spans="1:287" ht="12.75">
      <c r="A571" s="89"/>
      <c r="B571" s="89"/>
      <c r="J571" s="19"/>
      <c r="Q571" s="19"/>
      <c r="Y571" s="19"/>
      <c r="AF571" s="19"/>
      <c r="II571" s="42"/>
      <c r="IJ571" s="42"/>
      <c r="IK571" s="42"/>
      <c r="IL571" s="42"/>
      <c r="IM571" s="42"/>
      <c r="IN571" s="42"/>
      <c r="IO571" s="42"/>
      <c r="IP571" s="42"/>
      <c r="IQ571" s="42"/>
      <c r="IR571" s="42"/>
      <c r="IS571" s="42"/>
      <c r="IT571" s="42"/>
      <c r="IU571" s="42"/>
      <c r="IV571" s="42"/>
      <c r="IW571" s="42"/>
      <c r="IX571" s="42"/>
      <c r="IY571" s="42"/>
      <c r="IZ571" s="42"/>
      <c r="JA571" s="42"/>
      <c r="JB571" s="42"/>
      <c r="JC571" s="42"/>
      <c r="JD571" s="42"/>
      <c r="JE571" s="42"/>
      <c r="JF571" s="42"/>
      <c r="JG571" s="42"/>
      <c r="JH571" s="42"/>
      <c r="JI571" s="42"/>
      <c r="JJ571" s="42"/>
      <c r="JK571" s="42"/>
      <c r="JL571" s="42"/>
      <c r="JM571" s="42"/>
      <c r="JN571" s="42"/>
      <c r="JO571" s="42"/>
      <c r="JP571" s="42"/>
      <c r="JQ571" s="42"/>
      <c r="JR571" s="42"/>
      <c r="JS571" s="42"/>
      <c r="JT571" s="42"/>
      <c r="JU571" s="42"/>
      <c r="JV571" s="42"/>
      <c r="JW571" s="42"/>
      <c r="JX571" s="42"/>
      <c r="JY571" s="42"/>
      <c r="JZ571" s="42"/>
      <c r="KA571" s="42"/>
    </row>
    <row r="572" spans="1:287" ht="12.75">
      <c r="A572" s="89"/>
      <c r="B572" s="89"/>
      <c r="J572" s="19"/>
      <c r="Q572" s="19"/>
      <c r="Y572" s="19"/>
      <c r="AF572" s="19"/>
      <c r="II572" s="42"/>
      <c r="IJ572" s="42"/>
      <c r="IK572" s="42"/>
      <c r="IL572" s="42"/>
      <c r="IM572" s="42"/>
      <c r="IN572" s="42"/>
      <c r="IO572" s="42"/>
      <c r="IP572" s="42"/>
      <c r="IQ572" s="42"/>
      <c r="IR572" s="42"/>
      <c r="IS572" s="42"/>
      <c r="IT572" s="42"/>
      <c r="IU572" s="42"/>
      <c r="IV572" s="42"/>
      <c r="IW572" s="42"/>
      <c r="IX572" s="42"/>
      <c r="IY572" s="42"/>
      <c r="IZ572" s="42"/>
      <c r="JA572" s="42"/>
      <c r="JB572" s="42"/>
      <c r="JC572" s="42"/>
      <c r="JD572" s="42"/>
      <c r="JE572" s="42"/>
      <c r="JF572" s="42"/>
      <c r="JG572" s="42"/>
      <c r="JH572" s="42"/>
      <c r="JI572" s="42"/>
      <c r="JJ572" s="42"/>
      <c r="JK572" s="42"/>
      <c r="JL572" s="42"/>
      <c r="JM572" s="42"/>
      <c r="JN572" s="42"/>
      <c r="JO572" s="42"/>
      <c r="JP572" s="42"/>
      <c r="JQ572" s="42"/>
      <c r="JR572" s="42"/>
      <c r="JS572" s="42"/>
      <c r="JT572" s="42"/>
      <c r="JU572" s="42"/>
      <c r="JV572" s="42"/>
      <c r="JW572" s="42"/>
      <c r="JX572" s="42"/>
      <c r="JY572" s="42"/>
      <c r="JZ572" s="42"/>
      <c r="KA572" s="42"/>
    </row>
    <row r="573" spans="1:287" ht="12.75">
      <c r="A573" s="89"/>
      <c r="B573" s="89"/>
      <c r="J573" s="19"/>
      <c r="Q573" s="19"/>
      <c r="Y573" s="19"/>
      <c r="AF573" s="19"/>
      <c r="II573" s="42"/>
      <c r="IJ573" s="42"/>
      <c r="IK573" s="42"/>
      <c r="IL573" s="42"/>
      <c r="IM573" s="42"/>
      <c r="IN573" s="42"/>
      <c r="IO573" s="42"/>
      <c r="IP573" s="42"/>
      <c r="IQ573" s="42"/>
      <c r="IR573" s="42"/>
      <c r="IS573" s="42"/>
      <c r="IT573" s="42"/>
      <c r="IU573" s="42"/>
      <c r="IV573" s="42"/>
      <c r="IW573" s="42"/>
      <c r="IX573" s="42"/>
      <c r="IY573" s="42"/>
      <c r="IZ573" s="42"/>
      <c r="JA573" s="42"/>
      <c r="JB573" s="42"/>
      <c r="JC573" s="42"/>
      <c r="JD573" s="42"/>
      <c r="JE573" s="42"/>
      <c r="JF573" s="42"/>
      <c r="JG573" s="42"/>
      <c r="JH573" s="42"/>
      <c r="JI573" s="42"/>
      <c r="JJ573" s="42"/>
      <c r="JK573" s="42"/>
      <c r="JL573" s="42"/>
      <c r="JM573" s="42"/>
      <c r="JN573" s="42"/>
      <c r="JO573" s="42"/>
      <c r="JP573" s="42"/>
      <c r="JQ573" s="42"/>
      <c r="JR573" s="42"/>
      <c r="JS573" s="42"/>
      <c r="JT573" s="42"/>
      <c r="JU573" s="42"/>
      <c r="JV573" s="42"/>
      <c r="JW573" s="42"/>
      <c r="JX573" s="42"/>
      <c r="JY573" s="42"/>
      <c r="JZ573" s="42"/>
      <c r="KA573" s="42"/>
    </row>
    <row r="574" spans="1:287" ht="12.75">
      <c r="A574" s="89"/>
      <c r="B574" s="89"/>
      <c r="J574" s="19"/>
      <c r="Q574" s="19"/>
      <c r="Y574" s="19"/>
      <c r="AF574" s="19"/>
      <c r="II574" s="42"/>
      <c r="IJ574" s="42"/>
      <c r="IK574" s="42"/>
      <c r="IL574" s="42"/>
      <c r="IM574" s="42"/>
      <c r="IN574" s="42"/>
      <c r="IO574" s="42"/>
      <c r="IP574" s="42"/>
      <c r="IQ574" s="42"/>
      <c r="IR574" s="42"/>
      <c r="IS574" s="42"/>
      <c r="IT574" s="42"/>
      <c r="IU574" s="42"/>
      <c r="IV574" s="42"/>
      <c r="IW574" s="42"/>
      <c r="IX574" s="42"/>
      <c r="IY574" s="42"/>
      <c r="IZ574" s="42"/>
      <c r="JA574" s="42"/>
      <c r="JB574" s="42"/>
      <c r="JC574" s="42"/>
      <c r="JD574" s="42"/>
      <c r="JE574" s="42"/>
      <c r="JF574" s="42"/>
      <c r="JG574" s="42"/>
      <c r="JH574" s="42"/>
      <c r="JI574" s="42"/>
      <c r="JJ574" s="42"/>
      <c r="JK574" s="42"/>
      <c r="JL574" s="42"/>
      <c r="JM574" s="42"/>
      <c r="JN574" s="42"/>
      <c r="JO574" s="42"/>
      <c r="JP574" s="42"/>
      <c r="JQ574" s="42"/>
      <c r="JR574" s="42"/>
      <c r="JS574" s="42"/>
      <c r="JT574" s="42"/>
      <c r="JU574" s="42"/>
      <c r="JV574" s="42"/>
      <c r="JW574" s="42"/>
      <c r="JX574" s="42"/>
      <c r="JY574" s="42"/>
      <c r="JZ574" s="42"/>
      <c r="KA574" s="42"/>
    </row>
    <row r="575" spans="1:287" ht="12.75">
      <c r="A575" s="89"/>
      <c r="B575" s="89"/>
      <c r="J575" s="19"/>
      <c r="Q575" s="19"/>
      <c r="Y575" s="19"/>
      <c r="AF575" s="19"/>
      <c r="II575" s="42"/>
      <c r="IJ575" s="42"/>
      <c r="IK575" s="42"/>
      <c r="IL575" s="42"/>
      <c r="IM575" s="42"/>
      <c r="IN575" s="42"/>
      <c r="IO575" s="42"/>
      <c r="IP575" s="42"/>
      <c r="IQ575" s="42"/>
      <c r="IR575" s="42"/>
      <c r="IS575" s="42"/>
      <c r="IT575" s="42"/>
      <c r="IU575" s="42"/>
      <c r="IV575" s="42"/>
      <c r="IW575" s="42"/>
      <c r="IX575" s="42"/>
      <c r="IY575" s="42"/>
      <c r="IZ575" s="42"/>
      <c r="JA575" s="42"/>
      <c r="JB575" s="42"/>
      <c r="JC575" s="42"/>
      <c r="JD575" s="42"/>
      <c r="JE575" s="42"/>
      <c r="JF575" s="42"/>
      <c r="JG575" s="42"/>
      <c r="JH575" s="42"/>
      <c r="JI575" s="42"/>
      <c r="JJ575" s="42"/>
      <c r="JK575" s="42"/>
      <c r="JL575" s="42"/>
      <c r="JM575" s="42"/>
      <c r="JN575" s="42"/>
      <c r="JO575" s="42"/>
      <c r="JP575" s="42"/>
      <c r="JQ575" s="42"/>
      <c r="JR575" s="42"/>
      <c r="JS575" s="42"/>
      <c r="JT575" s="42"/>
      <c r="JU575" s="42"/>
      <c r="JV575" s="42"/>
      <c r="JW575" s="42"/>
      <c r="JX575" s="42"/>
      <c r="JY575" s="42"/>
      <c r="JZ575" s="42"/>
      <c r="KA575" s="42"/>
    </row>
    <row r="576" spans="1:287" ht="12.75">
      <c r="A576" s="89"/>
      <c r="B576" s="89"/>
      <c r="J576" s="19"/>
      <c r="Q576" s="19"/>
      <c r="Y576" s="19"/>
      <c r="AF576" s="19"/>
      <c r="II576" s="42"/>
      <c r="IJ576" s="42"/>
      <c r="IK576" s="42"/>
      <c r="IL576" s="42"/>
      <c r="IM576" s="42"/>
      <c r="IN576" s="42"/>
      <c r="IO576" s="42"/>
      <c r="IP576" s="42"/>
      <c r="IQ576" s="42"/>
      <c r="IR576" s="42"/>
      <c r="IS576" s="42"/>
      <c r="IT576" s="42"/>
      <c r="IU576" s="42"/>
      <c r="IV576" s="42"/>
      <c r="IW576" s="42"/>
      <c r="IX576" s="42"/>
      <c r="IY576" s="42"/>
      <c r="IZ576" s="42"/>
      <c r="JA576" s="42"/>
      <c r="JB576" s="42"/>
      <c r="JC576" s="42"/>
      <c r="JD576" s="42"/>
      <c r="JE576" s="42"/>
      <c r="JF576" s="42"/>
      <c r="JG576" s="42"/>
      <c r="JH576" s="42"/>
      <c r="JI576" s="42"/>
      <c r="JJ576" s="42"/>
      <c r="JK576" s="42"/>
      <c r="JL576" s="42"/>
      <c r="JM576" s="42"/>
      <c r="JN576" s="42"/>
      <c r="JO576" s="42"/>
      <c r="JP576" s="42"/>
      <c r="JQ576" s="42"/>
      <c r="JR576" s="42"/>
      <c r="JS576" s="42"/>
      <c r="JT576" s="42"/>
      <c r="JU576" s="42"/>
      <c r="JV576" s="42"/>
      <c r="JW576" s="42"/>
      <c r="JX576" s="42"/>
      <c r="JY576" s="42"/>
      <c r="JZ576" s="42"/>
      <c r="KA576" s="42"/>
    </row>
    <row r="577" spans="1:287" ht="12.75">
      <c r="A577" s="89"/>
      <c r="B577" s="89"/>
      <c r="J577" s="19"/>
      <c r="Q577" s="19"/>
      <c r="Y577" s="19"/>
      <c r="AF577" s="19"/>
      <c r="II577" s="42"/>
      <c r="IJ577" s="42"/>
      <c r="IK577" s="42"/>
      <c r="IL577" s="42"/>
      <c r="IM577" s="42"/>
      <c r="IN577" s="42"/>
      <c r="IO577" s="42"/>
      <c r="IP577" s="42"/>
      <c r="IQ577" s="42"/>
      <c r="IR577" s="42"/>
      <c r="IS577" s="42"/>
      <c r="IT577" s="42"/>
      <c r="IU577" s="42"/>
      <c r="IV577" s="42"/>
      <c r="IW577" s="42"/>
      <c r="IX577" s="42"/>
      <c r="IY577" s="42"/>
      <c r="IZ577" s="42"/>
      <c r="JA577" s="42"/>
      <c r="JB577" s="42"/>
      <c r="JC577" s="42"/>
      <c r="JD577" s="42"/>
      <c r="JE577" s="42"/>
      <c r="JF577" s="42"/>
      <c r="JG577" s="42"/>
      <c r="JH577" s="42"/>
      <c r="JI577" s="42"/>
      <c r="JJ577" s="42"/>
      <c r="JK577" s="42"/>
      <c r="JL577" s="42"/>
      <c r="JM577" s="42"/>
      <c r="JN577" s="42"/>
      <c r="JO577" s="42"/>
      <c r="JP577" s="42"/>
      <c r="JQ577" s="42"/>
      <c r="JR577" s="42"/>
      <c r="JS577" s="42"/>
      <c r="JT577" s="42"/>
      <c r="JU577" s="42"/>
      <c r="JV577" s="42"/>
      <c r="JW577" s="42"/>
      <c r="JX577" s="42"/>
      <c r="JY577" s="42"/>
      <c r="JZ577" s="42"/>
      <c r="KA577" s="42"/>
    </row>
    <row r="578" spans="1:287" ht="12.75">
      <c r="A578" s="89"/>
      <c r="B578" s="89"/>
      <c r="J578" s="19"/>
      <c r="Q578" s="19"/>
      <c r="Y578" s="19"/>
      <c r="AF578" s="19"/>
      <c r="II578" s="42"/>
      <c r="IJ578" s="42"/>
      <c r="IK578" s="42"/>
      <c r="IL578" s="42"/>
      <c r="IM578" s="42"/>
      <c r="IN578" s="42"/>
      <c r="IO578" s="42"/>
      <c r="IP578" s="42"/>
      <c r="IQ578" s="42"/>
      <c r="IR578" s="42"/>
      <c r="IS578" s="42"/>
      <c r="IT578" s="42"/>
      <c r="IU578" s="42"/>
      <c r="IV578" s="42"/>
      <c r="IW578" s="42"/>
      <c r="IX578" s="42"/>
      <c r="IY578" s="42"/>
      <c r="IZ578" s="42"/>
      <c r="JA578" s="42"/>
      <c r="JB578" s="42"/>
      <c r="JC578" s="42"/>
      <c r="JD578" s="42"/>
      <c r="JE578" s="42"/>
      <c r="JF578" s="42"/>
      <c r="JG578" s="42"/>
      <c r="JH578" s="42"/>
      <c r="JI578" s="42"/>
      <c r="JJ578" s="42"/>
      <c r="JK578" s="42"/>
      <c r="JL578" s="42"/>
      <c r="JM578" s="42"/>
      <c r="JN578" s="42"/>
      <c r="JO578" s="42"/>
      <c r="JP578" s="42"/>
      <c r="JQ578" s="42"/>
      <c r="JR578" s="42"/>
      <c r="JS578" s="42"/>
      <c r="JT578" s="42"/>
      <c r="JU578" s="42"/>
      <c r="JV578" s="42"/>
      <c r="JW578" s="42"/>
      <c r="JX578" s="42"/>
      <c r="JY578" s="42"/>
      <c r="JZ578" s="42"/>
      <c r="KA578" s="42"/>
    </row>
    <row r="579" spans="1:287" ht="12.75">
      <c r="A579" s="89"/>
      <c r="B579" s="89"/>
      <c r="J579" s="19"/>
      <c r="Q579" s="19"/>
      <c r="Y579" s="19"/>
      <c r="AF579" s="19"/>
      <c r="II579" s="42"/>
      <c r="IJ579" s="42"/>
      <c r="IK579" s="42"/>
      <c r="IL579" s="42"/>
      <c r="IM579" s="42"/>
      <c r="IN579" s="42"/>
      <c r="IO579" s="42"/>
      <c r="IP579" s="42"/>
      <c r="IQ579" s="42"/>
      <c r="IR579" s="42"/>
      <c r="IS579" s="42"/>
      <c r="IT579" s="42"/>
      <c r="IU579" s="42"/>
      <c r="IV579" s="42"/>
      <c r="IW579" s="42"/>
      <c r="IX579" s="42"/>
      <c r="IY579" s="42"/>
      <c r="IZ579" s="42"/>
      <c r="JA579" s="42"/>
      <c r="JB579" s="42"/>
      <c r="JC579" s="42"/>
      <c r="JD579" s="42"/>
      <c r="JE579" s="42"/>
      <c r="JF579" s="42"/>
      <c r="JG579" s="42"/>
      <c r="JH579" s="42"/>
      <c r="JI579" s="42"/>
      <c r="JJ579" s="42"/>
      <c r="JK579" s="42"/>
      <c r="JL579" s="42"/>
      <c r="JM579" s="42"/>
      <c r="JN579" s="42"/>
      <c r="JO579" s="42"/>
      <c r="JP579" s="42"/>
      <c r="JQ579" s="42"/>
      <c r="JR579" s="42"/>
      <c r="JS579" s="42"/>
      <c r="JT579" s="42"/>
      <c r="JU579" s="42"/>
      <c r="JV579" s="42"/>
      <c r="JW579" s="42"/>
      <c r="JX579" s="42"/>
      <c r="JY579" s="42"/>
      <c r="JZ579" s="42"/>
      <c r="KA579" s="42"/>
    </row>
    <row r="580" spans="1:287" ht="12.75">
      <c r="A580" s="89"/>
      <c r="B580" s="89"/>
      <c r="J580" s="19"/>
      <c r="Q580" s="19"/>
      <c r="Y580" s="19"/>
      <c r="AF580" s="19"/>
      <c r="II580" s="42"/>
      <c r="IJ580" s="42"/>
      <c r="IK580" s="42"/>
      <c r="IL580" s="42"/>
      <c r="IM580" s="42"/>
      <c r="IN580" s="42"/>
      <c r="IO580" s="42"/>
      <c r="IP580" s="42"/>
      <c r="IQ580" s="42"/>
      <c r="IR580" s="42"/>
      <c r="IS580" s="42"/>
      <c r="IT580" s="42"/>
      <c r="IU580" s="42"/>
      <c r="IV580" s="42"/>
      <c r="IW580" s="42"/>
      <c r="IX580" s="42"/>
      <c r="IY580" s="42"/>
      <c r="IZ580" s="42"/>
      <c r="JA580" s="42"/>
      <c r="JB580" s="42"/>
      <c r="JC580" s="42"/>
      <c r="JD580" s="42"/>
      <c r="JE580" s="42"/>
      <c r="JF580" s="42"/>
      <c r="JG580" s="42"/>
      <c r="JH580" s="42"/>
      <c r="JI580" s="42"/>
      <c r="JJ580" s="42"/>
      <c r="JK580" s="42"/>
      <c r="JL580" s="42"/>
      <c r="JM580" s="42"/>
      <c r="JN580" s="42"/>
      <c r="JO580" s="42"/>
      <c r="JP580" s="42"/>
      <c r="JQ580" s="42"/>
      <c r="JR580" s="42"/>
      <c r="JS580" s="42"/>
      <c r="JT580" s="42"/>
      <c r="JU580" s="42"/>
      <c r="JV580" s="42"/>
      <c r="JW580" s="42"/>
      <c r="JX580" s="42"/>
      <c r="JY580" s="42"/>
      <c r="JZ580" s="42"/>
      <c r="KA580" s="42"/>
    </row>
    <row r="581" spans="1:287" ht="12.75">
      <c r="A581" s="89"/>
      <c r="B581" s="89"/>
      <c r="J581" s="19"/>
      <c r="Q581" s="19"/>
      <c r="Y581" s="19"/>
      <c r="AF581" s="19"/>
      <c r="II581" s="42"/>
      <c r="IJ581" s="42"/>
      <c r="IK581" s="42"/>
      <c r="IL581" s="42"/>
      <c r="IM581" s="42"/>
      <c r="IN581" s="42"/>
      <c r="IO581" s="42"/>
      <c r="IP581" s="42"/>
      <c r="IQ581" s="42"/>
      <c r="IR581" s="42"/>
      <c r="IS581" s="42"/>
      <c r="IT581" s="42"/>
      <c r="IU581" s="42"/>
      <c r="IV581" s="42"/>
      <c r="IW581" s="42"/>
      <c r="IX581" s="42"/>
      <c r="IY581" s="42"/>
      <c r="IZ581" s="42"/>
      <c r="JA581" s="42"/>
      <c r="JB581" s="42"/>
      <c r="JC581" s="42"/>
      <c r="JD581" s="42"/>
      <c r="JE581" s="42"/>
      <c r="JF581" s="42"/>
      <c r="JG581" s="42"/>
      <c r="JH581" s="42"/>
      <c r="JI581" s="42"/>
      <c r="JJ581" s="42"/>
      <c r="JK581" s="42"/>
      <c r="JL581" s="42"/>
      <c r="JM581" s="42"/>
      <c r="JN581" s="42"/>
      <c r="JO581" s="42"/>
      <c r="JP581" s="42"/>
      <c r="JQ581" s="42"/>
      <c r="JR581" s="42"/>
      <c r="JS581" s="42"/>
      <c r="JT581" s="42"/>
      <c r="JU581" s="42"/>
      <c r="JV581" s="42"/>
      <c r="JW581" s="42"/>
      <c r="JX581" s="42"/>
      <c r="JY581" s="42"/>
      <c r="JZ581" s="42"/>
      <c r="KA581" s="42"/>
    </row>
    <row r="582" spans="1:287" ht="12.75">
      <c r="A582" s="89"/>
      <c r="B582" s="89"/>
      <c r="J582" s="19"/>
      <c r="Q582" s="19"/>
      <c r="Y582" s="19"/>
      <c r="AF582" s="19"/>
      <c r="II582" s="42"/>
      <c r="IJ582" s="42"/>
      <c r="IK582" s="42"/>
      <c r="IL582" s="42"/>
      <c r="IM582" s="42"/>
      <c r="IN582" s="42"/>
      <c r="IO582" s="42"/>
      <c r="IP582" s="42"/>
      <c r="IQ582" s="42"/>
      <c r="IR582" s="42"/>
      <c r="IS582" s="42"/>
      <c r="IT582" s="42"/>
      <c r="IU582" s="42"/>
      <c r="IV582" s="42"/>
      <c r="IW582" s="42"/>
      <c r="IX582" s="42"/>
      <c r="IY582" s="42"/>
      <c r="IZ582" s="42"/>
      <c r="JA582" s="42"/>
      <c r="JB582" s="42"/>
      <c r="JC582" s="42"/>
      <c r="JD582" s="42"/>
      <c r="JE582" s="42"/>
      <c r="JF582" s="42"/>
      <c r="JG582" s="42"/>
      <c r="JH582" s="42"/>
      <c r="JI582" s="42"/>
      <c r="JJ582" s="42"/>
      <c r="JK582" s="42"/>
      <c r="JL582" s="42"/>
      <c r="JM582" s="42"/>
      <c r="JN582" s="42"/>
      <c r="JO582" s="42"/>
      <c r="JP582" s="42"/>
      <c r="JQ582" s="42"/>
      <c r="JR582" s="42"/>
      <c r="JS582" s="42"/>
      <c r="JT582" s="42"/>
      <c r="JU582" s="42"/>
      <c r="JV582" s="42"/>
      <c r="JW582" s="42"/>
      <c r="JX582" s="42"/>
      <c r="JY582" s="42"/>
      <c r="JZ582" s="42"/>
      <c r="KA582" s="42"/>
    </row>
    <row r="583" spans="1:287" ht="12.75">
      <c r="A583" s="89"/>
      <c r="B583" s="89"/>
      <c r="J583" s="19"/>
      <c r="Q583" s="19"/>
      <c r="Y583" s="19"/>
      <c r="AF583" s="19"/>
      <c r="II583" s="42"/>
      <c r="IJ583" s="42"/>
      <c r="IK583" s="42"/>
      <c r="IL583" s="42"/>
      <c r="IM583" s="42"/>
      <c r="IN583" s="42"/>
      <c r="IO583" s="42"/>
      <c r="IP583" s="42"/>
      <c r="IQ583" s="42"/>
      <c r="IR583" s="42"/>
      <c r="IS583" s="42"/>
      <c r="IT583" s="42"/>
      <c r="IU583" s="42"/>
      <c r="IV583" s="42"/>
      <c r="IW583" s="42"/>
      <c r="IX583" s="42"/>
      <c r="IY583" s="42"/>
      <c r="IZ583" s="42"/>
      <c r="JA583" s="42"/>
      <c r="JB583" s="42"/>
      <c r="JC583" s="42"/>
      <c r="JD583" s="42"/>
      <c r="JE583" s="42"/>
      <c r="JF583" s="42"/>
      <c r="JG583" s="42"/>
      <c r="JH583" s="42"/>
      <c r="JI583" s="42"/>
      <c r="JJ583" s="42"/>
      <c r="JK583" s="42"/>
      <c r="JL583" s="42"/>
      <c r="JM583" s="42"/>
      <c r="JN583" s="42"/>
      <c r="JO583" s="42"/>
      <c r="JP583" s="42"/>
      <c r="JQ583" s="42"/>
      <c r="JR583" s="42"/>
      <c r="JS583" s="42"/>
      <c r="JT583" s="42"/>
      <c r="JU583" s="42"/>
      <c r="JV583" s="42"/>
      <c r="JW583" s="42"/>
      <c r="JX583" s="42"/>
      <c r="JY583" s="42"/>
      <c r="JZ583" s="42"/>
      <c r="KA583" s="42"/>
    </row>
    <row r="584" spans="1:287" ht="12.75">
      <c r="A584" s="89"/>
      <c r="B584" s="89"/>
      <c r="J584" s="19"/>
      <c r="Q584" s="19"/>
      <c r="Y584" s="19"/>
      <c r="AF584" s="19"/>
      <c r="II584" s="42"/>
      <c r="IJ584" s="42"/>
      <c r="IK584" s="42"/>
      <c r="IL584" s="42"/>
      <c r="IM584" s="42"/>
      <c r="IN584" s="42"/>
      <c r="IO584" s="42"/>
      <c r="IP584" s="42"/>
      <c r="IQ584" s="42"/>
      <c r="IR584" s="42"/>
      <c r="IS584" s="42"/>
      <c r="IT584" s="42"/>
      <c r="IU584" s="42"/>
      <c r="IV584" s="42"/>
      <c r="IW584" s="42"/>
      <c r="IX584" s="42"/>
      <c r="IY584" s="42"/>
      <c r="IZ584" s="42"/>
      <c r="JA584" s="42"/>
      <c r="JB584" s="42"/>
      <c r="JC584" s="42"/>
      <c r="JD584" s="42"/>
      <c r="JE584" s="42"/>
      <c r="JF584" s="42"/>
      <c r="JG584" s="42"/>
      <c r="JH584" s="42"/>
      <c r="JI584" s="42"/>
      <c r="JJ584" s="42"/>
      <c r="JK584" s="42"/>
      <c r="JL584" s="42"/>
      <c r="JM584" s="42"/>
      <c r="JN584" s="42"/>
      <c r="JO584" s="42"/>
      <c r="JP584" s="42"/>
      <c r="JQ584" s="42"/>
      <c r="JR584" s="42"/>
      <c r="JS584" s="42"/>
      <c r="JT584" s="42"/>
      <c r="JU584" s="42"/>
      <c r="JV584" s="42"/>
      <c r="JW584" s="42"/>
      <c r="JX584" s="42"/>
      <c r="JY584" s="42"/>
      <c r="JZ584" s="42"/>
      <c r="KA584" s="42"/>
    </row>
    <row r="585" spans="1:287" ht="12.75">
      <c r="A585" s="89"/>
      <c r="B585" s="89"/>
      <c r="J585" s="19"/>
      <c r="Q585" s="19"/>
      <c r="Y585" s="19"/>
      <c r="AF585" s="19"/>
      <c r="II585" s="42"/>
      <c r="IJ585" s="42"/>
      <c r="IK585" s="42"/>
      <c r="IL585" s="42"/>
      <c r="IM585" s="42"/>
      <c r="IN585" s="42"/>
      <c r="IO585" s="42"/>
      <c r="IP585" s="42"/>
      <c r="IQ585" s="42"/>
      <c r="IR585" s="42"/>
      <c r="IS585" s="42"/>
      <c r="IT585" s="42"/>
      <c r="IU585" s="42"/>
      <c r="IV585" s="42"/>
      <c r="IW585" s="42"/>
      <c r="IX585" s="42"/>
      <c r="IY585" s="42"/>
      <c r="IZ585" s="42"/>
      <c r="JA585" s="42"/>
      <c r="JB585" s="42"/>
      <c r="JC585" s="42"/>
      <c r="JD585" s="42"/>
      <c r="JE585" s="42"/>
      <c r="JF585" s="42"/>
      <c r="JG585" s="42"/>
      <c r="JH585" s="42"/>
      <c r="JI585" s="42"/>
      <c r="JJ585" s="42"/>
      <c r="JK585" s="42"/>
      <c r="JL585" s="42"/>
      <c r="JM585" s="42"/>
      <c r="JN585" s="42"/>
      <c r="JO585" s="42"/>
      <c r="JP585" s="42"/>
      <c r="JQ585" s="42"/>
      <c r="JR585" s="42"/>
      <c r="JS585" s="42"/>
      <c r="JT585" s="42"/>
      <c r="JU585" s="42"/>
      <c r="JV585" s="42"/>
      <c r="JW585" s="42"/>
      <c r="JX585" s="42"/>
      <c r="JY585" s="42"/>
      <c r="JZ585" s="42"/>
      <c r="KA585" s="42"/>
    </row>
    <row r="586" spans="1:287" ht="12.75">
      <c r="A586" s="89"/>
      <c r="B586" s="89"/>
      <c r="J586" s="19"/>
      <c r="Q586" s="19"/>
      <c r="Y586" s="19"/>
      <c r="AF586" s="19"/>
      <c r="II586" s="42"/>
      <c r="IJ586" s="42"/>
      <c r="IK586" s="42"/>
      <c r="IL586" s="42"/>
      <c r="IM586" s="42"/>
      <c r="IN586" s="42"/>
      <c r="IO586" s="42"/>
      <c r="IP586" s="42"/>
      <c r="IQ586" s="42"/>
      <c r="IR586" s="42"/>
      <c r="IS586" s="42"/>
      <c r="IT586" s="42"/>
      <c r="IU586" s="42"/>
      <c r="IV586" s="42"/>
      <c r="IW586" s="42"/>
      <c r="IX586" s="42"/>
      <c r="IY586" s="42"/>
      <c r="IZ586" s="42"/>
      <c r="JA586" s="42"/>
      <c r="JB586" s="42"/>
      <c r="JC586" s="42"/>
      <c r="JD586" s="42"/>
      <c r="JE586" s="42"/>
      <c r="JF586" s="42"/>
      <c r="JG586" s="42"/>
      <c r="JH586" s="42"/>
      <c r="JI586" s="42"/>
      <c r="JJ586" s="42"/>
      <c r="JK586" s="42"/>
      <c r="JL586" s="42"/>
      <c r="JM586" s="42"/>
      <c r="JN586" s="42"/>
      <c r="JO586" s="42"/>
      <c r="JP586" s="42"/>
      <c r="JQ586" s="42"/>
      <c r="JR586" s="42"/>
      <c r="JS586" s="42"/>
      <c r="JT586" s="42"/>
      <c r="JU586" s="42"/>
      <c r="JV586" s="42"/>
      <c r="JW586" s="42"/>
      <c r="JX586" s="42"/>
      <c r="JY586" s="42"/>
      <c r="JZ586" s="42"/>
      <c r="KA586" s="42"/>
    </row>
    <row r="587" spans="1:287" ht="12.75">
      <c r="A587" s="89"/>
      <c r="B587" s="89"/>
      <c r="J587" s="19"/>
      <c r="Q587" s="19"/>
      <c r="Y587" s="19"/>
      <c r="AF587" s="19"/>
      <c r="II587" s="42"/>
      <c r="IJ587" s="42"/>
      <c r="IK587" s="42"/>
      <c r="IL587" s="42"/>
      <c r="IM587" s="42"/>
      <c r="IN587" s="42"/>
      <c r="IO587" s="42"/>
      <c r="IP587" s="42"/>
      <c r="IQ587" s="42"/>
      <c r="IR587" s="42"/>
      <c r="IS587" s="42"/>
      <c r="IT587" s="42"/>
      <c r="IU587" s="42"/>
      <c r="IV587" s="42"/>
      <c r="IW587" s="42"/>
      <c r="IX587" s="42"/>
      <c r="IY587" s="42"/>
      <c r="IZ587" s="42"/>
      <c r="JA587" s="42"/>
      <c r="JB587" s="42"/>
      <c r="JC587" s="42"/>
      <c r="JD587" s="42"/>
      <c r="JE587" s="42"/>
      <c r="JF587" s="42"/>
      <c r="JG587" s="42"/>
      <c r="JH587" s="42"/>
      <c r="JI587" s="42"/>
      <c r="JJ587" s="42"/>
      <c r="JK587" s="42"/>
      <c r="JL587" s="42"/>
      <c r="JM587" s="42"/>
      <c r="JN587" s="42"/>
      <c r="JO587" s="42"/>
      <c r="JP587" s="42"/>
      <c r="JQ587" s="42"/>
      <c r="JR587" s="42"/>
      <c r="JS587" s="42"/>
      <c r="JT587" s="42"/>
      <c r="JU587" s="42"/>
      <c r="JV587" s="42"/>
      <c r="JW587" s="42"/>
      <c r="JX587" s="42"/>
      <c r="JY587" s="42"/>
      <c r="JZ587" s="42"/>
      <c r="KA587" s="42"/>
    </row>
    <row r="588" spans="1:287" ht="12.75">
      <c r="A588" s="89"/>
      <c r="B588" s="89"/>
      <c r="J588" s="19"/>
      <c r="Q588" s="19"/>
      <c r="Y588" s="19"/>
      <c r="AF588" s="19"/>
      <c r="II588" s="42"/>
      <c r="IJ588" s="42"/>
      <c r="IK588" s="42"/>
      <c r="IL588" s="42"/>
      <c r="IM588" s="42"/>
      <c r="IN588" s="42"/>
      <c r="IO588" s="42"/>
      <c r="IP588" s="42"/>
      <c r="IQ588" s="42"/>
      <c r="IR588" s="42"/>
      <c r="IS588" s="42"/>
      <c r="IT588" s="42"/>
      <c r="IU588" s="42"/>
      <c r="IV588" s="42"/>
      <c r="IW588" s="42"/>
      <c r="IX588" s="42"/>
      <c r="IY588" s="42"/>
      <c r="IZ588" s="42"/>
      <c r="JA588" s="42"/>
      <c r="JB588" s="42"/>
      <c r="JC588" s="42"/>
      <c r="JD588" s="42"/>
      <c r="JE588" s="42"/>
      <c r="JF588" s="42"/>
      <c r="JG588" s="42"/>
      <c r="JH588" s="42"/>
      <c r="JI588" s="42"/>
      <c r="JJ588" s="42"/>
      <c r="JK588" s="42"/>
      <c r="JL588" s="42"/>
      <c r="JM588" s="42"/>
      <c r="JN588" s="42"/>
      <c r="JO588" s="42"/>
      <c r="JP588" s="42"/>
      <c r="JQ588" s="42"/>
      <c r="JR588" s="42"/>
      <c r="JS588" s="42"/>
      <c r="JT588" s="42"/>
      <c r="JU588" s="42"/>
      <c r="JV588" s="42"/>
      <c r="JW588" s="42"/>
      <c r="JX588" s="42"/>
      <c r="JY588" s="42"/>
      <c r="JZ588" s="42"/>
      <c r="KA588" s="42"/>
    </row>
    <row r="589" spans="1:287" ht="12.75">
      <c r="A589" s="89"/>
      <c r="B589" s="89"/>
      <c r="J589" s="19"/>
      <c r="Q589" s="19"/>
      <c r="Y589" s="19"/>
      <c r="AF589" s="19"/>
      <c r="II589" s="42"/>
      <c r="IJ589" s="42"/>
      <c r="IK589" s="42"/>
      <c r="IL589" s="42"/>
      <c r="IM589" s="42"/>
      <c r="IN589" s="42"/>
      <c r="IO589" s="42"/>
      <c r="IP589" s="42"/>
      <c r="IQ589" s="42"/>
      <c r="IR589" s="42"/>
      <c r="IS589" s="42"/>
      <c r="IT589" s="42"/>
      <c r="IU589" s="42"/>
      <c r="IV589" s="42"/>
      <c r="IW589" s="42"/>
      <c r="IX589" s="42"/>
      <c r="IY589" s="42"/>
      <c r="IZ589" s="42"/>
      <c r="JA589" s="42"/>
      <c r="JB589" s="42"/>
      <c r="JC589" s="42"/>
      <c r="JD589" s="42"/>
      <c r="JE589" s="42"/>
      <c r="JF589" s="42"/>
      <c r="JG589" s="42"/>
      <c r="JH589" s="42"/>
      <c r="JI589" s="42"/>
      <c r="JJ589" s="42"/>
      <c r="JK589" s="42"/>
      <c r="JL589" s="42"/>
      <c r="JM589" s="42"/>
      <c r="JN589" s="42"/>
      <c r="JO589" s="42"/>
      <c r="JP589" s="42"/>
      <c r="JQ589" s="42"/>
      <c r="JR589" s="42"/>
      <c r="JS589" s="42"/>
      <c r="JT589" s="42"/>
      <c r="JU589" s="42"/>
      <c r="JV589" s="42"/>
      <c r="JW589" s="42"/>
      <c r="JX589" s="42"/>
      <c r="JY589" s="42"/>
      <c r="JZ589" s="42"/>
      <c r="KA589" s="42"/>
    </row>
    <row r="590" spans="1:287" ht="12.75">
      <c r="A590" s="89"/>
      <c r="B590" s="89"/>
      <c r="J590" s="19"/>
      <c r="Q590" s="19"/>
      <c r="Y590" s="19"/>
      <c r="AF590" s="19"/>
      <c r="II590" s="42"/>
      <c r="IJ590" s="42"/>
      <c r="IK590" s="42"/>
      <c r="IL590" s="42"/>
      <c r="IM590" s="42"/>
      <c r="IN590" s="42"/>
      <c r="IO590" s="42"/>
      <c r="IP590" s="42"/>
      <c r="IQ590" s="42"/>
      <c r="IR590" s="42"/>
      <c r="IS590" s="42"/>
      <c r="IT590" s="42"/>
      <c r="IU590" s="42"/>
      <c r="IV590" s="42"/>
      <c r="IW590" s="42"/>
      <c r="IX590" s="42"/>
      <c r="IY590" s="42"/>
      <c r="IZ590" s="42"/>
      <c r="JA590" s="42"/>
      <c r="JB590" s="42"/>
      <c r="JC590" s="42"/>
      <c r="JD590" s="42"/>
      <c r="JE590" s="42"/>
      <c r="JF590" s="42"/>
      <c r="JG590" s="42"/>
      <c r="JH590" s="42"/>
      <c r="JI590" s="42"/>
      <c r="JJ590" s="42"/>
      <c r="JK590" s="42"/>
      <c r="JL590" s="42"/>
      <c r="JM590" s="42"/>
      <c r="JN590" s="42"/>
      <c r="JO590" s="42"/>
      <c r="JP590" s="42"/>
      <c r="JQ590" s="42"/>
      <c r="JR590" s="42"/>
      <c r="JS590" s="42"/>
      <c r="JT590" s="42"/>
      <c r="JU590" s="42"/>
      <c r="JV590" s="42"/>
      <c r="JW590" s="42"/>
      <c r="JX590" s="42"/>
      <c r="JY590" s="42"/>
      <c r="JZ590" s="42"/>
      <c r="KA590" s="42"/>
    </row>
    <row r="591" spans="1:287" ht="12.75">
      <c r="A591" s="89"/>
      <c r="B591" s="89"/>
      <c r="J591" s="19"/>
      <c r="Q591" s="19"/>
      <c r="Y591" s="19"/>
      <c r="AF591" s="19"/>
      <c r="II591" s="42"/>
      <c r="IJ591" s="42"/>
      <c r="IK591" s="42"/>
      <c r="IL591" s="42"/>
      <c r="IM591" s="42"/>
      <c r="IN591" s="42"/>
      <c r="IO591" s="42"/>
      <c r="IP591" s="42"/>
      <c r="IQ591" s="42"/>
      <c r="IR591" s="42"/>
      <c r="IS591" s="42"/>
      <c r="IT591" s="42"/>
      <c r="IU591" s="42"/>
      <c r="IV591" s="42"/>
      <c r="IW591" s="42"/>
      <c r="IX591" s="42"/>
      <c r="IY591" s="42"/>
      <c r="IZ591" s="42"/>
      <c r="JA591" s="42"/>
      <c r="JB591" s="42"/>
      <c r="JC591" s="42"/>
      <c r="JD591" s="42"/>
      <c r="JE591" s="42"/>
      <c r="JF591" s="42"/>
      <c r="JG591" s="42"/>
      <c r="JH591" s="42"/>
      <c r="JI591" s="42"/>
      <c r="JJ591" s="42"/>
      <c r="JK591" s="42"/>
      <c r="JL591" s="42"/>
      <c r="JM591" s="42"/>
      <c r="JN591" s="42"/>
      <c r="JO591" s="42"/>
      <c r="JP591" s="42"/>
      <c r="JQ591" s="42"/>
      <c r="JR591" s="42"/>
      <c r="JS591" s="42"/>
      <c r="JT591" s="42"/>
      <c r="JU591" s="42"/>
      <c r="JV591" s="42"/>
      <c r="JW591" s="42"/>
      <c r="JX591" s="42"/>
      <c r="JY591" s="42"/>
      <c r="JZ591" s="42"/>
      <c r="KA591" s="42"/>
    </row>
    <row r="592" spans="1:287" ht="12.75">
      <c r="A592" s="89"/>
      <c r="B592" s="89"/>
      <c r="J592" s="19"/>
      <c r="Q592" s="19"/>
      <c r="Y592" s="19"/>
      <c r="AF592" s="19"/>
      <c r="II592" s="42"/>
      <c r="IJ592" s="42"/>
      <c r="IK592" s="42"/>
      <c r="IL592" s="42"/>
      <c r="IM592" s="42"/>
      <c r="IN592" s="42"/>
      <c r="IO592" s="42"/>
      <c r="IP592" s="42"/>
      <c r="IQ592" s="42"/>
      <c r="IR592" s="42"/>
      <c r="IS592" s="42"/>
      <c r="IT592" s="42"/>
      <c r="IU592" s="42"/>
      <c r="IV592" s="42"/>
      <c r="IW592" s="42"/>
      <c r="IX592" s="42"/>
      <c r="IY592" s="42"/>
      <c r="IZ592" s="42"/>
      <c r="JA592" s="42"/>
      <c r="JB592" s="42"/>
      <c r="JC592" s="42"/>
      <c r="JD592" s="42"/>
      <c r="JE592" s="42"/>
      <c r="JF592" s="42"/>
      <c r="JG592" s="42"/>
      <c r="JH592" s="42"/>
      <c r="JI592" s="42"/>
      <c r="JJ592" s="42"/>
      <c r="JK592" s="42"/>
      <c r="JL592" s="42"/>
      <c r="JM592" s="42"/>
      <c r="JN592" s="42"/>
      <c r="JO592" s="42"/>
      <c r="JP592" s="42"/>
      <c r="JQ592" s="42"/>
      <c r="JR592" s="42"/>
      <c r="JS592" s="42"/>
      <c r="JT592" s="42"/>
      <c r="JU592" s="42"/>
      <c r="JV592" s="42"/>
      <c r="JW592" s="42"/>
      <c r="JX592" s="42"/>
      <c r="JY592" s="42"/>
      <c r="JZ592" s="42"/>
      <c r="KA592" s="42"/>
    </row>
    <row r="593" spans="1:287" ht="12.75">
      <c r="A593" s="89"/>
      <c r="B593" s="89"/>
      <c r="J593" s="19"/>
      <c r="Q593" s="19"/>
      <c r="Y593" s="19"/>
      <c r="AF593" s="19"/>
      <c r="II593" s="42"/>
      <c r="IJ593" s="42"/>
      <c r="IK593" s="42"/>
      <c r="IL593" s="42"/>
      <c r="IM593" s="42"/>
      <c r="IN593" s="42"/>
      <c r="IO593" s="42"/>
      <c r="IP593" s="42"/>
      <c r="IQ593" s="42"/>
      <c r="IR593" s="42"/>
      <c r="IS593" s="42"/>
      <c r="IT593" s="42"/>
      <c r="IU593" s="42"/>
      <c r="IV593" s="42"/>
      <c r="IW593" s="42"/>
      <c r="IX593" s="42"/>
      <c r="IY593" s="42"/>
      <c r="IZ593" s="42"/>
      <c r="JA593" s="42"/>
      <c r="JB593" s="42"/>
      <c r="JC593" s="42"/>
      <c r="JD593" s="42"/>
      <c r="JE593" s="42"/>
      <c r="JF593" s="42"/>
      <c r="JG593" s="42"/>
      <c r="JH593" s="42"/>
      <c r="JI593" s="42"/>
      <c r="JJ593" s="42"/>
      <c r="JK593" s="42"/>
      <c r="JL593" s="42"/>
      <c r="JM593" s="42"/>
      <c r="JN593" s="42"/>
      <c r="JO593" s="42"/>
      <c r="JP593" s="42"/>
      <c r="JQ593" s="42"/>
      <c r="JR593" s="42"/>
      <c r="JS593" s="42"/>
      <c r="JT593" s="42"/>
      <c r="JU593" s="42"/>
      <c r="JV593" s="42"/>
      <c r="JW593" s="42"/>
      <c r="JX593" s="42"/>
      <c r="JY593" s="42"/>
      <c r="JZ593" s="42"/>
      <c r="KA593" s="42"/>
    </row>
    <row r="594" spans="1:287" ht="12.75">
      <c r="A594" s="89"/>
      <c r="B594" s="89"/>
      <c r="J594" s="19"/>
      <c r="Q594" s="19"/>
      <c r="Y594" s="19"/>
      <c r="AF594" s="19"/>
      <c r="II594" s="42"/>
      <c r="IJ594" s="42"/>
      <c r="IK594" s="42"/>
      <c r="IL594" s="42"/>
      <c r="IM594" s="42"/>
      <c r="IN594" s="42"/>
      <c r="IO594" s="42"/>
      <c r="IP594" s="42"/>
      <c r="IQ594" s="42"/>
      <c r="IR594" s="42"/>
      <c r="IS594" s="42"/>
      <c r="IT594" s="42"/>
      <c r="IU594" s="42"/>
      <c r="IV594" s="42"/>
      <c r="IW594" s="42"/>
      <c r="IX594" s="42"/>
      <c r="IY594" s="42"/>
      <c r="IZ594" s="42"/>
      <c r="JA594" s="42"/>
      <c r="JB594" s="42"/>
      <c r="JC594" s="42"/>
      <c r="JD594" s="42"/>
      <c r="JE594" s="42"/>
      <c r="JF594" s="42"/>
      <c r="JG594" s="42"/>
      <c r="JH594" s="42"/>
      <c r="JI594" s="42"/>
      <c r="JJ594" s="42"/>
      <c r="JK594" s="42"/>
      <c r="JL594" s="42"/>
      <c r="JM594" s="42"/>
      <c r="JN594" s="42"/>
      <c r="JO594" s="42"/>
      <c r="JP594" s="42"/>
      <c r="JQ594" s="42"/>
      <c r="JR594" s="42"/>
      <c r="JS594" s="42"/>
      <c r="JT594" s="42"/>
      <c r="JU594" s="42"/>
      <c r="JV594" s="42"/>
      <c r="JW594" s="42"/>
      <c r="JX594" s="42"/>
      <c r="JY594" s="42"/>
      <c r="JZ594" s="42"/>
      <c r="KA594" s="42"/>
    </row>
    <row r="595" spans="1:287" ht="12.75">
      <c r="A595" s="89"/>
      <c r="B595" s="89"/>
      <c r="J595" s="19"/>
      <c r="Q595" s="19"/>
      <c r="Y595" s="19"/>
      <c r="AF595" s="19"/>
      <c r="II595" s="42"/>
      <c r="IJ595" s="42"/>
      <c r="IK595" s="42"/>
      <c r="IL595" s="42"/>
      <c r="IM595" s="42"/>
      <c r="IN595" s="42"/>
      <c r="IO595" s="42"/>
      <c r="IP595" s="42"/>
      <c r="IQ595" s="42"/>
      <c r="IR595" s="42"/>
      <c r="IS595" s="42"/>
      <c r="IT595" s="42"/>
      <c r="IU595" s="42"/>
      <c r="IV595" s="42"/>
      <c r="IW595" s="42"/>
      <c r="IX595" s="42"/>
      <c r="IY595" s="42"/>
      <c r="IZ595" s="42"/>
      <c r="JA595" s="42"/>
      <c r="JB595" s="42"/>
      <c r="JC595" s="42"/>
      <c r="JD595" s="42"/>
      <c r="JE595" s="42"/>
      <c r="JF595" s="42"/>
      <c r="JG595" s="42"/>
      <c r="JH595" s="42"/>
      <c r="JI595" s="42"/>
      <c r="JJ595" s="42"/>
      <c r="JK595" s="42"/>
      <c r="JL595" s="42"/>
      <c r="JM595" s="42"/>
      <c r="JN595" s="42"/>
      <c r="JO595" s="42"/>
      <c r="JP595" s="42"/>
      <c r="JQ595" s="42"/>
      <c r="JR595" s="42"/>
      <c r="JS595" s="42"/>
      <c r="JT595" s="42"/>
      <c r="JU595" s="42"/>
      <c r="JV595" s="42"/>
      <c r="JW595" s="42"/>
      <c r="JX595" s="42"/>
      <c r="JY595" s="42"/>
      <c r="JZ595" s="42"/>
      <c r="KA595" s="42"/>
    </row>
    <row r="596" spans="1:287" ht="12.75">
      <c r="A596" s="89"/>
      <c r="B596" s="89"/>
      <c r="J596" s="19"/>
      <c r="Q596" s="19"/>
      <c r="Y596" s="19"/>
      <c r="AF596" s="19"/>
      <c r="II596" s="42"/>
      <c r="IJ596" s="42"/>
      <c r="IK596" s="42"/>
      <c r="IL596" s="42"/>
      <c r="IM596" s="42"/>
      <c r="IN596" s="42"/>
      <c r="IO596" s="42"/>
      <c r="IP596" s="42"/>
      <c r="IQ596" s="42"/>
      <c r="IR596" s="42"/>
      <c r="IS596" s="42"/>
      <c r="IT596" s="42"/>
      <c r="IU596" s="42"/>
      <c r="IV596" s="42"/>
      <c r="IW596" s="42"/>
      <c r="IX596" s="42"/>
      <c r="IY596" s="42"/>
      <c r="IZ596" s="42"/>
      <c r="JA596" s="42"/>
      <c r="JB596" s="42"/>
      <c r="JC596" s="42"/>
      <c r="JD596" s="42"/>
      <c r="JE596" s="42"/>
      <c r="JF596" s="42"/>
      <c r="JG596" s="42"/>
      <c r="JH596" s="42"/>
      <c r="JI596" s="42"/>
      <c r="JJ596" s="42"/>
      <c r="JK596" s="42"/>
      <c r="JL596" s="42"/>
      <c r="JM596" s="42"/>
      <c r="JN596" s="42"/>
      <c r="JO596" s="42"/>
      <c r="JP596" s="42"/>
      <c r="JQ596" s="42"/>
      <c r="JR596" s="42"/>
      <c r="JS596" s="42"/>
      <c r="JT596" s="42"/>
      <c r="JU596" s="42"/>
      <c r="JV596" s="42"/>
      <c r="JW596" s="42"/>
      <c r="JX596" s="42"/>
      <c r="JY596" s="42"/>
      <c r="JZ596" s="42"/>
      <c r="KA596" s="42"/>
    </row>
    <row r="597" spans="1:287" ht="12.75">
      <c r="A597" s="89"/>
      <c r="B597" s="89"/>
      <c r="J597" s="19"/>
      <c r="Q597" s="19"/>
      <c r="Y597" s="19"/>
      <c r="AF597" s="19"/>
      <c r="II597" s="42"/>
      <c r="IJ597" s="42"/>
      <c r="IK597" s="42"/>
      <c r="IL597" s="42"/>
      <c r="IM597" s="42"/>
      <c r="IN597" s="42"/>
      <c r="IO597" s="42"/>
      <c r="IP597" s="42"/>
      <c r="IQ597" s="42"/>
      <c r="IR597" s="42"/>
      <c r="IS597" s="42"/>
      <c r="IT597" s="42"/>
      <c r="IU597" s="42"/>
      <c r="IV597" s="42"/>
      <c r="IW597" s="42"/>
      <c r="IX597" s="42"/>
      <c r="IY597" s="42"/>
      <c r="IZ597" s="42"/>
      <c r="JA597" s="42"/>
      <c r="JB597" s="42"/>
      <c r="JC597" s="42"/>
      <c r="JD597" s="42"/>
      <c r="JE597" s="42"/>
      <c r="JF597" s="42"/>
      <c r="JG597" s="42"/>
      <c r="JH597" s="42"/>
      <c r="JI597" s="42"/>
      <c r="JJ597" s="42"/>
      <c r="JK597" s="42"/>
      <c r="JL597" s="42"/>
      <c r="JM597" s="42"/>
      <c r="JN597" s="42"/>
      <c r="JO597" s="42"/>
      <c r="JP597" s="42"/>
      <c r="JQ597" s="42"/>
      <c r="JR597" s="42"/>
      <c r="JS597" s="42"/>
      <c r="JT597" s="42"/>
      <c r="JU597" s="42"/>
      <c r="JV597" s="42"/>
      <c r="JW597" s="42"/>
      <c r="JX597" s="42"/>
      <c r="JY597" s="42"/>
      <c r="JZ597" s="42"/>
      <c r="KA597" s="42"/>
    </row>
    <row r="598" spans="1:287" ht="12.75">
      <c r="A598" s="89"/>
      <c r="B598" s="89"/>
      <c r="J598" s="19"/>
      <c r="Q598" s="19"/>
      <c r="Y598" s="19"/>
      <c r="AF598" s="19"/>
      <c r="II598" s="42"/>
      <c r="IJ598" s="42"/>
      <c r="IK598" s="42"/>
      <c r="IL598" s="42"/>
      <c r="IM598" s="42"/>
      <c r="IN598" s="42"/>
      <c r="IO598" s="42"/>
      <c r="IP598" s="42"/>
      <c r="IQ598" s="42"/>
      <c r="IR598" s="42"/>
      <c r="IS598" s="42"/>
      <c r="IT598" s="42"/>
      <c r="IU598" s="42"/>
      <c r="IV598" s="42"/>
      <c r="IW598" s="42"/>
      <c r="IX598" s="42"/>
      <c r="IY598" s="42"/>
      <c r="IZ598" s="42"/>
      <c r="JA598" s="42"/>
      <c r="JB598" s="42"/>
      <c r="JC598" s="42"/>
      <c r="JD598" s="42"/>
      <c r="JE598" s="42"/>
      <c r="JF598" s="42"/>
      <c r="JG598" s="42"/>
      <c r="JH598" s="42"/>
      <c r="JI598" s="42"/>
      <c r="JJ598" s="42"/>
      <c r="JK598" s="42"/>
      <c r="JL598" s="42"/>
      <c r="JM598" s="42"/>
      <c r="JN598" s="42"/>
      <c r="JO598" s="42"/>
      <c r="JP598" s="42"/>
      <c r="JQ598" s="42"/>
      <c r="JR598" s="42"/>
      <c r="JS598" s="42"/>
      <c r="JT598" s="42"/>
      <c r="JU598" s="42"/>
      <c r="JV598" s="42"/>
      <c r="JW598" s="42"/>
      <c r="JX598" s="42"/>
      <c r="JY598" s="42"/>
      <c r="JZ598" s="42"/>
      <c r="KA598" s="42"/>
    </row>
    <row r="599" spans="1:287" ht="12.75">
      <c r="A599" s="89"/>
      <c r="B599" s="89"/>
      <c r="J599" s="19"/>
      <c r="Q599" s="19"/>
      <c r="Y599" s="19"/>
      <c r="AF599" s="19"/>
      <c r="II599" s="42"/>
      <c r="IJ599" s="42"/>
      <c r="IK599" s="42"/>
      <c r="IL599" s="42"/>
      <c r="IM599" s="42"/>
      <c r="IN599" s="42"/>
      <c r="IO599" s="42"/>
      <c r="IP599" s="42"/>
      <c r="IQ599" s="42"/>
      <c r="IR599" s="42"/>
      <c r="IS599" s="42"/>
      <c r="IT599" s="42"/>
      <c r="IU599" s="42"/>
      <c r="IV599" s="42"/>
      <c r="IW599" s="42"/>
      <c r="IX599" s="42"/>
      <c r="IY599" s="42"/>
      <c r="IZ599" s="42"/>
      <c r="JA599" s="42"/>
      <c r="JB599" s="42"/>
      <c r="JC599" s="42"/>
      <c r="JD599" s="42"/>
      <c r="JE599" s="42"/>
      <c r="JF599" s="42"/>
      <c r="JG599" s="42"/>
      <c r="JH599" s="42"/>
      <c r="JI599" s="42"/>
      <c r="JJ599" s="42"/>
      <c r="JK599" s="42"/>
      <c r="JL599" s="42"/>
      <c r="JM599" s="42"/>
      <c r="JN599" s="42"/>
      <c r="JO599" s="42"/>
      <c r="JP599" s="42"/>
      <c r="JQ599" s="42"/>
      <c r="JR599" s="42"/>
      <c r="JS599" s="42"/>
      <c r="JT599" s="42"/>
      <c r="JU599" s="42"/>
      <c r="JV599" s="42"/>
      <c r="JW599" s="42"/>
      <c r="JX599" s="42"/>
      <c r="JY599" s="42"/>
      <c r="JZ599" s="42"/>
      <c r="KA599" s="42"/>
    </row>
    <row r="600" spans="1:287" ht="12.75">
      <c r="A600" s="89"/>
      <c r="B600" s="89"/>
      <c r="J600" s="19"/>
      <c r="Q600" s="19"/>
      <c r="Y600" s="19"/>
      <c r="AF600" s="19"/>
      <c r="II600" s="42"/>
      <c r="IJ600" s="42"/>
      <c r="IK600" s="42"/>
      <c r="IL600" s="42"/>
      <c r="IM600" s="42"/>
      <c r="IN600" s="42"/>
      <c r="IO600" s="42"/>
      <c r="IP600" s="42"/>
      <c r="IQ600" s="42"/>
      <c r="IR600" s="42"/>
      <c r="IS600" s="42"/>
      <c r="IT600" s="42"/>
      <c r="IU600" s="42"/>
      <c r="IV600" s="42"/>
      <c r="IW600" s="42"/>
      <c r="IX600" s="42"/>
      <c r="IY600" s="42"/>
      <c r="IZ600" s="42"/>
      <c r="JA600" s="42"/>
      <c r="JB600" s="42"/>
      <c r="JC600" s="42"/>
      <c r="JD600" s="42"/>
      <c r="JE600" s="42"/>
      <c r="JF600" s="42"/>
      <c r="JG600" s="42"/>
      <c r="JH600" s="42"/>
      <c r="JI600" s="42"/>
      <c r="JJ600" s="42"/>
      <c r="JK600" s="42"/>
      <c r="JL600" s="42"/>
      <c r="JM600" s="42"/>
      <c r="JN600" s="42"/>
      <c r="JO600" s="42"/>
      <c r="JP600" s="42"/>
      <c r="JQ600" s="42"/>
      <c r="JR600" s="42"/>
      <c r="JS600" s="42"/>
      <c r="JT600" s="42"/>
      <c r="JU600" s="42"/>
      <c r="JV600" s="42"/>
      <c r="JW600" s="42"/>
      <c r="JX600" s="42"/>
      <c r="JY600" s="42"/>
      <c r="JZ600" s="42"/>
      <c r="KA600" s="42"/>
    </row>
    <row r="601" spans="1:287" ht="12.75">
      <c r="A601" s="89"/>
      <c r="B601" s="89"/>
      <c r="J601" s="19"/>
      <c r="Q601" s="19"/>
      <c r="Y601" s="19"/>
      <c r="AF601" s="19"/>
      <c r="II601" s="42"/>
      <c r="IJ601" s="42"/>
      <c r="IK601" s="42"/>
      <c r="IL601" s="42"/>
      <c r="IM601" s="42"/>
      <c r="IN601" s="42"/>
      <c r="IO601" s="42"/>
      <c r="IP601" s="42"/>
      <c r="IQ601" s="42"/>
      <c r="IR601" s="42"/>
      <c r="IS601" s="42"/>
      <c r="IT601" s="42"/>
      <c r="IU601" s="42"/>
      <c r="IV601" s="42"/>
      <c r="IW601" s="42"/>
      <c r="IX601" s="42"/>
      <c r="IY601" s="42"/>
      <c r="IZ601" s="42"/>
      <c r="JA601" s="42"/>
      <c r="JB601" s="42"/>
      <c r="JC601" s="42"/>
      <c r="JD601" s="42"/>
      <c r="JE601" s="42"/>
      <c r="JF601" s="42"/>
      <c r="JG601" s="42"/>
      <c r="JH601" s="42"/>
      <c r="JI601" s="42"/>
      <c r="JJ601" s="42"/>
      <c r="JK601" s="42"/>
      <c r="JL601" s="42"/>
      <c r="JM601" s="42"/>
      <c r="JN601" s="42"/>
      <c r="JO601" s="42"/>
      <c r="JP601" s="42"/>
      <c r="JQ601" s="42"/>
      <c r="JR601" s="42"/>
      <c r="JS601" s="42"/>
      <c r="JT601" s="42"/>
      <c r="JU601" s="42"/>
      <c r="JV601" s="42"/>
      <c r="JW601" s="42"/>
      <c r="JX601" s="42"/>
      <c r="JY601" s="42"/>
      <c r="JZ601" s="42"/>
      <c r="KA601" s="42"/>
    </row>
    <row r="602" spans="1:287" ht="12.75">
      <c r="A602" s="89"/>
      <c r="B602" s="89"/>
      <c r="J602" s="19"/>
      <c r="Q602" s="19"/>
      <c r="Y602" s="19"/>
      <c r="AF602" s="19"/>
      <c r="II602" s="42"/>
      <c r="IJ602" s="42"/>
      <c r="IK602" s="42"/>
      <c r="IL602" s="42"/>
      <c r="IM602" s="42"/>
      <c r="IN602" s="42"/>
      <c r="IO602" s="42"/>
      <c r="IP602" s="42"/>
      <c r="IQ602" s="42"/>
      <c r="IR602" s="42"/>
      <c r="IS602" s="42"/>
      <c r="IT602" s="42"/>
      <c r="IU602" s="42"/>
      <c r="IV602" s="42"/>
      <c r="IW602" s="42"/>
      <c r="IX602" s="42"/>
      <c r="IY602" s="42"/>
      <c r="IZ602" s="42"/>
      <c r="JA602" s="42"/>
      <c r="JB602" s="42"/>
      <c r="JC602" s="42"/>
      <c r="JD602" s="42"/>
      <c r="JE602" s="42"/>
      <c r="JF602" s="42"/>
      <c r="JG602" s="42"/>
      <c r="JH602" s="42"/>
      <c r="JI602" s="42"/>
      <c r="JJ602" s="42"/>
      <c r="JK602" s="42"/>
      <c r="JL602" s="42"/>
      <c r="JM602" s="42"/>
      <c r="JN602" s="42"/>
      <c r="JO602" s="42"/>
      <c r="JP602" s="42"/>
      <c r="JQ602" s="42"/>
      <c r="JR602" s="42"/>
      <c r="JS602" s="42"/>
      <c r="JT602" s="42"/>
      <c r="JU602" s="42"/>
      <c r="JV602" s="42"/>
      <c r="JW602" s="42"/>
      <c r="JX602" s="42"/>
      <c r="JY602" s="42"/>
      <c r="JZ602" s="42"/>
      <c r="KA602" s="42"/>
    </row>
    <row r="603" spans="1:287" ht="12.75">
      <c r="A603" s="89"/>
      <c r="B603" s="89"/>
      <c r="J603" s="19"/>
      <c r="Q603" s="19"/>
      <c r="Y603" s="19"/>
      <c r="AF603" s="19"/>
      <c r="II603" s="42"/>
      <c r="IJ603" s="42"/>
      <c r="IK603" s="42"/>
      <c r="IL603" s="42"/>
      <c r="IM603" s="42"/>
      <c r="IN603" s="42"/>
      <c r="IO603" s="42"/>
      <c r="IP603" s="42"/>
      <c r="IQ603" s="42"/>
      <c r="IR603" s="42"/>
      <c r="IS603" s="42"/>
      <c r="IT603" s="42"/>
      <c r="IU603" s="42"/>
      <c r="IV603" s="42"/>
      <c r="IW603" s="42"/>
      <c r="IX603" s="42"/>
      <c r="IY603" s="42"/>
      <c r="IZ603" s="42"/>
      <c r="JA603" s="42"/>
      <c r="JB603" s="42"/>
      <c r="JC603" s="42"/>
      <c r="JD603" s="42"/>
      <c r="JE603" s="42"/>
      <c r="JF603" s="42"/>
      <c r="JG603" s="42"/>
      <c r="JH603" s="42"/>
      <c r="JI603" s="42"/>
      <c r="JJ603" s="42"/>
      <c r="JK603" s="42"/>
      <c r="JL603" s="42"/>
      <c r="JM603" s="42"/>
      <c r="JN603" s="42"/>
      <c r="JO603" s="42"/>
      <c r="JP603" s="42"/>
      <c r="JQ603" s="42"/>
      <c r="JR603" s="42"/>
      <c r="JS603" s="42"/>
      <c r="JT603" s="42"/>
      <c r="JU603" s="42"/>
      <c r="JV603" s="42"/>
      <c r="JW603" s="42"/>
      <c r="JX603" s="42"/>
      <c r="JY603" s="42"/>
      <c r="JZ603" s="42"/>
      <c r="KA603" s="42"/>
    </row>
    <row r="604" spans="1:287" ht="12.75">
      <c r="A604" s="89"/>
      <c r="B604" s="89"/>
      <c r="J604" s="19"/>
      <c r="Q604" s="19"/>
      <c r="Y604" s="19"/>
      <c r="AF604" s="19"/>
      <c r="II604" s="42"/>
      <c r="IJ604" s="42"/>
      <c r="IK604" s="42"/>
      <c r="IL604" s="42"/>
      <c r="IM604" s="42"/>
      <c r="IN604" s="42"/>
      <c r="IO604" s="42"/>
      <c r="IP604" s="42"/>
      <c r="IQ604" s="42"/>
      <c r="IR604" s="42"/>
      <c r="IS604" s="42"/>
      <c r="IT604" s="42"/>
      <c r="IU604" s="42"/>
      <c r="IV604" s="42"/>
      <c r="IW604" s="42"/>
      <c r="IX604" s="42"/>
      <c r="IY604" s="42"/>
      <c r="IZ604" s="42"/>
      <c r="JA604" s="42"/>
      <c r="JB604" s="42"/>
      <c r="JC604" s="42"/>
      <c r="JD604" s="42"/>
      <c r="JE604" s="42"/>
      <c r="JF604" s="42"/>
      <c r="JG604" s="42"/>
      <c r="JH604" s="42"/>
      <c r="JI604" s="42"/>
      <c r="JJ604" s="42"/>
      <c r="JK604" s="42"/>
      <c r="JL604" s="42"/>
      <c r="JM604" s="42"/>
      <c r="JN604" s="42"/>
      <c r="JO604" s="42"/>
      <c r="JP604" s="42"/>
      <c r="JQ604" s="42"/>
      <c r="JR604" s="42"/>
      <c r="JS604" s="42"/>
      <c r="JT604" s="42"/>
      <c r="JU604" s="42"/>
      <c r="JV604" s="42"/>
      <c r="JW604" s="42"/>
      <c r="JX604" s="42"/>
      <c r="JY604" s="42"/>
      <c r="JZ604" s="42"/>
      <c r="KA604" s="42"/>
    </row>
    <row r="605" spans="1:287" ht="12.75">
      <c r="A605" s="89"/>
      <c r="B605" s="89"/>
      <c r="J605" s="19"/>
      <c r="Q605" s="19"/>
      <c r="Y605" s="19"/>
      <c r="AF605" s="19"/>
      <c r="II605" s="42"/>
      <c r="IJ605" s="42"/>
      <c r="IK605" s="42"/>
      <c r="IL605" s="42"/>
      <c r="IM605" s="42"/>
      <c r="IN605" s="42"/>
      <c r="IO605" s="42"/>
      <c r="IP605" s="42"/>
      <c r="IQ605" s="42"/>
      <c r="IR605" s="42"/>
      <c r="IS605" s="42"/>
      <c r="IT605" s="42"/>
      <c r="IU605" s="42"/>
      <c r="IV605" s="42"/>
      <c r="IW605" s="42"/>
      <c r="IX605" s="42"/>
      <c r="IY605" s="42"/>
      <c r="IZ605" s="42"/>
      <c r="JA605" s="42"/>
      <c r="JB605" s="42"/>
      <c r="JC605" s="42"/>
      <c r="JD605" s="42"/>
      <c r="JE605" s="42"/>
      <c r="JF605" s="42"/>
      <c r="JG605" s="42"/>
      <c r="JH605" s="42"/>
      <c r="JI605" s="42"/>
      <c r="JJ605" s="42"/>
      <c r="JK605" s="42"/>
      <c r="JL605" s="42"/>
      <c r="JM605" s="42"/>
      <c r="JN605" s="42"/>
      <c r="JO605" s="42"/>
      <c r="JP605" s="42"/>
      <c r="JQ605" s="42"/>
      <c r="JR605" s="42"/>
      <c r="JS605" s="42"/>
      <c r="JT605" s="42"/>
      <c r="JU605" s="42"/>
      <c r="JV605" s="42"/>
      <c r="JW605" s="42"/>
      <c r="JX605" s="42"/>
      <c r="JY605" s="42"/>
      <c r="JZ605" s="42"/>
      <c r="KA605" s="42"/>
    </row>
    <row r="606" spans="1:287" ht="12.75">
      <c r="A606" s="89"/>
      <c r="B606" s="89"/>
      <c r="J606" s="19"/>
      <c r="Q606" s="19"/>
      <c r="Y606" s="19"/>
      <c r="AF606" s="19"/>
      <c r="II606" s="42"/>
      <c r="IJ606" s="42"/>
      <c r="IK606" s="42"/>
      <c r="IL606" s="42"/>
      <c r="IM606" s="42"/>
      <c r="IN606" s="42"/>
      <c r="IO606" s="42"/>
      <c r="IP606" s="42"/>
      <c r="IQ606" s="42"/>
      <c r="IR606" s="42"/>
      <c r="IS606" s="42"/>
      <c r="IT606" s="42"/>
      <c r="IU606" s="42"/>
      <c r="IV606" s="42"/>
      <c r="IW606" s="42"/>
      <c r="IX606" s="42"/>
      <c r="IY606" s="42"/>
      <c r="IZ606" s="42"/>
      <c r="JA606" s="42"/>
      <c r="JB606" s="42"/>
      <c r="JC606" s="42"/>
      <c r="JD606" s="42"/>
      <c r="JE606" s="42"/>
      <c r="JF606" s="42"/>
      <c r="JG606" s="42"/>
      <c r="JH606" s="42"/>
      <c r="JI606" s="42"/>
      <c r="JJ606" s="42"/>
      <c r="JK606" s="42"/>
      <c r="JL606" s="42"/>
      <c r="JM606" s="42"/>
      <c r="JN606" s="42"/>
      <c r="JO606" s="42"/>
      <c r="JP606" s="42"/>
      <c r="JQ606" s="42"/>
      <c r="JR606" s="42"/>
      <c r="JS606" s="42"/>
      <c r="JT606" s="42"/>
      <c r="JU606" s="42"/>
      <c r="JV606" s="42"/>
      <c r="JW606" s="42"/>
      <c r="JX606" s="42"/>
      <c r="JY606" s="42"/>
      <c r="JZ606" s="42"/>
      <c r="KA606" s="42"/>
    </row>
    <row r="607" spans="1:287" ht="12.75">
      <c r="A607" s="89"/>
      <c r="B607" s="89"/>
      <c r="J607" s="19"/>
      <c r="Q607" s="19"/>
      <c r="Y607" s="19"/>
      <c r="AF607" s="19"/>
      <c r="II607" s="42"/>
      <c r="IJ607" s="42"/>
      <c r="IK607" s="42"/>
      <c r="IL607" s="42"/>
      <c r="IM607" s="42"/>
      <c r="IN607" s="42"/>
      <c r="IO607" s="42"/>
      <c r="IP607" s="42"/>
      <c r="IQ607" s="42"/>
      <c r="IR607" s="42"/>
      <c r="IS607" s="42"/>
      <c r="IT607" s="42"/>
      <c r="IU607" s="42"/>
      <c r="IV607" s="42"/>
      <c r="IW607" s="42"/>
      <c r="IX607" s="42"/>
      <c r="IY607" s="42"/>
      <c r="IZ607" s="42"/>
      <c r="JA607" s="42"/>
      <c r="JB607" s="42"/>
      <c r="JC607" s="42"/>
      <c r="JD607" s="42"/>
      <c r="JE607" s="42"/>
      <c r="JF607" s="42"/>
      <c r="JG607" s="42"/>
      <c r="JH607" s="42"/>
      <c r="JI607" s="42"/>
      <c r="JJ607" s="42"/>
      <c r="JK607" s="42"/>
      <c r="JL607" s="42"/>
      <c r="JM607" s="42"/>
      <c r="JN607" s="42"/>
      <c r="JO607" s="42"/>
      <c r="JP607" s="42"/>
      <c r="JQ607" s="42"/>
      <c r="JR607" s="42"/>
      <c r="JS607" s="42"/>
      <c r="JT607" s="42"/>
      <c r="JU607" s="42"/>
      <c r="JV607" s="42"/>
      <c r="JW607" s="42"/>
      <c r="JX607" s="42"/>
      <c r="JY607" s="42"/>
      <c r="JZ607" s="42"/>
      <c r="KA607" s="42"/>
    </row>
    <row r="608" spans="1:287" ht="12.75">
      <c r="A608" s="89"/>
      <c r="B608" s="89"/>
      <c r="J608" s="19"/>
      <c r="Q608" s="19"/>
      <c r="Y608" s="19"/>
      <c r="AF608" s="19"/>
      <c r="II608" s="42"/>
      <c r="IJ608" s="42"/>
      <c r="IK608" s="42"/>
      <c r="IL608" s="42"/>
      <c r="IM608" s="42"/>
      <c r="IN608" s="42"/>
      <c r="IO608" s="42"/>
      <c r="IP608" s="42"/>
      <c r="IQ608" s="42"/>
      <c r="IR608" s="42"/>
      <c r="IS608" s="42"/>
      <c r="IT608" s="42"/>
      <c r="IU608" s="42"/>
      <c r="IV608" s="42"/>
      <c r="IW608" s="42"/>
      <c r="IX608" s="42"/>
      <c r="IY608" s="42"/>
      <c r="IZ608" s="42"/>
      <c r="JA608" s="42"/>
      <c r="JB608" s="42"/>
      <c r="JC608" s="42"/>
      <c r="JD608" s="42"/>
      <c r="JE608" s="42"/>
      <c r="JF608" s="42"/>
      <c r="JG608" s="42"/>
      <c r="JH608" s="42"/>
      <c r="JI608" s="42"/>
      <c r="JJ608" s="42"/>
      <c r="JK608" s="42"/>
      <c r="JL608" s="42"/>
      <c r="JM608" s="42"/>
      <c r="JN608" s="42"/>
      <c r="JO608" s="42"/>
      <c r="JP608" s="42"/>
      <c r="JQ608" s="42"/>
      <c r="JR608" s="42"/>
      <c r="JS608" s="42"/>
      <c r="JT608" s="42"/>
      <c r="JU608" s="42"/>
      <c r="JV608" s="42"/>
      <c r="JW608" s="42"/>
      <c r="JX608" s="42"/>
      <c r="JY608" s="42"/>
      <c r="JZ608" s="42"/>
      <c r="KA608" s="42"/>
    </row>
    <row r="609" spans="1:287" ht="12.75">
      <c r="A609" s="89"/>
      <c r="B609" s="89"/>
      <c r="J609" s="19"/>
      <c r="Q609" s="19"/>
      <c r="Y609" s="19"/>
      <c r="AF609" s="19"/>
      <c r="II609" s="42"/>
      <c r="IJ609" s="42"/>
      <c r="IK609" s="42"/>
      <c r="IL609" s="42"/>
      <c r="IM609" s="42"/>
      <c r="IN609" s="42"/>
      <c r="IO609" s="42"/>
      <c r="IP609" s="42"/>
      <c r="IQ609" s="42"/>
      <c r="IR609" s="42"/>
      <c r="IS609" s="42"/>
      <c r="IT609" s="42"/>
      <c r="IU609" s="42"/>
      <c r="IV609" s="42"/>
      <c r="IW609" s="42"/>
      <c r="IX609" s="42"/>
      <c r="IY609" s="42"/>
      <c r="IZ609" s="42"/>
      <c r="JA609" s="42"/>
      <c r="JB609" s="42"/>
      <c r="JC609" s="42"/>
      <c r="JD609" s="42"/>
      <c r="JE609" s="42"/>
      <c r="JF609" s="42"/>
      <c r="JG609" s="42"/>
      <c r="JH609" s="42"/>
      <c r="JI609" s="42"/>
      <c r="JJ609" s="42"/>
      <c r="JK609" s="42"/>
      <c r="JL609" s="42"/>
      <c r="JM609" s="42"/>
      <c r="JN609" s="42"/>
      <c r="JO609" s="42"/>
      <c r="JP609" s="42"/>
      <c r="JQ609" s="42"/>
      <c r="JR609" s="42"/>
      <c r="JS609" s="42"/>
      <c r="JT609" s="42"/>
      <c r="JU609" s="42"/>
      <c r="JV609" s="42"/>
      <c r="JW609" s="42"/>
      <c r="JX609" s="42"/>
      <c r="JY609" s="42"/>
      <c r="JZ609" s="42"/>
      <c r="KA609" s="42"/>
    </row>
    <row r="610" spans="1:287" ht="12.75">
      <c r="A610" s="89"/>
      <c r="B610" s="89"/>
      <c r="J610" s="19"/>
      <c r="Q610" s="19"/>
      <c r="Y610" s="19"/>
      <c r="AF610" s="19"/>
      <c r="II610" s="42"/>
      <c r="IJ610" s="42"/>
      <c r="IK610" s="42"/>
      <c r="IL610" s="42"/>
      <c r="IM610" s="42"/>
      <c r="IN610" s="42"/>
      <c r="IO610" s="42"/>
      <c r="IP610" s="42"/>
      <c r="IQ610" s="42"/>
      <c r="IR610" s="42"/>
      <c r="IS610" s="42"/>
      <c r="IT610" s="42"/>
      <c r="IU610" s="42"/>
      <c r="IV610" s="42"/>
      <c r="IW610" s="42"/>
      <c r="IX610" s="42"/>
      <c r="IY610" s="42"/>
      <c r="IZ610" s="42"/>
      <c r="JA610" s="42"/>
      <c r="JB610" s="42"/>
      <c r="JC610" s="42"/>
      <c r="JD610" s="42"/>
      <c r="JE610" s="42"/>
      <c r="JF610" s="42"/>
      <c r="JG610" s="42"/>
      <c r="JH610" s="42"/>
      <c r="JI610" s="42"/>
      <c r="JJ610" s="42"/>
      <c r="JK610" s="42"/>
      <c r="JL610" s="42"/>
      <c r="JM610" s="42"/>
      <c r="JN610" s="42"/>
      <c r="JO610" s="42"/>
      <c r="JP610" s="42"/>
      <c r="JQ610" s="42"/>
      <c r="JR610" s="42"/>
      <c r="JS610" s="42"/>
      <c r="JT610" s="42"/>
      <c r="JU610" s="42"/>
      <c r="JV610" s="42"/>
      <c r="JW610" s="42"/>
      <c r="JX610" s="42"/>
      <c r="JY610" s="42"/>
      <c r="JZ610" s="42"/>
      <c r="KA610" s="42"/>
    </row>
    <row r="611" spans="1:287" ht="12.75">
      <c r="A611" s="89"/>
      <c r="B611" s="89"/>
      <c r="J611" s="19"/>
      <c r="Q611" s="19"/>
      <c r="Y611" s="19"/>
      <c r="AF611" s="19"/>
      <c r="II611" s="42"/>
      <c r="IJ611" s="42"/>
      <c r="IK611" s="42"/>
      <c r="IL611" s="42"/>
      <c r="IM611" s="42"/>
      <c r="IN611" s="42"/>
      <c r="IO611" s="42"/>
      <c r="IP611" s="42"/>
      <c r="IQ611" s="42"/>
      <c r="IR611" s="42"/>
      <c r="IS611" s="42"/>
      <c r="IT611" s="42"/>
      <c r="IU611" s="42"/>
      <c r="IV611" s="42"/>
      <c r="IW611" s="42"/>
      <c r="IX611" s="42"/>
      <c r="IY611" s="42"/>
      <c r="IZ611" s="42"/>
      <c r="JA611" s="42"/>
      <c r="JB611" s="42"/>
      <c r="JC611" s="42"/>
      <c r="JD611" s="42"/>
      <c r="JE611" s="42"/>
      <c r="JF611" s="42"/>
      <c r="JG611" s="42"/>
      <c r="JH611" s="42"/>
      <c r="JI611" s="42"/>
      <c r="JJ611" s="42"/>
      <c r="JK611" s="42"/>
      <c r="JL611" s="42"/>
      <c r="JM611" s="42"/>
      <c r="JN611" s="42"/>
      <c r="JO611" s="42"/>
      <c r="JP611" s="42"/>
      <c r="JQ611" s="42"/>
      <c r="JR611" s="42"/>
      <c r="JS611" s="42"/>
      <c r="JT611" s="42"/>
      <c r="JU611" s="42"/>
      <c r="JV611" s="42"/>
      <c r="JW611" s="42"/>
      <c r="JX611" s="42"/>
      <c r="JY611" s="42"/>
      <c r="JZ611" s="42"/>
      <c r="KA611" s="42"/>
    </row>
    <row r="612" spans="1:287" ht="12.75">
      <c r="A612" s="89"/>
      <c r="B612" s="89"/>
      <c r="J612" s="19"/>
      <c r="Q612" s="19"/>
      <c r="Y612" s="19"/>
      <c r="AF612" s="19"/>
      <c r="II612" s="42"/>
      <c r="IJ612" s="42"/>
      <c r="IK612" s="42"/>
      <c r="IL612" s="42"/>
      <c r="IM612" s="42"/>
      <c r="IN612" s="42"/>
      <c r="IO612" s="42"/>
      <c r="IP612" s="42"/>
      <c r="IQ612" s="42"/>
      <c r="IR612" s="42"/>
      <c r="IS612" s="42"/>
      <c r="IT612" s="42"/>
      <c r="IU612" s="42"/>
      <c r="IV612" s="42"/>
      <c r="IW612" s="42"/>
      <c r="IX612" s="42"/>
      <c r="IY612" s="42"/>
      <c r="IZ612" s="42"/>
      <c r="JA612" s="42"/>
      <c r="JB612" s="42"/>
      <c r="JC612" s="42"/>
      <c r="JD612" s="42"/>
      <c r="JE612" s="42"/>
      <c r="JF612" s="42"/>
      <c r="JG612" s="42"/>
      <c r="JH612" s="42"/>
      <c r="JI612" s="42"/>
      <c r="JJ612" s="42"/>
      <c r="JK612" s="42"/>
      <c r="JL612" s="42"/>
      <c r="JM612" s="42"/>
      <c r="JN612" s="42"/>
      <c r="JO612" s="42"/>
      <c r="JP612" s="42"/>
      <c r="JQ612" s="42"/>
      <c r="JR612" s="42"/>
      <c r="JS612" s="42"/>
      <c r="JT612" s="42"/>
      <c r="JU612" s="42"/>
      <c r="JV612" s="42"/>
      <c r="JW612" s="42"/>
      <c r="JX612" s="42"/>
      <c r="JY612" s="42"/>
      <c r="JZ612" s="42"/>
      <c r="KA612" s="42"/>
    </row>
    <row r="613" spans="1:287" ht="12.75">
      <c r="A613" s="89"/>
      <c r="B613" s="89"/>
      <c r="J613" s="19"/>
      <c r="Q613" s="19"/>
      <c r="Y613" s="19"/>
      <c r="AF613" s="19"/>
      <c r="II613" s="42"/>
      <c r="IJ613" s="42"/>
      <c r="IK613" s="42"/>
      <c r="IL613" s="42"/>
      <c r="IM613" s="42"/>
      <c r="IN613" s="42"/>
      <c r="IO613" s="42"/>
      <c r="IP613" s="42"/>
      <c r="IQ613" s="42"/>
      <c r="IR613" s="42"/>
      <c r="IS613" s="42"/>
      <c r="IT613" s="42"/>
      <c r="IU613" s="42"/>
      <c r="IV613" s="42"/>
      <c r="IW613" s="42"/>
      <c r="IX613" s="42"/>
      <c r="IY613" s="42"/>
      <c r="IZ613" s="42"/>
      <c r="JA613" s="42"/>
      <c r="JB613" s="42"/>
      <c r="JC613" s="42"/>
      <c r="JD613" s="42"/>
      <c r="JE613" s="42"/>
      <c r="JF613" s="42"/>
      <c r="JG613" s="42"/>
      <c r="JH613" s="42"/>
      <c r="JI613" s="42"/>
      <c r="JJ613" s="42"/>
      <c r="JK613" s="42"/>
      <c r="JL613" s="42"/>
      <c r="JM613" s="42"/>
      <c r="JN613" s="42"/>
      <c r="JO613" s="42"/>
      <c r="JP613" s="42"/>
      <c r="JQ613" s="42"/>
      <c r="JR613" s="42"/>
      <c r="JS613" s="42"/>
      <c r="JT613" s="42"/>
      <c r="JU613" s="42"/>
      <c r="JV613" s="42"/>
      <c r="JW613" s="42"/>
      <c r="JX613" s="42"/>
      <c r="JY613" s="42"/>
      <c r="JZ613" s="42"/>
      <c r="KA613" s="42"/>
    </row>
    <row r="614" spans="1:287" ht="12.75">
      <c r="A614" s="89"/>
      <c r="B614" s="89"/>
      <c r="J614" s="19"/>
      <c r="Q614" s="19"/>
      <c r="Y614" s="19"/>
      <c r="AF614" s="19"/>
      <c r="II614" s="42"/>
      <c r="IJ614" s="42"/>
      <c r="IK614" s="42"/>
      <c r="IL614" s="42"/>
      <c r="IM614" s="42"/>
      <c r="IN614" s="42"/>
      <c r="IO614" s="42"/>
      <c r="IP614" s="42"/>
      <c r="IQ614" s="42"/>
      <c r="IR614" s="42"/>
      <c r="IS614" s="42"/>
      <c r="IT614" s="42"/>
      <c r="IU614" s="42"/>
      <c r="IV614" s="42"/>
      <c r="IW614" s="42"/>
      <c r="IX614" s="42"/>
      <c r="IY614" s="42"/>
      <c r="IZ614" s="42"/>
      <c r="JA614" s="42"/>
      <c r="JB614" s="42"/>
      <c r="JC614" s="42"/>
      <c r="JD614" s="42"/>
      <c r="JE614" s="42"/>
      <c r="JF614" s="42"/>
      <c r="JG614" s="42"/>
      <c r="JH614" s="42"/>
      <c r="JI614" s="42"/>
      <c r="JJ614" s="42"/>
      <c r="JK614" s="42"/>
      <c r="JL614" s="42"/>
      <c r="JM614" s="42"/>
      <c r="JN614" s="42"/>
      <c r="JO614" s="42"/>
      <c r="JP614" s="42"/>
      <c r="JQ614" s="42"/>
      <c r="JR614" s="42"/>
      <c r="JS614" s="42"/>
      <c r="JT614" s="42"/>
      <c r="JU614" s="42"/>
      <c r="JV614" s="42"/>
      <c r="JW614" s="42"/>
      <c r="JX614" s="42"/>
      <c r="JY614" s="42"/>
      <c r="JZ614" s="42"/>
      <c r="KA614" s="42"/>
    </row>
    <row r="615" spans="1:287" ht="12.75">
      <c r="A615" s="89"/>
      <c r="B615" s="89"/>
      <c r="J615" s="19"/>
      <c r="Q615" s="19"/>
      <c r="Y615" s="19"/>
      <c r="AF615" s="19"/>
      <c r="II615" s="42"/>
      <c r="IJ615" s="42"/>
      <c r="IK615" s="42"/>
      <c r="IL615" s="42"/>
      <c r="IM615" s="42"/>
      <c r="IN615" s="42"/>
      <c r="IO615" s="42"/>
      <c r="IP615" s="42"/>
      <c r="IQ615" s="42"/>
      <c r="IR615" s="42"/>
      <c r="IS615" s="42"/>
      <c r="IT615" s="42"/>
      <c r="IU615" s="42"/>
      <c r="IV615" s="42"/>
      <c r="IW615" s="42"/>
      <c r="IX615" s="42"/>
      <c r="IY615" s="42"/>
      <c r="IZ615" s="42"/>
      <c r="JA615" s="42"/>
      <c r="JB615" s="42"/>
      <c r="JC615" s="42"/>
      <c r="JD615" s="42"/>
      <c r="JE615" s="42"/>
      <c r="JF615" s="42"/>
      <c r="JG615" s="42"/>
      <c r="JH615" s="42"/>
      <c r="JI615" s="42"/>
      <c r="JJ615" s="42"/>
      <c r="JK615" s="42"/>
      <c r="JL615" s="42"/>
      <c r="JM615" s="42"/>
      <c r="JN615" s="42"/>
      <c r="JO615" s="42"/>
      <c r="JP615" s="42"/>
      <c r="JQ615" s="42"/>
      <c r="JR615" s="42"/>
      <c r="JS615" s="42"/>
      <c r="JT615" s="42"/>
      <c r="JU615" s="42"/>
      <c r="JV615" s="42"/>
      <c r="JW615" s="42"/>
      <c r="JX615" s="42"/>
      <c r="JY615" s="42"/>
      <c r="JZ615" s="42"/>
      <c r="KA615" s="42"/>
    </row>
    <row r="616" spans="1:287" ht="12.75">
      <c r="A616" s="89"/>
      <c r="B616" s="89"/>
      <c r="J616" s="19"/>
      <c r="Q616" s="19"/>
      <c r="Y616" s="19"/>
      <c r="AF616" s="19"/>
      <c r="II616" s="42"/>
      <c r="IJ616" s="42"/>
      <c r="IK616" s="42"/>
      <c r="IL616" s="42"/>
      <c r="IM616" s="42"/>
      <c r="IN616" s="42"/>
      <c r="IO616" s="42"/>
      <c r="IP616" s="42"/>
      <c r="IQ616" s="42"/>
      <c r="IR616" s="42"/>
      <c r="IS616" s="42"/>
      <c r="IT616" s="42"/>
      <c r="IU616" s="42"/>
      <c r="IV616" s="42"/>
      <c r="IW616" s="42"/>
      <c r="IX616" s="42"/>
      <c r="IY616" s="42"/>
      <c r="IZ616" s="42"/>
      <c r="JA616" s="42"/>
      <c r="JB616" s="42"/>
      <c r="JC616" s="42"/>
      <c r="JD616" s="42"/>
      <c r="JE616" s="42"/>
      <c r="JF616" s="42"/>
      <c r="JG616" s="42"/>
      <c r="JH616" s="42"/>
      <c r="JI616" s="42"/>
      <c r="JJ616" s="42"/>
      <c r="JK616" s="42"/>
      <c r="JL616" s="42"/>
      <c r="JM616" s="42"/>
      <c r="JN616" s="42"/>
      <c r="JO616" s="42"/>
      <c r="JP616" s="42"/>
      <c r="JQ616" s="42"/>
      <c r="JR616" s="42"/>
      <c r="JS616" s="42"/>
      <c r="JT616" s="42"/>
      <c r="JU616" s="42"/>
      <c r="JV616" s="42"/>
      <c r="JW616" s="42"/>
      <c r="JX616" s="42"/>
      <c r="JY616" s="42"/>
      <c r="JZ616" s="42"/>
      <c r="KA616" s="42"/>
    </row>
    <row r="617" spans="1:287" ht="12.75">
      <c r="A617" s="89"/>
      <c r="B617" s="89"/>
      <c r="J617" s="19"/>
      <c r="Q617" s="19"/>
      <c r="Y617" s="19"/>
      <c r="AF617" s="19"/>
      <c r="II617" s="42"/>
      <c r="IJ617" s="42"/>
      <c r="IK617" s="42"/>
      <c r="IL617" s="42"/>
      <c r="IM617" s="42"/>
      <c r="IN617" s="42"/>
      <c r="IO617" s="42"/>
      <c r="IP617" s="42"/>
      <c r="IQ617" s="42"/>
      <c r="IR617" s="42"/>
      <c r="IS617" s="42"/>
      <c r="IT617" s="42"/>
      <c r="IU617" s="42"/>
      <c r="IV617" s="42"/>
      <c r="IW617" s="42"/>
      <c r="IX617" s="42"/>
      <c r="IY617" s="42"/>
      <c r="IZ617" s="42"/>
      <c r="JA617" s="42"/>
      <c r="JB617" s="42"/>
      <c r="JC617" s="42"/>
      <c r="JD617" s="42"/>
      <c r="JE617" s="42"/>
      <c r="JF617" s="42"/>
      <c r="JG617" s="42"/>
      <c r="JH617" s="42"/>
      <c r="JI617" s="42"/>
      <c r="JJ617" s="42"/>
      <c r="JK617" s="42"/>
      <c r="JL617" s="42"/>
      <c r="JM617" s="42"/>
      <c r="JN617" s="42"/>
      <c r="JO617" s="42"/>
      <c r="JP617" s="42"/>
      <c r="JQ617" s="42"/>
      <c r="JR617" s="42"/>
      <c r="JS617" s="42"/>
      <c r="JT617" s="42"/>
      <c r="JU617" s="42"/>
      <c r="JV617" s="42"/>
      <c r="JW617" s="42"/>
      <c r="JX617" s="42"/>
      <c r="JY617" s="42"/>
      <c r="JZ617" s="42"/>
      <c r="KA617" s="42"/>
    </row>
    <row r="618" spans="1:287" ht="12.75">
      <c r="A618" s="89"/>
      <c r="B618" s="89"/>
      <c r="J618" s="19"/>
      <c r="Q618" s="19"/>
      <c r="Y618" s="19"/>
      <c r="AF618" s="19"/>
      <c r="II618" s="42"/>
      <c r="IJ618" s="42"/>
      <c r="IK618" s="42"/>
      <c r="IL618" s="42"/>
      <c r="IM618" s="42"/>
      <c r="IN618" s="42"/>
      <c r="IO618" s="42"/>
      <c r="IP618" s="42"/>
      <c r="IQ618" s="42"/>
      <c r="IR618" s="42"/>
      <c r="IS618" s="42"/>
      <c r="IT618" s="42"/>
      <c r="IU618" s="42"/>
      <c r="IV618" s="42"/>
      <c r="IW618" s="42"/>
      <c r="IX618" s="42"/>
      <c r="IY618" s="42"/>
      <c r="IZ618" s="42"/>
      <c r="JA618" s="42"/>
      <c r="JB618" s="42"/>
      <c r="JC618" s="42"/>
      <c r="JD618" s="42"/>
      <c r="JE618" s="42"/>
      <c r="JF618" s="42"/>
      <c r="JG618" s="42"/>
      <c r="JH618" s="42"/>
      <c r="JI618" s="42"/>
      <c r="JJ618" s="42"/>
      <c r="JK618" s="42"/>
      <c r="JL618" s="42"/>
      <c r="JM618" s="42"/>
      <c r="JN618" s="42"/>
      <c r="JO618" s="42"/>
      <c r="JP618" s="42"/>
      <c r="JQ618" s="42"/>
      <c r="JR618" s="42"/>
      <c r="JS618" s="42"/>
      <c r="JT618" s="42"/>
      <c r="JU618" s="42"/>
      <c r="JV618" s="42"/>
      <c r="JW618" s="42"/>
      <c r="JX618" s="42"/>
      <c r="JY618" s="42"/>
      <c r="JZ618" s="42"/>
      <c r="KA618" s="42"/>
    </row>
    <row r="619" spans="1:287" ht="12.75">
      <c r="A619" s="89"/>
      <c r="B619" s="89"/>
      <c r="J619" s="19"/>
      <c r="Q619" s="19"/>
      <c r="Y619" s="19"/>
      <c r="AF619" s="19"/>
      <c r="II619" s="42"/>
      <c r="IJ619" s="42"/>
      <c r="IK619" s="42"/>
      <c r="IL619" s="42"/>
      <c r="IM619" s="42"/>
      <c r="IN619" s="42"/>
      <c r="IO619" s="42"/>
      <c r="IP619" s="42"/>
      <c r="IQ619" s="42"/>
      <c r="IR619" s="42"/>
      <c r="IS619" s="42"/>
      <c r="IT619" s="42"/>
      <c r="IU619" s="42"/>
      <c r="IV619" s="42"/>
      <c r="IW619" s="42"/>
      <c r="IX619" s="42"/>
      <c r="IY619" s="42"/>
      <c r="IZ619" s="42"/>
      <c r="JA619" s="42"/>
      <c r="JB619" s="42"/>
      <c r="JC619" s="42"/>
      <c r="JD619" s="42"/>
      <c r="JE619" s="42"/>
      <c r="JF619" s="42"/>
      <c r="JG619" s="42"/>
      <c r="JH619" s="42"/>
      <c r="JI619" s="42"/>
      <c r="JJ619" s="42"/>
      <c r="JK619" s="42"/>
      <c r="JL619" s="42"/>
      <c r="JM619" s="42"/>
      <c r="JN619" s="42"/>
      <c r="JO619" s="42"/>
      <c r="JP619" s="42"/>
      <c r="JQ619" s="42"/>
      <c r="JR619" s="42"/>
      <c r="JS619" s="42"/>
      <c r="JT619" s="42"/>
      <c r="JU619" s="42"/>
      <c r="JV619" s="42"/>
      <c r="JW619" s="42"/>
      <c r="JX619" s="42"/>
      <c r="JY619" s="42"/>
      <c r="JZ619" s="42"/>
      <c r="KA619" s="42"/>
    </row>
    <row r="620" spans="1:287" ht="12.75">
      <c r="A620" s="89"/>
      <c r="B620" s="89"/>
      <c r="J620" s="19"/>
      <c r="Q620" s="19"/>
      <c r="Y620" s="19"/>
      <c r="AF620" s="19"/>
      <c r="II620" s="42"/>
      <c r="IJ620" s="42"/>
      <c r="IK620" s="42"/>
      <c r="IL620" s="42"/>
      <c r="IM620" s="42"/>
      <c r="IN620" s="42"/>
      <c r="IO620" s="42"/>
      <c r="IP620" s="42"/>
      <c r="IQ620" s="42"/>
      <c r="IR620" s="42"/>
      <c r="IS620" s="42"/>
      <c r="IT620" s="42"/>
      <c r="IU620" s="42"/>
      <c r="IV620" s="42"/>
      <c r="IW620" s="42"/>
      <c r="IX620" s="42"/>
      <c r="IY620" s="42"/>
      <c r="IZ620" s="42"/>
      <c r="JA620" s="42"/>
      <c r="JB620" s="42"/>
      <c r="JC620" s="42"/>
      <c r="JD620" s="42"/>
      <c r="JE620" s="42"/>
      <c r="JF620" s="42"/>
      <c r="JG620" s="42"/>
      <c r="JH620" s="42"/>
      <c r="JI620" s="42"/>
      <c r="JJ620" s="42"/>
      <c r="JK620" s="42"/>
      <c r="JL620" s="42"/>
      <c r="JM620" s="42"/>
      <c r="JN620" s="42"/>
      <c r="JO620" s="42"/>
      <c r="JP620" s="42"/>
      <c r="JQ620" s="42"/>
      <c r="JR620" s="42"/>
      <c r="JS620" s="42"/>
      <c r="JT620" s="42"/>
      <c r="JU620" s="42"/>
      <c r="JV620" s="42"/>
      <c r="JW620" s="42"/>
      <c r="JX620" s="42"/>
      <c r="JY620" s="42"/>
      <c r="JZ620" s="42"/>
      <c r="KA620" s="42"/>
    </row>
    <row r="621" spans="1:287" ht="12.75">
      <c r="A621" s="89"/>
      <c r="B621" s="89"/>
      <c r="J621" s="19"/>
      <c r="Q621" s="19"/>
      <c r="Y621" s="19"/>
      <c r="AF621" s="19"/>
      <c r="II621" s="42"/>
      <c r="IJ621" s="42"/>
      <c r="IK621" s="42"/>
      <c r="IL621" s="42"/>
      <c r="IM621" s="42"/>
      <c r="IN621" s="42"/>
      <c r="IO621" s="42"/>
      <c r="IP621" s="42"/>
      <c r="IQ621" s="42"/>
      <c r="IR621" s="42"/>
      <c r="IS621" s="42"/>
      <c r="IT621" s="42"/>
      <c r="IU621" s="42"/>
      <c r="IV621" s="42"/>
      <c r="IW621" s="42"/>
      <c r="IX621" s="42"/>
      <c r="IY621" s="42"/>
      <c r="IZ621" s="42"/>
      <c r="JA621" s="42"/>
      <c r="JB621" s="42"/>
      <c r="JC621" s="42"/>
      <c r="JD621" s="42"/>
      <c r="JE621" s="42"/>
      <c r="JF621" s="42"/>
      <c r="JG621" s="42"/>
      <c r="JH621" s="42"/>
      <c r="JI621" s="42"/>
      <c r="JJ621" s="42"/>
      <c r="JK621" s="42"/>
      <c r="JL621" s="42"/>
      <c r="JM621" s="42"/>
      <c r="JN621" s="42"/>
      <c r="JO621" s="42"/>
      <c r="JP621" s="42"/>
      <c r="JQ621" s="42"/>
      <c r="JR621" s="42"/>
      <c r="JS621" s="42"/>
      <c r="JT621" s="42"/>
      <c r="JU621" s="42"/>
      <c r="JV621" s="42"/>
      <c r="JW621" s="42"/>
      <c r="JX621" s="42"/>
      <c r="JY621" s="42"/>
      <c r="JZ621" s="42"/>
      <c r="KA621" s="42"/>
    </row>
    <row r="622" spans="1:287" ht="12.75">
      <c r="A622" s="89"/>
      <c r="B622" s="89"/>
      <c r="J622" s="19"/>
      <c r="Q622" s="19"/>
      <c r="Y622" s="19"/>
      <c r="AF622" s="19"/>
      <c r="II622" s="42"/>
      <c r="IJ622" s="42"/>
      <c r="IK622" s="42"/>
      <c r="IL622" s="42"/>
      <c r="IM622" s="42"/>
      <c r="IN622" s="42"/>
      <c r="IO622" s="42"/>
      <c r="IP622" s="42"/>
      <c r="IQ622" s="42"/>
      <c r="IR622" s="42"/>
      <c r="IS622" s="42"/>
      <c r="IT622" s="42"/>
      <c r="IU622" s="42"/>
      <c r="IV622" s="42"/>
      <c r="IW622" s="42"/>
      <c r="IX622" s="42"/>
      <c r="IY622" s="42"/>
      <c r="IZ622" s="42"/>
      <c r="JA622" s="42"/>
      <c r="JB622" s="42"/>
      <c r="JC622" s="42"/>
      <c r="JD622" s="42"/>
      <c r="JE622" s="42"/>
      <c r="JF622" s="42"/>
      <c r="JG622" s="42"/>
      <c r="JH622" s="42"/>
      <c r="JI622" s="42"/>
      <c r="JJ622" s="42"/>
      <c r="JK622" s="42"/>
      <c r="JL622" s="42"/>
      <c r="JM622" s="42"/>
      <c r="JN622" s="42"/>
      <c r="JO622" s="42"/>
      <c r="JP622" s="42"/>
      <c r="JQ622" s="42"/>
      <c r="JR622" s="42"/>
      <c r="JS622" s="42"/>
      <c r="JT622" s="42"/>
      <c r="JU622" s="42"/>
      <c r="JV622" s="42"/>
      <c r="JW622" s="42"/>
      <c r="JX622" s="42"/>
      <c r="JY622" s="42"/>
      <c r="JZ622" s="42"/>
      <c r="KA622" s="42"/>
    </row>
    <row r="623" spans="1:287" ht="12.75">
      <c r="A623" s="89"/>
      <c r="B623" s="89"/>
      <c r="J623" s="19"/>
      <c r="Q623" s="19"/>
      <c r="Y623" s="19"/>
      <c r="AF623" s="19"/>
      <c r="II623" s="42"/>
      <c r="IJ623" s="42"/>
      <c r="IK623" s="42"/>
      <c r="IL623" s="42"/>
      <c r="IM623" s="42"/>
      <c r="IN623" s="42"/>
      <c r="IO623" s="42"/>
      <c r="IP623" s="42"/>
      <c r="IQ623" s="42"/>
      <c r="IR623" s="42"/>
      <c r="IS623" s="42"/>
      <c r="IT623" s="42"/>
      <c r="IU623" s="42"/>
      <c r="IV623" s="42"/>
      <c r="IW623" s="42"/>
      <c r="IX623" s="42"/>
      <c r="IY623" s="42"/>
      <c r="IZ623" s="42"/>
      <c r="JA623" s="42"/>
      <c r="JB623" s="42"/>
      <c r="JC623" s="42"/>
      <c r="JD623" s="42"/>
      <c r="JE623" s="42"/>
      <c r="JF623" s="42"/>
      <c r="JG623" s="42"/>
      <c r="JH623" s="42"/>
      <c r="JI623" s="42"/>
      <c r="JJ623" s="42"/>
      <c r="JK623" s="42"/>
      <c r="JL623" s="42"/>
      <c r="JM623" s="42"/>
      <c r="JN623" s="42"/>
      <c r="JO623" s="42"/>
      <c r="JP623" s="42"/>
      <c r="JQ623" s="42"/>
      <c r="JR623" s="42"/>
      <c r="JS623" s="42"/>
      <c r="JT623" s="42"/>
      <c r="JU623" s="42"/>
      <c r="JV623" s="42"/>
      <c r="JW623" s="42"/>
      <c r="JX623" s="42"/>
      <c r="JY623" s="42"/>
      <c r="JZ623" s="42"/>
      <c r="KA623" s="42"/>
    </row>
    <row r="624" spans="1:287" ht="12.75">
      <c r="A624" s="89"/>
      <c r="B624" s="89"/>
      <c r="J624" s="19"/>
      <c r="Q624" s="19"/>
      <c r="Y624" s="19"/>
      <c r="AF624" s="19"/>
      <c r="II624" s="42"/>
      <c r="IJ624" s="42"/>
      <c r="IK624" s="42"/>
      <c r="IL624" s="42"/>
      <c r="IM624" s="42"/>
      <c r="IN624" s="42"/>
      <c r="IO624" s="42"/>
      <c r="IP624" s="42"/>
      <c r="IQ624" s="42"/>
      <c r="IR624" s="42"/>
      <c r="IS624" s="42"/>
      <c r="IT624" s="42"/>
      <c r="IU624" s="42"/>
      <c r="IV624" s="42"/>
      <c r="IW624" s="42"/>
      <c r="IX624" s="42"/>
      <c r="IY624" s="42"/>
      <c r="IZ624" s="42"/>
      <c r="JA624" s="42"/>
      <c r="JB624" s="42"/>
      <c r="JC624" s="42"/>
      <c r="JD624" s="42"/>
      <c r="JE624" s="42"/>
      <c r="JF624" s="42"/>
      <c r="JG624" s="42"/>
      <c r="JH624" s="42"/>
      <c r="JI624" s="42"/>
      <c r="JJ624" s="42"/>
      <c r="JK624" s="42"/>
      <c r="JL624" s="42"/>
      <c r="JM624" s="42"/>
      <c r="JN624" s="42"/>
      <c r="JO624" s="42"/>
      <c r="JP624" s="42"/>
      <c r="JQ624" s="42"/>
      <c r="JR624" s="42"/>
      <c r="JS624" s="42"/>
      <c r="JT624" s="42"/>
      <c r="JU624" s="42"/>
      <c r="JV624" s="42"/>
      <c r="JW624" s="42"/>
      <c r="JX624" s="42"/>
      <c r="JY624" s="42"/>
      <c r="JZ624" s="42"/>
      <c r="KA624" s="42"/>
    </row>
    <row r="625" spans="1:287" ht="12.75">
      <c r="A625" s="89"/>
      <c r="B625" s="89"/>
      <c r="J625" s="19"/>
      <c r="Q625" s="19"/>
      <c r="Y625" s="19"/>
      <c r="AF625" s="19"/>
      <c r="II625" s="42"/>
      <c r="IJ625" s="42"/>
      <c r="IK625" s="42"/>
      <c r="IL625" s="42"/>
      <c r="IM625" s="42"/>
      <c r="IN625" s="42"/>
      <c r="IO625" s="42"/>
      <c r="IP625" s="42"/>
      <c r="IQ625" s="42"/>
      <c r="IR625" s="42"/>
      <c r="IS625" s="42"/>
      <c r="IT625" s="42"/>
      <c r="IU625" s="42"/>
      <c r="IV625" s="42"/>
      <c r="IW625" s="42"/>
      <c r="IX625" s="42"/>
      <c r="IY625" s="42"/>
      <c r="IZ625" s="42"/>
      <c r="JA625" s="42"/>
      <c r="JB625" s="42"/>
      <c r="JC625" s="42"/>
      <c r="JD625" s="42"/>
      <c r="JE625" s="42"/>
      <c r="JF625" s="42"/>
      <c r="JG625" s="42"/>
      <c r="JH625" s="42"/>
      <c r="JI625" s="42"/>
      <c r="JJ625" s="42"/>
      <c r="JK625" s="42"/>
      <c r="JL625" s="42"/>
      <c r="JM625" s="42"/>
      <c r="JN625" s="42"/>
      <c r="JO625" s="42"/>
      <c r="JP625" s="42"/>
      <c r="JQ625" s="42"/>
      <c r="JR625" s="42"/>
      <c r="JS625" s="42"/>
      <c r="JT625" s="42"/>
      <c r="JU625" s="42"/>
      <c r="JV625" s="42"/>
      <c r="JW625" s="42"/>
      <c r="JX625" s="42"/>
      <c r="JY625" s="42"/>
      <c r="JZ625" s="42"/>
      <c r="KA625" s="42"/>
    </row>
    <row r="626" spans="1:287" ht="12.75">
      <c r="A626" s="89"/>
      <c r="B626" s="89"/>
      <c r="J626" s="19"/>
      <c r="Q626" s="19"/>
      <c r="Y626" s="19"/>
      <c r="AF626" s="19"/>
      <c r="II626" s="42"/>
      <c r="IJ626" s="42"/>
      <c r="IK626" s="42"/>
      <c r="IL626" s="42"/>
      <c r="IM626" s="42"/>
      <c r="IN626" s="42"/>
      <c r="IO626" s="42"/>
      <c r="IP626" s="42"/>
      <c r="IQ626" s="42"/>
      <c r="IR626" s="42"/>
      <c r="IS626" s="42"/>
      <c r="IT626" s="42"/>
      <c r="IU626" s="42"/>
      <c r="IV626" s="42"/>
      <c r="IW626" s="42"/>
      <c r="IX626" s="42"/>
      <c r="IY626" s="42"/>
      <c r="IZ626" s="42"/>
      <c r="JA626" s="42"/>
      <c r="JB626" s="42"/>
      <c r="JC626" s="42"/>
      <c r="JD626" s="42"/>
      <c r="JE626" s="42"/>
      <c r="JF626" s="42"/>
      <c r="JG626" s="42"/>
      <c r="JH626" s="42"/>
      <c r="JI626" s="42"/>
      <c r="JJ626" s="42"/>
      <c r="JK626" s="42"/>
      <c r="JL626" s="42"/>
      <c r="JM626" s="42"/>
      <c r="JN626" s="42"/>
      <c r="JO626" s="42"/>
      <c r="JP626" s="42"/>
      <c r="JQ626" s="42"/>
      <c r="JR626" s="42"/>
      <c r="JS626" s="42"/>
      <c r="JT626" s="42"/>
      <c r="JU626" s="42"/>
      <c r="JV626" s="42"/>
      <c r="JW626" s="42"/>
      <c r="JX626" s="42"/>
      <c r="JY626" s="42"/>
      <c r="JZ626" s="42"/>
      <c r="KA626" s="42"/>
    </row>
    <row r="627" spans="1:287" ht="12.75">
      <c r="A627" s="89"/>
      <c r="B627" s="89"/>
      <c r="J627" s="19"/>
      <c r="Q627" s="19"/>
      <c r="Y627" s="19"/>
      <c r="AF627" s="19"/>
      <c r="II627" s="42"/>
      <c r="IJ627" s="42"/>
      <c r="IK627" s="42"/>
      <c r="IL627" s="42"/>
      <c r="IM627" s="42"/>
      <c r="IN627" s="42"/>
      <c r="IO627" s="42"/>
      <c r="IP627" s="42"/>
      <c r="IQ627" s="42"/>
      <c r="IR627" s="42"/>
      <c r="IS627" s="42"/>
      <c r="IT627" s="42"/>
      <c r="IU627" s="42"/>
      <c r="IV627" s="42"/>
      <c r="IW627" s="42"/>
      <c r="IX627" s="42"/>
      <c r="IY627" s="42"/>
      <c r="IZ627" s="42"/>
      <c r="JA627" s="42"/>
      <c r="JB627" s="42"/>
      <c r="JC627" s="42"/>
      <c r="JD627" s="42"/>
      <c r="JE627" s="42"/>
      <c r="JF627" s="42"/>
      <c r="JG627" s="42"/>
      <c r="JH627" s="42"/>
      <c r="JI627" s="42"/>
      <c r="JJ627" s="42"/>
      <c r="JK627" s="42"/>
      <c r="JL627" s="42"/>
      <c r="JM627" s="42"/>
      <c r="JN627" s="42"/>
      <c r="JO627" s="42"/>
      <c r="JP627" s="42"/>
      <c r="JQ627" s="42"/>
      <c r="JR627" s="42"/>
      <c r="JS627" s="42"/>
      <c r="JT627" s="42"/>
      <c r="JU627" s="42"/>
      <c r="JV627" s="42"/>
      <c r="JW627" s="42"/>
      <c r="JX627" s="42"/>
      <c r="JY627" s="42"/>
      <c r="JZ627" s="42"/>
      <c r="KA627" s="42"/>
    </row>
    <row r="628" spans="1:287" ht="12.75">
      <c r="A628" s="89"/>
      <c r="B628" s="89"/>
      <c r="J628" s="19"/>
      <c r="Q628" s="19"/>
      <c r="Y628" s="19"/>
      <c r="AF628" s="19"/>
      <c r="II628" s="42"/>
      <c r="IJ628" s="42"/>
      <c r="IK628" s="42"/>
      <c r="IL628" s="42"/>
      <c r="IM628" s="42"/>
      <c r="IN628" s="42"/>
      <c r="IO628" s="42"/>
      <c r="IP628" s="42"/>
      <c r="IQ628" s="42"/>
      <c r="IR628" s="42"/>
      <c r="IS628" s="42"/>
      <c r="IT628" s="42"/>
      <c r="IU628" s="42"/>
      <c r="IV628" s="42"/>
      <c r="IW628" s="42"/>
      <c r="IX628" s="42"/>
      <c r="IY628" s="42"/>
      <c r="IZ628" s="42"/>
      <c r="JA628" s="42"/>
      <c r="JB628" s="42"/>
      <c r="JC628" s="42"/>
      <c r="JD628" s="42"/>
      <c r="JE628" s="42"/>
      <c r="JF628" s="42"/>
      <c r="JG628" s="42"/>
      <c r="JH628" s="42"/>
      <c r="JI628" s="42"/>
      <c r="JJ628" s="42"/>
      <c r="JK628" s="42"/>
      <c r="JL628" s="42"/>
      <c r="JM628" s="42"/>
      <c r="JN628" s="42"/>
      <c r="JO628" s="42"/>
      <c r="JP628" s="42"/>
      <c r="JQ628" s="42"/>
      <c r="JR628" s="42"/>
      <c r="JS628" s="42"/>
      <c r="JT628" s="42"/>
      <c r="JU628" s="42"/>
      <c r="JV628" s="42"/>
      <c r="JW628" s="42"/>
      <c r="JX628" s="42"/>
      <c r="JY628" s="42"/>
      <c r="JZ628" s="42"/>
      <c r="KA628" s="42"/>
    </row>
    <row r="629" spans="1:287" ht="12.75">
      <c r="A629" s="89"/>
      <c r="B629" s="89"/>
      <c r="J629" s="19"/>
      <c r="Q629" s="19"/>
      <c r="Y629" s="19"/>
      <c r="AF629" s="19"/>
      <c r="II629" s="42"/>
      <c r="IJ629" s="42"/>
      <c r="IK629" s="42"/>
      <c r="IL629" s="42"/>
      <c r="IM629" s="42"/>
      <c r="IN629" s="42"/>
      <c r="IO629" s="42"/>
      <c r="IP629" s="42"/>
      <c r="IQ629" s="42"/>
      <c r="IR629" s="42"/>
      <c r="IS629" s="42"/>
      <c r="IT629" s="42"/>
      <c r="IU629" s="42"/>
      <c r="IV629" s="42"/>
      <c r="IW629" s="42"/>
      <c r="IX629" s="42"/>
      <c r="IY629" s="42"/>
      <c r="IZ629" s="42"/>
      <c r="JA629" s="42"/>
      <c r="JB629" s="42"/>
      <c r="JC629" s="42"/>
      <c r="JD629" s="42"/>
      <c r="JE629" s="42"/>
      <c r="JF629" s="42"/>
      <c r="JG629" s="42"/>
      <c r="JH629" s="42"/>
      <c r="JI629" s="42"/>
      <c r="JJ629" s="42"/>
      <c r="JK629" s="42"/>
      <c r="JL629" s="42"/>
      <c r="JM629" s="42"/>
      <c r="JN629" s="42"/>
      <c r="JO629" s="42"/>
      <c r="JP629" s="42"/>
      <c r="JQ629" s="42"/>
      <c r="JR629" s="42"/>
      <c r="JS629" s="42"/>
      <c r="JT629" s="42"/>
      <c r="JU629" s="42"/>
      <c r="JV629" s="42"/>
      <c r="JW629" s="42"/>
      <c r="JX629" s="42"/>
      <c r="JY629" s="42"/>
      <c r="JZ629" s="42"/>
      <c r="KA629" s="42"/>
    </row>
    <row r="630" spans="1:287" ht="12.75">
      <c r="A630" s="89"/>
      <c r="B630" s="89"/>
      <c r="J630" s="19"/>
      <c r="Q630" s="19"/>
      <c r="Y630" s="19"/>
      <c r="AF630" s="19"/>
      <c r="II630" s="42"/>
      <c r="IJ630" s="42"/>
      <c r="IK630" s="42"/>
      <c r="IL630" s="42"/>
      <c r="IM630" s="42"/>
      <c r="IN630" s="42"/>
      <c r="IO630" s="42"/>
      <c r="IP630" s="42"/>
      <c r="IQ630" s="42"/>
      <c r="IR630" s="42"/>
      <c r="IS630" s="42"/>
      <c r="IT630" s="42"/>
      <c r="IU630" s="42"/>
      <c r="IV630" s="42"/>
      <c r="IW630" s="42"/>
      <c r="IX630" s="42"/>
      <c r="IY630" s="42"/>
      <c r="IZ630" s="42"/>
      <c r="JA630" s="42"/>
      <c r="JB630" s="42"/>
      <c r="JC630" s="42"/>
      <c r="JD630" s="42"/>
      <c r="JE630" s="42"/>
      <c r="JF630" s="42"/>
      <c r="JG630" s="42"/>
      <c r="JH630" s="42"/>
      <c r="JI630" s="42"/>
      <c r="JJ630" s="42"/>
      <c r="JK630" s="42"/>
      <c r="JL630" s="42"/>
      <c r="JM630" s="42"/>
      <c r="JN630" s="42"/>
      <c r="JO630" s="42"/>
      <c r="JP630" s="42"/>
      <c r="JQ630" s="42"/>
      <c r="JR630" s="42"/>
      <c r="JS630" s="42"/>
      <c r="JT630" s="42"/>
      <c r="JU630" s="42"/>
      <c r="JV630" s="42"/>
      <c r="JW630" s="42"/>
      <c r="JX630" s="42"/>
      <c r="JY630" s="42"/>
      <c r="JZ630" s="42"/>
      <c r="KA630" s="42"/>
    </row>
    <row r="631" spans="1:287" ht="12.75">
      <c r="A631" s="89"/>
      <c r="B631" s="89"/>
      <c r="J631" s="19"/>
      <c r="Q631" s="19"/>
      <c r="Y631" s="19"/>
      <c r="AF631" s="19"/>
      <c r="II631" s="42"/>
      <c r="IJ631" s="42"/>
      <c r="IK631" s="42"/>
      <c r="IL631" s="42"/>
      <c r="IM631" s="42"/>
      <c r="IN631" s="42"/>
      <c r="IO631" s="42"/>
      <c r="IP631" s="42"/>
      <c r="IQ631" s="42"/>
      <c r="IR631" s="42"/>
      <c r="IS631" s="42"/>
      <c r="IT631" s="42"/>
      <c r="IU631" s="42"/>
      <c r="IV631" s="42"/>
      <c r="IW631" s="42"/>
      <c r="IX631" s="42"/>
      <c r="IY631" s="42"/>
      <c r="IZ631" s="42"/>
      <c r="JA631" s="42"/>
      <c r="JB631" s="42"/>
      <c r="JC631" s="42"/>
      <c r="JD631" s="42"/>
      <c r="JE631" s="42"/>
      <c r="JF631" s="42"/>
      <c r="JG631" s="42"/>
      <c r="JH631" s="42"/>
      <c r="JI631" s="42"/>
      <c r="JJ631" s="42"/>
      <c r="JK631" s="42"/>
      <c r="JL631" s="42"/>
      <c r="JM631" s="42"/>
      <c r="JN631" s="42"/>
      <c r="JO631" s="42"/>
      <c r="JP631" s="42"/>
      <c r="JQ631" s="42"/>
      <c r="JR631" s="42"/>
      <c r="JS631" s="42"/>
      <c r="JT631" s="42"/>
      <c r="JU631" s="42"/>
      <c r="JV631" s="42"/>
      <c r="JW631" s="42"/>
      <c r="JX631" s="42"/>
      <c r="JY631" s="42"/>
      <c r="JZ631" s="42"/>
      <c r="KA631" s="42"/>
    </row>
    <row r="632" spans="1:287" ht="12.75">
      <c r="A632" s="89"/>
      <c r="B632" s="89"/>
      <c r="J632" s="19"/>
      <c r="Q632" s="19"/>
      <c r="Y632" s="19"/>
      <c r="AF632" s="19"/>
      <c r="II632" s="42"/>
      <c r="IJ632" s="42"/>
      <c r="IK632" s="42"/>
      <c r="IL632" s="42"/>
      <c r="IM632" s="42"/>
      <c r="IN632" s="42"/>
      <c r="IO632" s="42"/>
      <c r="IP632" s="42"/>
      <c r="IQ632" s="42"/>
      <c r="IR632" s="42"/>
      <c r="IS632" s="42"/>
      <c r="IT632" s="42"/>
      <c r="IU632" s="42"/>
      <c r="IV632" s="42"/>
      <c r="IW632" s="42"/>
      <c r="IX632" s="42"/>
      <c r="IY632" s="42"/>
      <c r="IZ632" s="42"/>
      <c r="JA632" s="42"/>
      <c r="JB632" s="42"/>
      <c r="JC632" s="42"/>
      <c r="JD632" s="42"/>
      <c r="JE632" s="42"/>
      <c r="JF632" s="42"/>
      <c r="JG632" s="42"/>
      <c r="JH632" s="42"/>
      <c r="JI632" s="42"/>
      <c r="JJ632" s="42"/>
      <c r="JK632" s="42"/>
      <c r="JL632" s="42"/>
      <c r="JM632" s="42"/>
      <c r="JN632" s="42"/>
      <c r="JO632" s="42"/>
      <c r="JP632" s="42"/>
      <c r="JQ632" s="42"/>
      <c r="JR632" s="42"/>
      <c r="JS632" s="42"/>
      <c r="JT632" s="42"/>
      <c r="JU632" s="42"/>
      <c r="JV632" s="42"/>
      <c r="JW632" s="42"/>
      <c r="JX632" s="42"/>
      <c r="JY632" s="42"/>
      <c r="JZ632" s="42"/>
      <c r="KA632" s="42"/>
    </row>
    <row r="633" spans="1:287" ht="12.75">
      <c r="A633" s="89"/>
      <c r="B633" s="89"/>
      <c r="J633" s="19"/>
      <c r="Q633" s="19"/>
      <c r="Y633" s="19"/>
      <c r="AF633" s="19"/>
      <c r="II633" s="42"/>
      <c r="IJ633" s="42"/>
      <c r="IK633" s="42"/>
      <c r="IL633" s="42"/>
      <c r="IM633" s="42"/>
      <c r="IN633" s="42"/>
      <c r="IO633" s="42"/>
      <c r="IP633" s="42"/>
      <c r="IQ633" s="42"/>
      <c r="IR633" s="42"/>
      <c r="IS633" s="42"/>
      <c r="IT633" s="42"/>
      <c r="IU633" s="42"/>
      <c r="IV633" s="42"/>
      <c r="IW633" s="42"/>
      <c r="IX633" s="42"/>
      <c r="IY633" s="42"/>
      <c r="IZ633" s="42"/>
      <c r="JA633" s="42"/>
      <c r="JB633" s="42"/>
      <c r="JC633" s="42"/>
      <c r="JD633" s="42"/>
      <c r="JE633" s="42"/>
      <c r="JF633" s="42"/>
      <c r="JG633" s="42"/>
      <c r="JH633" s="42"/>
      <c r="JI633" s="42"/>
      <c r="JJ633" s="42"/>
      <c r="JK633" s="42"/>
      <c r="JL633" s="42"/>
      <c r="JM633" s="42"/>
      <c r="JN633" s="42"/>
      <c r="JO633" s="42"/>
      <c r="JP633" s="42"/>
      <c r="JQ633" s="42"/>
      <c r="JR633" s="42"/>
      <c r="JS633" s="42"/>
      <c r="JT633" s="42"/>
      <c r="JU633" s="42"/>
      <c r="JV633" s="42"/>
      <c r="JW633" s="42"/>
      <c r="JX633" s="42"/>
      <c r="JY633" s="42"/>
      <c r="JZ633" s="42"/>
      <c r="KA633" s="42"/>
    </row>
    <row r="634" spans="1:287" ht="12.75">
      <c r="A634" s="89"/>
      <c r="B634" s="89"/>
      <c r="J634" s="19"/>
      <c r="Q634" s="19"/>
      <c r="Y634" s="19"/>
      <c r="AF634" s="19"/>
      <c r="II634" s="42"/>
      <c r="IJ634" s="42"/>
      <c r="IK634" s="42"/>
      <c r="IL634" s="42"/>
      <c r="IM634" s="42"/>
      <c r="IN634" s="42"/>
      <c r="IO634" s="42"/>
      <c r="IP634" s="42"/>
      <c r="IQ634" s="42"/>
      <c r="IR634" s="42"/>
      <c r="IS634" s="42"/>
      <c r="IT634" s="42"/>
      <c r="IU634" s="42"/>
      <c r="IV634" s="42"/>
      <c r="IW634" s="42"/>
      <c r="IX634" s="42"/>
      <c r="IY634" s="42"/>
      <c r="IZ634" s="42"/>
      <c r="JA634" s="42"/>
      <c r="JB634" s="42"/>
      <c r="JC634" s="42"/>
      <c r="JD634" s="42"/>
      <c r="JE634" s="42"/>
      <c r="JF634" s="42"/>
      <c r="JG634" s="42"/>
      <c r="JH634" s="42"/>
      <c r="JI634" s="42"/>
      <c r="JJ634" s="42"/>
      <c r="JK634" s="42"/>
      <c r="JL634" s="42"/>
      <c r="JM634" s="42"/>
      <c r="JN634" s="42"/>
      <c r="JO634" s="42"/>
      <c r="JP634" s="42"/>
      <c r="JQ634" s="42"/>
      <c r="JR634" s="42"/>
      <c r="JS634" s="42"/>
      <c r="JT634" s="42"/>
      <c r="JU634" s="42"/>
      <c r="JV634" s="42"/>
      <c r="JW634" s="42"/>
      <c r="JX634" s="42"/>
      <c r="JY634" s="42"/>
      <c r="JZ634" s="42"/>
      <c r="KA634" s="42"/>
    </row>
    <row r="635" spans="1:287" ht="12.75">
      <c r="A635" s="89"/>
      <c r="B635" s="89"/>
      <c r="J635" s="19"/>
      <c r="Q635" s="19"/>
      <c r="Y635" s="19"/>
      <c r="AF635" s="19"/>
      <c r="II635" s="42"/>
      <c r="IJ635" s="42"/>
      <c r="IK635" s="42"/>
      <c r="IL635" s="42"/>
      <c r="IM635" s="42"/>
      <c r="IN635" s="42"/>
      <c r="IO635" s="42"/>
      <c r="IP635" s="42"/>
      <c r="IQ635" s="42"/>
      <c r="IR635" s="42"/>
      <c r="IS635" s="42"/>
      <c r="IT635" s="42"/>
      <c r="IU635" s="42"/>
      <c r="IV635" s="42"/>
      <c r="IW635" s="42"/>
      <c r="IX635" s="42"/>
      <c r="IY635" s="42"/>
      <c r="IZ635" s="42"/>
      <c r="JA635" s="42"/>
      <c r="JB635" s="42"/>
      <c r="JC635" s="42"/>
      <c r="JD635" s="42"/>
      <c r="JE635" s="42"/>
      <c r="JF635" s="42"/>
      <c r="JG635" s="42"/>
      <c r="JH635" s="42"/>
      <c r="JI635" s="42"/>
      <c r="JJ635" s="42"/>
      <c r="JK635" s="42"/>
      <c r="JL635" s="42"/>
      <c r="JM635" s="42"/>
      <c r="JN635" s="42"/>
      <c r="JO635" s="42"/>
      <c r="JP635" s="42"/>
      <c r="JQ635" s="42"/>
      <c r="JR635" s="42"/>
      <c r="JS635" s="42"/>
      <c r="JT635" s="42"/>
      <c r="JU635" s="42"/>
      <c r="JV635" s="42"/>
      <c r="JW635" s="42"/>
      <c r="JX635" s="42"/>
      <c r="JY635" s="42"/>
      <c r="JZ635" s="42"/>
      <c r="KA635" s="42"/>
    </row>
    <row r="636" spans="1:287" ht="12.75">
      <c r="A636" s="89"/>
      <c r="B636" s="89"/>
      <c r="J636" s="19"/>
      <c r="Q636" s="19"/>
      <c r="Y636" s="19"/>
      <c r="AF636" s="19"/>
      <c r="II636" s="42"/>
      <c r="IJ636" s="42"/>
      <c r="IK636" s="42"/>
      <c r="IL636" s="42"/>
      <c r="IM636" s="42"/>
      <c r="IN636" s="42"/>
      <c r="IO636" s="42"/>
      <c r="IP636" s="42"/>
      <c r="IQ636" s="42"/>
      <c r="IR636" s="42"/>
      <c r="IS636" s="42"/>
      <c r="IT636" s="42"/>
      <c r="IU636" s="42"/>
      <c r="IV636" s="42"/>
      <c r="IW636" s="42"/>
      <c r="IX636" s="42"/>
      <c r="IY636" s="42"/>
      <c r="IZ636" s="42"/>
      <c r="JA636" s="42"/>
      <c r="JB636" s="42"/>
      <c r="JC636" s="42"/>
      <c r="JD636" s="42"/>
      <c r="JE636" s="42"/>
      <c r="JF636" s="42"/>
      <c r="JG636" s="42"/>
      <c r="JH636" s="42"/>
      <c r="JI636" s="42"/>
      <c r="JJ636" s="42"/>
      <c r="JK636" s="42"/>
      <c r="JL636" s="42"/>
      <c r="JM636" s="42"/>
      <c r="JN636" s="42"/>
      <c r="JO636" s="42"/>
      <c r="JP636" s="42"/>
      <c r="JQ636" s="42"/>
      <c r="JR636" s="42"/>
      <c r="JS636" s="42"/>
      <c r="JT636" s="42"/>
      <c r="JU636" s="42"/>
      <c r="JV636" s="42"/>
      <c r="JW636" s="42"/>
      <c r="JX636" s="42"/>
      <c r="JY636" s="42"/>
      <c r="JZ636" s="42"/>
      <c r="KA636" s="42"/>
    </row>
    <row r="637" spans="1:287" ht="12.75">
      <c r="A637" s="89"/>
      <c r="B637" s="89"/>
      <c r="J637" s="19"/>
      <c r="Q637" s="19"/>
      <c r="Y637" s="19"/>
      <c r="AF637" s="19"/>
      <c r="II637" s="42"/>
      <c r="IJ637" s="42"/>
      <c r="IK637" s="42"/>
      <c r="IL637" s="42"/>
      <c r="IM637" s="42"/>
      <c r="IN637" s="42"/>
      <c r="IO637" s="42"/>
      <c r="IP637" s="42"/>
      <c r="IQ637" s="42"/>
      <c r="IR637" s="42"/>
      <c r="IS637" s="42"/>
      <c r="IT637" s="42"/>
      <c r="IU637" s="42"/>
      <c r="IV637" s="42"/>
      <c r="IW637" s="42"/>
      <c r="IX637" s="42"/>
      <c r="IY637" s="42"/>
      <c r="IZ637" s="42"/>
      <c r="JA637" s="42"/>
      <c r="JB637" s="42"/>
      <c r="JC637" s="42"/>
      <c r="JD637" s="42"/>
      <c r="JE637" s="42"/>
      <c r="JF637" s="42"/>
      <c r="JG637" s="42"/>
      <c r="JH637" s="42"/>
      <c r="JI637" s="42"/>
      <c r="JJ637" s="42"/>
      <c r="JK637" s="42"/>
      <c r="JL637" s="42"/>
      <c r="JM637" s="42"/>
      <c r="JN637" s="42"/>
      <c r="JO637" s="42"/>
      <c r="JP637" s="42"/>
      <c r="JQ637" s="42"/>
      <c r="JR637" s="42"/>
      <c r="JS637" s="42"/>
      <c r="JT637" s="42"/>
      <c r="JU637" s="42"/>
      <c r="JV637" s="42"/>
      <c r="JW637" s="42"/>
      <c r="JX637" s="42"/>
      <c r="JY637" s="42"/>
      <c r="JZ637" s="42"/>
      <c r="KA637" s="42"/>
    </row>
    <row r="638" spans="1:287" ht="12.75">
      <c r="A638" s="89"/>
      <c r="B638" s="89"/>
      <c r="J638" s="19"/>
      <c r="Q638" s="19"/>
      <c r="Y638" s="19"/>
      <c r="AF638" s="19"/>
      <c r="II638" s="42"/>
      <c r="IJ638" s="42"/>
      <c r="IK638" s="42"/>
      <c r="IL638" s="42"/>
      <c r="IM638" s="42"/>
      <c r="IN638" s="42"/>
      <c r="IO638" s="42"/>
      <c r="IP638" s="42"/>
      <c r="IQ638" s="42"/>
      <c r="IR638" s="42"/>
      <c r="IS638" s="42"/>
      <c r="IT638" s="42"/>
      <c r="IU638" s="42"/>
      <c r="IV638" s="42"/>
      <c r="IW638" s="42"/>
      <c r="IX638" s="42"/>
      <c r="IY638" s="42"/>
      <c r="IZ638" s="42"/>
      <c r="JA638" s="42"/>
      <c r="JB638" s="42"/>
      <c r="JC638" s="42"/>
      <c r="JD638" s="42"/>
      <c r="JE638" s="42"/>
      <c r="JF638" s="42"/>
      <c r="JG638" s="42"/>
      <c r="JH638" s="42"/>
      <c r="JI638" s="42"/>
      <c r="JJ638" s="42"/>
      <c r="JK638" s="42"/>
      <c r="JL638" s="42"/>
      <c r="JM638" s="42"/>
      <c r="JN638" s="42"/>
      <c r="JO638" s="42"/>
      <c r="JP638" s="42"/>
      <c r="JQ638" s="42"/>
      <c r="JR638" s="42"/>
      <c r="JS638" s="42"/>
      <c r="JT638" s="42"/>
      <c r="JU638" s="42"/>
      <c r="JV638" s="42"/>
      <c r="JW638" s="42"/>
      <c r="JX638" s="42"/>
      <c r="JY638" s="42"/>
      <c r="JZ638" s="42"/>
      <c r="KA638" s="42"/>
    </row>
    <row r="639" spans="1:287" ht="12.75">
      <c r="A639" s="89"/>
      <c r="B639" s="89"/>
      <c r="J639" s="19"/>
      <c r="Q639" s="19"/>
      <c r="Y639" s="19"/>
      <c r="AF639" s="19"/>
      <c r="II639" s="42"/>
      <c r="IJ639" s="42"/>
      <c r="IK639" s="42"/>
      <c r="IL639" s="42"/>
      <c r="IM639" s="42"/>
      <c r="IN639" s="42"/>
      <c r="IO639" s="42"/>
      <c r="IP639" s="42"/>
      <c r="IQ639" s="42"/>
      <c r="IR639" s="42"/>
      <c r="IS639" s="42"/>
      <c r="IT639" s="42"/>
      <c r="IU639" s="42"/>
      <c r="IV639" s="42"/>
      <c r="IW639" s="42"/>
      <c r="IX639" s="42"/>
      <c r="IY639" s="42"/>
      <c r="IZ639" s="42"/>
      <c r="JA639" s="42"/>
      <c r="JB639" s="42"/>
      <c r="JC639" s="42"/>
      <c r="JD639" s="42"/>
      <c r="JE639" s="42"/>
      <c r="JF639" s="42"/>
      <c r="JG639" s="42"/>
      <c r="JH639" s="42"/>
      <c r="JI639" s="42"/>
      <c r="JJ639" s="42"/>
      <c r="JK639" s="42"/>
      <c r="JL639" s="42"/>
      <c r="JM639" s="42"/>
      <c r="JN639" s="42"/>
      <c r="JO639" s="42"/>
      <c r="JP639" s="42"/>
      <c r="JQ639" s="42"/>
      <c r="JR639" s="42"/>
      <c r="JS639" s="42"/>
      <c r="JT639" s="42"/>
      <c r="JU639" s="42"/>
      <c r="JV639" s="42"/>
      <c r="JW639" s="42"/>
      <c r="JX639" s="42"/>
      <c r="JY639" s="42"/>
      <c r="JZ639" s="42"/>
      <c r="KA639" s="42"/>
    </row>
    <row r="640" spans="1:287" ht="12.75">
      <c r="A640" s="89"/>
      <c r="B640" s="89"/>
      <c r="J640" s="19"/>
      <c r="Q640" s="19"/>
      <c r="Y640" s="19"/>
      <c r="AF640" s="19"/>
      <c r="II640" s="42"/>
      <c r="IJ640" s="42"/>
      <c r="IK640" s="42"/>
      <c r="IL640" s="42"/>
      <c r="IM640" s="42"/>
      <c r="IN640" s="42"/>
      <c r="IO640" s="42"/>
      <c r="IP640" s="42"/>
      <c r="IQ640" s="42"/>
      <c r="IR640" s="42"/>
      <c r="IS640" s="42"/>
      <c r="IT640" s="42"/>
      <c r="IU640" s="42"/>
      <c r="IV640" s="42"/>
      <c r="IW640" s="42"/>
      <c r="IX640" s="42"/>
      <c r="IY640" s="42"/>
      <c r="IZ640" s="42"/>
      <c r="JA640" s="42"/>
      <c r="JB640" s="42"/>
      <c r="JC640" s="42"/>
      <c r="JD640" s="42"/>
      <c r="JE640" s="42"/>
      <c r="JF640" s="42"/>
      <c r="JG640" s="42"/>
      <c r="JH640" s="42"/>
      <c r="JI640" s="42"/>
      <c r="JJ640" s="42"/>
      <c r="JK640" s="42"/>
      <c r="JL640" s="42"/>
      <c r="JM640" s="42"/>
      <c r="JN640" s="42"/>
      <c r="JO640" s="42"/>
      <c r="JP640" s="42"/>
      <c r="JQ640" s="42"/>
      <c r="JR640" s="42"/>
      <c r="JS640" s="42"/>
      <c r="JT640" s="42"/>
      <c r="JU640" s="42"/>
      <c r="JV640" s="42"/>
      <c r="JW640" s="42"/>
      <c r="JX640" s="42"/>
      <c r="JY640" s="42"/>
      <c r="JZ640" s="42"/>
      <c r="KA640" s="42"/>
    </row>
    <row r="641" spans="1:287" ht="12.75">
      <c r="A641" s="89"/>
      <c r="B641" s="89"/>
      <c r="J641" s="19"/>
      <c r="Q641" s="19"/>
      <c r="Y641" s="19"/>
      <c r="AF641" s="19"/>
      <c r="II641" s="42"/>
      <c r="IJ641" s="42"/>
      <c r="IK641" s="42"/>
      <c r="IL641" s="42"/>
      <c r="IM641" s="42"/>
      <c r="IN641" s="42"/>
      <c r="IO641" s="42"/>
      <c r="IP641" s="42"/>
      <c r="IQ641" s="42"/>
      <c r="IR641" s="42"/>
      <c r="IS641" s="42"/>
      <c r="IT641" s="42"/>
      <c r="IU641" s="42"/>
      <c r="IV641" s="42"/>
      <c r="IW641" s="42"/>
      <c r="IX641" s="42"/>
      <c r="IY641" s="42"/>
      <c r="IZ641" s="42"/>
      <c r="JA641" s="42"/>
      <c r="JB641" s="42"/>
      <c r="JC641" s="42"/>
      <c r="JD641" s="42"/>
      <c r="JE641" s="42"/>
      <c r="JF641" s="42"/>
      <c r="JG641" s="42"/>
      <c r="JH641" s="42"/>
      <c r="JI641" s="42"/>
      <c r="JJ641" s="42"/>
      <c r="JK641" s="42"/>
      <c r="JL641" s="42"/>
      <c r="JM641" s="42"/>
      <c r="JN641" s="42"/>
      <c r="JO641" s="42"/>
      <c r="JP641" s="42"/>
      <c r="JQ641" s="42"/>
      <c r="JR641" s="42"/>
      <c r="JS641" s="42"/>
      <c r="JT641" s="42"/>
      <c r="JU641" s="42"/>
      <c r="JV641" s="42"/>
      <c r="JW641" s="42"/>
      <c r="JX641" s="42"/>
      <c r="JY641" s="42"/>
      <c r="JZ641" s="42"/>
      <c r="KA641" s="42"/>
    </row>
    <row r="642" spans="1:287" ht="12.75">
      <c r="A642" s="89"/>
      <c r="B642" s="89"/>
      <c r="J642" s="19"/>
      <c r="Q642" s="19"/>
      <c r="Y642" s="19"/>
      <c r="AF642" s="19"/>
      <c r="II642" s="42"/>
      <c r="IJ642" s="42"/>
      <c r="IK642" s="42"/>
      <c r="IL642" s="42"/>
      <c r="IM642" s="42"/>
      <c r="IN642" s="42"/>
      <c r="IO642" s="42"/>
      <c r="IP642" s="42"/>
      <c r="IQ642" s="42"/>
      <c r="IR642" s="42"/>
      <c r="IS642" s="42"/>
      <c r="IT642" s="42"/>
      <c r="IU642" s="42"/>
      <c r="IV642" s="42"/>
      <c r="IW642" s="42"/>
      <c r="IX642" s="42"/>
      <c r="IY642" s="42"/>
      <c r="IZ642" s="42"/>
      <c r="JA642" s="42"/>
      <c r="JB642" s="42"/>
      <c r="JC642" s="42"/>
      <c r="JD642" s="42"/>
      <c r="JE642" s="42"/>
      <c r="JF642" s="42"/>
      <c r="JG642" s="42"/>
      <c r="JH642" s="42"/>
      <c r="JI642" s="42"/>
      <c r="JJ642" s="42"/>
      <c r="JK642" s="42"/>
      <c r="JL642" s="42"/>
      <c r="JM642" s="42"/>
      <c r="JN642" s="42"/>
      <c r="JO642" s="42"/>
      <c r="JP642" s="42"/>
      <c r="JQ642" s="42"/>
      <c r="JR642" s="42"/>
      <c r="JS642" s="42"/>
      <c r="JT642" s="42"/>
      <c r="JU642" s="42"/>
      <c r="JV642" s="42"/>
      <c r="JW642" s="42"/>
      <c r="JX642" s="42"/>
      <c r="JY642" s="42"/>
      <c r="JZ642" s="42"/>
      <c r="KA642" s="42"/>
    </row>
    <row r="643" spans="1:287" ht="12.75">
      <c r="A643" s="89"/>
      <c r="B643" s="89"/>
      <c r="J643" s="19"/>
      <c r="Q643" s="19"/>
      <c r="Y643" s="19"/>
      <c r="AF643" s="19"/>
      <c r="II643" s="42"/>
      <c r="IJ643" s="42"/>
      <c r="IK643" s="42"/>
      <c r="IL643" s="42"/>
      <c r="IM643" s="42"/>
      <c r="IN643" s="42"/>
      <c r="IO643" s="42"/>
      <c r="IP643" s="42"/>
      <c r="IQ643" s="42"/>
      <c r="IR643" s="42"/>
      <c r="IS643" s="42"/>
      <c r="IT643" s="42"/>
      <c r="IU643" s="42"/>
      <c r="IV643" s="42"/>
      <c r="IW643" s="42"/>
      <c r="IX643" s="42"/>
      <c r="IY643" s="42"/>
      <c r="IZ643" s="42"/>
      <c r="JA643" s="42"/>
      <c r="JB643" s="42"/>
      <c r="JC643" s="42"/>
      <c r="JD643" s="42"/>
      <c r="JE643" s="42"/>
      <c r="JF643" s="42"/>
      <c r="JG643" s="42"/>
      <c r="JH643" s="42"/>
      <c r="JI643" s="42"/>
      <c r="JJ643" s="42"/>
      <c r="JK643" s="42"/>
      <c r="JL643" s="42"/>
      <c r="JM643" s="42"/>
      <c r="JN643" s="42"/>
      <c r="JO643" s="42"/>
      <c r="JP643" s="42"/>
      <c r="JQ643" s="42"/>
      <c r="JR643" s="42"/>
      <c r="JS643" s="42"/>
      <c r="JT643" s="42"/>
      <c r="JU643" s="42"/>
      <c r="JV643" s="42"/>
      <c r="JW643" s="42"/>
      <c r="JX643" s="42"/>
      <c r="JY643" s="42"/>
      <c r="JZ643" s="42"/>
      <c r="KA643" s="42"/>
    </row>
    <row r="644" spans="1:287" ht="12.75">
      <c r="A644" s="89"/>
      <c r="B644" s="89"/>
      <c r="J644" s="19"/>
      <c r="Q644" s="19"/>
      <c r="Y644" s="19"/>
      <c r="AF644" s="19"/>
      <c r="II644" s="42"/>
      <c r="IJ644" s="42"/>
      <c r="IK644" s="42"/>
      <c r="IL644" s="42"/>
      <c r="IM644" s="42"/>
      <c r="IN644" s="42"/>
      <c r="IO644" s="42"/>
      <c r="IP644" s="42"/>
      <c r="IQ644" s="42"/>
      <c r="IR644" s="42"/>
      <c r="IS644" s="42"/>
      <c r="IT644" s="42"/>
      <c r="IU644" s="42"/>
      <c r="IV644" s="42"/>
      <c r="IW644" s="42"/>
      <c r="IX644" s="42"/>
      <c r="IY644" s="42"/>
      <c r="IZ644" s="42"/>
      <c r="JA644" s="42"/>
      <c r="JB644" s="42"/>
      <c r="JC644" s="42"/>
      <c r="JD644" s="42"/>
      <c r="JE644" s="42"/>
      <c r="JF644" s="42"/>
      <c r="JG644" s="42"/>
      <c r="JH644" s="42"/>
      <c r="JI644" s="42"/>
      <c r="JJ644" s="42"/>
      <c r="JK644" s="42"/>
      <c r="JL644" s="42"/>
      <c r="JM644" s="42"/>
      <c r="JN644" s="42"/>
      <c r="JO644" s="42"/>
      <c r="JP644" s="42"/>
      <c r="JQ644" s="42"/>
      <c r="JR644" s="42"/>
      <c r="JS644" s="42"/>
      <c r="JT644" s="42"/>
      <c r="JU644" s="42"/>
      <c r="JV644" s="42"/>
      <c r="JW644" s="42"/>
      <c r="JX644" s="42"/>
      <c r="JY644" s="42"/>
      <c r="JZ644" s="42"/>
      <c r="KA644" s="42"/>
    </row>
    <row r="645" spans="1:287" ht="12.75">
      <c r="A645" s="89"/>
      <c r="B645" s="89"/>
      <c r="J645" s="19"/>
      <c r="Q645" s="19"/>
      <c r="Y645" s="19"/>
      <c r="AF645" s="19"/>
      <c r="II645" s="42"/>
      <c r="IJ645" s="42"/>
      <c r="IK645" s="42"/>
      <c r="IL645" s="42"/>
      <c r="IM645" s="42"/>
      <c r="IN645" s="42"/>
      <c r="IO645" s="42"/>
      <c r="IP645" s="42"/>
      <c r="IQ645" s="42"/>
      <c r="IR645" s="42"/>
      <c r="IS645" s="42"/>
      <c r="IT645" s="42"/>
      <c r="IU645" s="42"/>
      <c r="IV645" s="42"/>
      <c r="IW645" s="42"/>
      <c r="IX645" s="42"/>
      <c r="IY645" s="42"/>
      <c r="IZ645" s="42"/>
      <c r="JA645" s="42"/>
      <c r="JB645" s="42"/>
      <c r="JC645" s="42"/>
      <c r="JD645" s="42"/>
      <c r="JE645" s="42"/>
      <c r="JF645" s="42"/>
      <c r="JG645" s="42"/>
      <c r="JH645" s="42"/>
      <c r="JI645" s="42"/>
      <c r="JJ645" s="42"/>
      <c r="JK645" s="42"/>
      <c r="JL645" s="42"/>
      <c r="JM645" s="42"/>
      <c r="JN645" s="42"/>
      <c r="JO645" s="42"/>
      <c r="JP645" s="42"/>
      <c r="JQ645" s="42"/>
      <c r="JR645" s="42"/>
      <c r="JS645" s="42"/>
      <c r="JT645" s="42"/>
      <c r="JU645" s="42"/>
      <c r="JV645" s="42"/>
      <c r="JW645" s="42"/>
      <c r="JX645" s="42"/>
      <c r="JY645" s="42"/>
      <c r="JZ645" s="42"/>
      <c r="KA645" s="42"/>
    </row>
    <row r="646" spans="1:287" ht="12.75">
      <c r="A646" s="89"/>
      <c r="B646" s="89"/>
      <c r="J646" s="19"/>
      <c r="Q646" s="19"/>
      <c r="Y646" s="19"/>
      <c r="AF646" s="19"/>
      <c r="II646" s="42"/>
      <c r="IJ646" s="42"/>
      <c r="IK646" s="42"/>
      <c r="IL646" s="42"/>
      <c r="IM646" s="42"/>
      <c r="IN646" s="42"/>
      <c r="IO646" s="42"/>
      <c r="IP646" s="42"/>
      <c r="IQ646" s="42"/>
      <c r="IR646" s="42"/>
      <c r="IS646" s="42"/>
      <c r="IT646" s="42"/>
      <c r="IU646" s="42"/>
      <c r="IV646" s="42"/>
      <c r="IW646" s="42"/>
      <c r="IX646" s="42"/>
      <c r="IY646" s="42"/>
      <c r="IZ646" s="42"/>
      <c r="JA646" s="42"/>
      <c r="JB646" s="42"/>
      <c r="JC646" s="42"/>
      <c r="JD646" s="42"/>
      <c r="JE646" s="42"/>
      <c r="JF646" s="42"/>
      <c r="JG646" s="42"/>
      <c r="JH646" s="42"/>
      <c r="JI646" s="42"/>
      <c r="JJ646" s="42"/>
      <c r="JK646" s="42"/>
      <c r="JL646" s="42"/>
      <c r="JM646" s="42"/>
      <c r="JN646" s="42"/>
      <c r="JO646" s="42"/>
      <c r="JP646" s="42"/>
      <c r="JQ646" s="42"/>
      <c r="JR646" s="42"/>
      <c r="JS646" s="42"/>
      <c r="JT646" s="42"/>
      <c r="JU646" s="42"/>
      <c r="JV646" s="42"/>
      <c r="JW646" s="42"/>
      <c r="JX646" s="42"/>
      <c r="JY646" s="42"/>
      <c r="JZ646" s="42"/>
      <c r="KA646" s="42"/>
    </row>
    <row r="647" spans="1:287" ht="12.75">
      <c r="A647" s="89"/>
      <c r="B647" s="89"/>
      <c r="J647" s="19"/>
      <c r="Q647" s="19"/>
      <c r="Y647" s="19"/>
      <c r="AF647" s="19"/>
      <c r="II647" s="42"/>
      <c r="IJ647" s="42"/>
      <c r="IK647" s="42"/>
      <c r="IL647" s="42"/>
      <c r="IM647" s="42"/>
      <c r="IN647" s="42"/>
      <c r="IO647" s="42"/>
      <c r="IP647" s="42"/>
      <c r="IQ647" s="42"/>
      <c r="IR647" s="42"/>
      <c r="IS647" s="42"/>
      <c r="IT647" s="42"/>
      <c r="IU647" s="42"/>
      <c r="IV647" s="42"/>
      <c r="IW647" s="42"/>
      <c r="IX647" s="42"/>
      <c r="IY647" s="42"/>
      <c r="IZ647" s="42"/>
      <c r="JA647" s="42"/>
      <c r="JB647" s="42"/>
      <c r="JC647" s="42"/>
      <c r="JD647" s="42"/>
      <c r="JE647" s="42"/>
      <c r="JF647" s="42"/>
      <c r="JG647" s="42"/>
      <c r="JH647" s="42"/>
      <c r="JI647" s="42"/>
      <c r="JJ647" s="42"/>
      <c r="JK647" s="42"/>
      <c r="JL647" s="42"/>
      <c r="JM647" s="42"/>
      <c r="JN647" s="42"/>
      <c r="JO647" s="42"/>
      <c r="JP647" s="42"/>
      <c r="JQ647" s="42"/>
      <c r="JR647" s="42"/>
      <c r="JS647" s="42"/>
      <c r="JT647" s="42"/>
      <c r="JU647" s="42"/>
      <c r="JV647" s="42"/>
      <c r="JW647" s="42"/>
      <c r="JX647" s="42"/>
      <c r="JY647" s="42"/>
      <c r="JZ647" s="42"/>
      <c r="KA647" s="42"/>
    </row>
    <row r="648" spans="1:287" ht="12.75">
      <c r="A648" s="89"/>
      <c r="B648" s="89"/>
      <c r="J648" s="19"/>
      <c r="Q648" s="19"/>
      <c r="Y648" s="19"/>
      <c r="AF648" s="19"/>
      <c r="II648" s="42"/>
      <c r="IJ648" s="42"/>
      <c r="IK648" s="42"/>
      <c r="IL648" s="42"/>
      <c r="IM648" s="42"/>
      <c r="IN648" s="42"/>
      <c r="IO648" s="42"/>
      <c r="IP648" s="42"/>
      <c r="IQ648" s="42"/>
      <c r="IR648" s="42"/>
      <c r="IS648" s="42"/>
      <c r="IT648" s="42"/>
      <c r="IU648" s="42"/>
      <c r="IV648" s="42"/>
      <c r="IW648" s="42"/>
      <c r="IX648" s="42"/>
      <c r="IY648" s="42"/>
      <c r="IZ648" s="42"/>
      <c r="JA648" s="42"/>
      <c r="JB648" s="42"/>
      <c r="JC648" s="42"/>
      <c r="JD648" s="42"/>
      <c r="JE648" s="42"/>
      <c r="JF648" s="42"/>
      <c r="JG648" s="42"/>
      <c r="JH648" s="42"/>
      <c r="JI648" s="42"/>
      <c r="JJ648" s="42"/>
      <c r="JK648" s="42"/>
      <c r="JL648" s="42"/>
      <c r="JM648" s="42"/>
      <c r="JN648" s="42"/>
      <c r="JO648" s="42"/>
      <c r="JP648" s="42"/>
      <c r="JQ648" s="42"/>
      <c r="JR648" s="42"/>
      <c r="JS648" s="42"/>
      <c r="JT648" s="42"/>
      <c r="JU648" s="42"/>
      <c r="JV648" s="42"/>
      <c r="JW648" s="42"/>
      <c r="JX648" s="42"/>
      <c r="JY648" s="42"/>
      <c r="JZ648" s="42"/>
      <c r="KA648" s="42"/>
    </row>
    <row r="649" spans="1:287" ht="12.75">
      <c r="A649" s="89"/>
      <c r="B649" s="89"/>
      <c r="J649" s="19"/>
      <c r="Q649" s="19"/>
      <c r="Y649" s="19"/>
      <c r="AF649" s="19"/>
      <c r="II649" s="42"/>
      <c r="IJ649" s="42"/>
      <c r="IK649" s="42"/>
      <c r="IL649" s="42"/>
      <c r="IM649" s="42"/>
      <c r="IN649" s="42"/>
      <c r="IO649" s="42"/>
      <c r="IP649" s="42"/>
      <c r="IQ649" s="42"/>
      <c r="IR649" s="42"/>
      <c r="IS649" s="42"/>
      <c r="IT649" s="42"/>
      <c r="IU649" s="42"/>
      <c r="IV649" s="42"/>
      <c r="IW649" s="42"/>
      <c r="IX649" s="42"/>
      <c r="IY649" s="42"/>
      <c r="IZ649" s="42"/>
      <c r="JA649" s="42"/>
      <c r="JB649" s="42"/>
      <c r="JC649" s="42"/>
      <c r="JD649" s="42"/>
      <c r="JE649" s="42"/>
      <c r="JF649" s="42"/>
      <c r="JG649" s="42"/>
      <c r="JH649" s="42"/>
      <c r="JI649" s="42"/>
      <c r="JJ649" s="42"/>
      <c r="JK649" s="42"/>
      <c r="JL649" s="42"/>
      <c r="JM649" s="42"/>
      <c r="JN649" s="42"/>
      <c r="JO649" s="42"/>
      <c r="JP649" s="42"/>
      <c r="JQ649" s="42"/>
      <c r="JR649" s="42"/>
      <c r="JS649" s="42"/>
      <c r="JT649" s="42"/>
      <c r="JU649" s="42"/>
      <c r="JV649" s="42"/>
      <c r="JW649" s="42"/>
      <c r="JX649" s="42"/>
      <c r="JY649" s="42"/>
      <c r="JZ649" s="42"/>
      <c r="KA649" s="42"/>
    </row>
    <row r="650" spans="1:287" ht="12.75">
      <c r="A650" s="89"/>
      <c r="B650" s="89"/>
      <c r="J650" s="19"/>
      <c r="Q650" s="19"/>
      <c r="Y650" s="19"/>
      <c r="AF650" s="19"/>
      <c r="II650" s="42"/>
      <c r="IJ650" s="42"/>
      <c r="IK650" s="42"/>
      <c r="IL650" s="42"/>
      <c r="IM650" s="42"/>
      <c r="IN650" s="42"/>
      <c r="IO650" s="42"/>
      <c r="IP650" s="42"/>
      <c r="IQ650" s="42"/>
      <c r="IR650" s="42"/>
      <c r="IS650" s="42"/>
      <c r="IT650" s="42"/>
      <c r="IU650" s="42"/>
      <c r="IV650" s="42"/>
      <c r="IW650" s="42"/>
      <c r="IX650" s="42"/>
      <c r="IY650" s="42"/>
      <c r="IZ650" s="42"/>
      <c r="JA650" s="42"/>
      <c r="JB650" s="42"/>
      <c r="JC650" s="42"/>
      <c r="JD650" s="42"/>
      <c r="JE650" s="42"/>
      <c r="JF650" s="42"/>
      <c r="JG650" s="42"/>
      <c r="JH650" s="42"/>
      <c r="JI650" s="42"/>
      <c r="JJ650" s="42"/>
      <c r="JK650" s="42"/>
      <c r="JL650" s="42"/>
      <c r="JM650" s="42"/>
      <c r="JN650" s="42"/>
      <c r="JO650" s="42"/>
      <c r="JP650" s="42"/>
      <c r="JQ650" s="42"/>
      <c r="JR650" s="42"/>
      <c r="JS650" s="42"/>
      <c r="JT650" s="42"/>
      <c r="JU650" s="42"/>
      <c r="JV650" s="42"/>
      <c r="JW650" s="42"/>
      <c r="JX650" s="42"/>
      <c r="JY650" s="42"/>
      <c r="JZ650" s="42"/>
      <c r="KA650" s="42"/>
    </row>
    <row r="651" spans="1:287" ht="12.75">
      <c r="A651" s="89"/>
      <c r="B651" s="89"/>
      <c r="J651" s="19"/>
      <c r="Q651" s="19"/>
      <c r="Y651" s="19"/>
      <c r="AF651" s="19"/>
      <c r="II651" s="42"/>
      <c r="IJ651" s="42"/>
      <c r="IK651" s="42"/>
      <c r="IL651" s="42"/>
      <c r="IM651" s="42"/>
      <c r="IN651" s="42"/>
      <c r="IO651" s="42"/>
      <c r="IP651" s="42"/>
      <c r="IQ651" s="42"/>
      <c r="IR651" s="42"/>
      <c r="IS651" s="42"/>
      <c r="IT651" s="42"/>
      <c r="IU651" s="42"/>
      <c r="IV651" s="42"/>
      <c r="IW651" s="42"/>
      <c r="IX651" s="42"/>
      <c r="IY651" s="42"/>
      <c r="IZ651" s="42"/>
      <c r="JA651" s="42"/>
      <c r="JB651" s="42"/>
      <c r="JC651" s="42"/>
      <c r="JD651" s="42"/>
      <c r="JE651" s="42"/>
      <c r="JF651" s="42"/>
      <c r="JG651" s="42"/>
      <c r="JH651" s="42"/>
      <c r="JI651" s="42"/>
      <c r="JJ651" s="42"/>
      <c r="JK651" s="42"/>
      <c r="JL651" s="42"/>
      <c r="JM651" s="42"/>
      <c r="JN651" s="42"/>
      <c r="JO651" s="42"/>
      <c r="JP651" s="42"/>
      <c r="JQ651" s="42"/>
      <c r="JR651" s="42"/>
      <c r="JS651" s="42"/>
      <c r="JT651" s="42"/>
      <c r="JU651" s="42"/>
      <c r="JV651" s="42"/>
      <c r="JW651" s="42"/>
      <c r="JX651" s="42"/>
      <c r="JY651" s="42"/>
      <c r="JZ651" s="42"/>
      <c r="KA651" s="42"/>
    </row>
    <row r="652" spans="1:287" ht="12.75">
      <c r="A652" s="89"/>
      <c r="B652" s="89"/>
      <c r="J652" s="19"/>
      <c r="Q652" s="19"/>
      <c r="Y652" s="19"/>
      <c r="AF652" s="19"/>
      <c r="II652" s="42"/>
      <c r="IJ652" s="42"/>
      <c r="IK652" s="42"/>
      <c r="IL652" s="42"/>
      <c r="IM652" s="42"/>
      <c r="IN652" s="42"/>
      <c r="IO652" s="42"/>
      <c r="IP652" s="42"/>
      <c r="IQ652" s="42"/>
      <c r="IR652" s="42"/>
      <c r="IS652" s="42"/>
      <c r="IT652" s="42"/>
      <c r="IU652" s="42"/>
      <c r="IV652" s="42"/>
      <c r="IW652" s="42"/>
      <c r="IX652" s="42"/>
      <c r="IY652" s="42"/>
      <c r="IZ652" s="42"/>
      <c r="JA652" s="42"/>
      <c r="JB652" s="42"/>
      <c r="JC652" s="42"/>
      <c r="JD652" s="42"/>
      <c r="JE652" s="42"/>
      <c r="JF652" s="42"/>
      <c r="JG652" s="42"/>
      <c r="JH652" s="42"/>
      <c r="JI652" s="42"/>
      <c r="JJ652" s="42"/>
      <c r="JK652" s="42"/>
      <c r="JL652" s="42"/>
      <c r="JM652" s="42"/>
      <c r="JN652" s="42"/>
      <c r="JO652" s="42"/>
      <c r="JP652" s="42"/>
      <c r="JQ652" s="42"/>
      <c r="JR652" s="42"/>
      <c r="JS652" s="42"/>
      <c r="JT652" s="42"/>
      <c r="JU652" s="42"/>
      <c r="JV652" s="42"/>
      <c r="JW652" s="42"/>
      <c r="JX652" s="42"/>
      <c r="JY652" s="42"/>
      <c r="JZ652" s="42"/>
      <c r="KA652" s="42"/>
    </row>
    <row r="653" spans="1:287" ht="12.75">
      <c r="A653" s="89"/>
      <c r="B653" s="89"/>
      <c r="J653" s="19"/>
      <c r="Q653" s="19"/>
      <c r="Y653" s="19"/>
      <c r="AF653" s="19"/>
      <c r="II653" s="42"/>
      <c r="IJ653" s="42"/>
      <c r="IK653" s="42"/>
      <c r="IL653" s="42"/>
      <c r="IM653" s="42"/>
      <c r="IN653" s="42"/>
      <c r="IO653" s="42"/>
      <c r="IP653" s="42"/>
      <c r="IQ653" s="42"/>
      <c r="IR653" s="42"/>
      <c r="IS653" s="42"/>
      <c r="IT653" s="42"/>
      <c r="IU653" s="42"/>
      <c r="IV653" s="42"/>
      <c r="IW653" s="42"/>
      <c r="IX653" s="42"/>
      <c r="IY653" s="42"/>
      <c r="IZ653" s="42"/>
      <c r="JA653" s="42"/>
      <c r="JB653" s="42"/>
      <c r="JC653" s="42"/>
      <c r="JD653" s="42"/>
      <c r="JE653" s="42"/>
      <c r="JF653" s="42"/>
      <c r="JG653" s="42"/>
      <c r="JH653" s="42"/>
      <c r="JI653" s="42"/>
      <c r="JJ653" s="42"/>
      <c r="JK653" s="42"/>
      <c r="JL653" s="42"/>
      <c r="JM653" s="42"/>
      <c r="JN653" s="42"/>
      <c r="JO653" s="42"/>
      <c r="JP653" s="42"/>
      <c r="JQ653" s="42"/>
      <c r="JR653" s="42"/>
      <c r="JS653" s="42"/>
      <c r="JT653" s="42"/>
      <c r="JU653" s="42"/>
      <c r="JV653" s="42"/>
      <c r="JW653" s="42"/>
      <c r="JX653" s="42"/>
      <c r="JY653" s="42"/>
      <c r="JZ653" s="42"/>
      <c r="KA653" s="42"/>
    </row>
    <row r="654" spans="1:287" ht="12.75">
      <c r="A654" s="89"/>
      <c r="B654" s="89"/>
      <c r="J654" s="19"/>
      <c r="Q654" s="19"/>
      <c r="Y654" s="19"/>
      <c r="AF654" s="19"/>
      <c r="II654" s="42"/>
      <c r="IJ654" s="42"/>
      <c r="IK654" s="42"/>
      <c r="IL654" s="42"/>
      <c r="IM654" s="42"/>
      <c r="IN654" s="42"/>
      <c r="IO654" s="42"/>
      <c r="IP654" s="42"/>
      <c r="IQ654" s="42"/>
      <c r="IR654" s="42"/>
      <c r="IS654" s="42"/>
      <c r="IT654" s="42"/>
      <c r="IU654" s="42"/>
      <c r="IV654" s="42"/>
      <c r="IW654" s="42"/>
      <c r="IX654" s="42"/>
      <c r="IY654" s="42"/>
      <c r="IZ654" s="42"/>
      <c r="JA654" s="42"/>
      <c r="JB654" s="42"/>
      <c r="JC654" s="42"/>
      <c r="JD654" s="42"/>
      <c r="JE654" s="42"/>
      <c r="JF654" s="42"/>
      <c r="JG654" s="42"/>
      <c r="JH654" s="42"/>
      <c r="JI654" s="42"/>
      <c r="JJ654" s="42"/>
      <c r="JK654" s="42"/>
      <c r="JL654" s="42"/>
      <c r="JM654" s="42"/>
      <c r="JN654" s="42"/>
      <c r="JO654" s="42"/>
      <c r="JP654" s="42"/>
      <c r="JQ654" s="42"/>
      <c r="JR654" s="42"/>
      <c r="JS654" s="42"/>
      <c r="JT654" s="42"/>
      <c r="JU654" s="42"/>
      <c r="JV654" s="42"/>
      <c r="JW654" s="42"/>
      <c r="JX654" s="42"/>
      <c r="JY654" s="42"/>
      <c r="JZ654" s="42"/>
      <c r="KA654" s="42"/>
    </row>
    <row r="655" spans="1:287" ht="12.75">
      <c r="A655" s="89"/>
      <c r="B655" s="89"/>
      <c r="J655" s="19"/>
      <c r="Q655" s="19"/>
      <c r="Y655" s="19"/>
      <c r="AF655" s="19"/>
      <c r="II655" s="42"/>
      <c r="IJ655" s="42"/>
      <c r="IK655" s="42"/>
      <c r="IL655" s="42"/>
      <c r="IM655" s="42"/>
      <c r="IN655" s="42"/>
      <c r="IO655" s="42"/>
      <c r="IP655" s="42"/>
      <c r="IQ655" s="42"/>
      <c r="IR655" s="42"/>
      <c r="IS655" s="42"/>
      <c r="IT655" s="42"/>
      <c r="IU655" s="42"/>
      <c r="IV655" s="42"/>
      <c r="IW655" s="42"/>
      <c r="IX655" s="42"/>
      <c r="IY655" s="42"/>
      <c r="IZ655" s="42"/>
      <c r="JA655" s="42"/>
      <c r="JB655" s="42"/>
      <c r="JC655" s="42"/>
      <c r="JD655" s="42"/>
      <c r="JE655" s="42"/>
      <c r="JF655" s="42"/>
      <c r="JG655" s="42"/>
      <c r="JH655" s="42"/>
      <c r="JI655" s="42"/>
      <c r="JJ655" s="42"/>
      <c r="JK655" s="42"/>
      <c r="JL655" s="42"/>
      <c r="JM655" s="42"/>
      <c r="JN655" s="42"/>
      <c r="JO655" s="42"/>
      <c r="JP655" s="42"/>
      <c r="JQ655" s="42"/>
      <c r="JR655" s="42"/>
      <c r="JS655" s="42"/>
      <c r="JT655" s="42"/>
      <c r="JU655" s="42"/>
      <c r="JV655" s="42"/>
      <c r="JW655" s="42"/>
      <c r="JX655" s="42"/>
      <c r="JY655" s="42"/>
      <c r="JZ655" s="42"/>
      <c r="KA655" s="42"/>
    </row>
    <row r="656" spans="1:287" ht="12.75">
      <c r="A656" s="89"/>
      <c r="B656" s="89"/>
      <c r="J656" s="19"/>
      <c r="Q656" s="19"/>
      <c r="Y656" s="19"/>
      <c r="AF656" s="19"/>
      <c r="II656" s="42"/>
      <c r="IJ656" s="42"/>
      <c r="IK656" s="42"/>
      <c r="IL656" s="42"/>
      <c r="IM656" s="42"/>
      <c r="IN656" s="42"/>
      <c r="IO656" s="42"/>
      <c r="IP656" s="42"/>
      <c r="IQ656" s="42"/>
      <c r="IR656" s="42"/>
      <c r="IS656" s="42"/>
      <c r="IT656" s="42"/>
      <c r="IU656" s="42"/>
      <c r="IV656" s="42"/>
      <c r="IW656" s="42"/>
      <c r="IX656" s="42"/>
      <c r="IY656" s="42"/>
      <c r="IZ656" s="42"/>
      <c r="JA656" s="42"/>
      <c r="JB656" s="42"/>
      <c r="JC656" s="42"/>
      <c r="JD656" s="42"/>
      <c r="JE656" s="42"/>
      <c r="JF656" s="42"/>
      <c r="JG656" s="42"/>
      <c r="JH656" s="42"/>
      <c r="JI656" s="42"/>
      <c r="JJ656" s="42"/>
      <c r="JK656" s="42"/>
      <c r="JL656" s="42"/>
      <c r="JM656" s="42"/>
      <c r="JN656" s="42"/>
      <c r="JO656" s="42"/>
      <c r="JP656" s="42"/>
      <c r="JQ656" s="42"/>
      <c r="JR656" s="42"/>
      <c r="JS656" s="42"/>
      <c r="JT656" s="42"/>
      <c r="JU656" s="42"/>
      <c r="JV656" s="42"/>
      <c r="JW656" s="42"/>
      <c r="JX656" s="42"/>
      <c r="JY656" s="42"/>
      <c r="JZ656" s="42"/>
      <c r="KA656" s="42"/>
    </row>
    <row r="657" spans="1:287" ht="12.75">
      <c r="A657" s="89"/>
      <c r="B657" s="89"/>
      <c r="J657" s="19"/>
      <c r="Q657" s="19"/>
      <c r="Y657" s="19"/>
      <c r="AF657" s="19"/>
      <c r="II657" s="42"/>
      <c r="IJ657" s="42"/>
      <c r="IK657" s="42"/>
      <c r="IL657" s="42"/>
      <c r="IM657" s="42"/>
      <c r="IN657" s="42"/>
      <c r="IO657" s="42"/>
      <c r="IP657" s="42"/>
      <c r="IQ657" s="42"/>
      <c r="IR657" s="42"/>
      <c r="IS657" s="42"/>
      <c r="IT657" s="42"/>
      <c r="IU657" s="42"/>
      <c r="IV657" s="42"/>
      <c r="IW657" s="42"/>
      <c r="IX657" s="42"/>
      <c r="IY657" s="42"/>
      <c r="IZ657" s="42"/>
      <c r="JA657" s="42"/>
      <c r="JB657" s="42"/>
      <c r="JC657" s="42"/>
      <c r="JD657" s="42"/>
      <c r="JE657" s="42"/>
      <c r="JF657" s="42"/>
      <c r="JG657" s="42"/>
      <c r="JH657" s="42"/>
      <c r="JI657" s="42"/>
      <c r="JJ657" s="42"/>
      <c r="JK657" s="42"/>
      <c r="JL657" s="42"/>
      <c r="JM657" s="42"/>
      <c r="JN657" s="42"/>
      <c r="JO657" s="42"/>
      <c r="JP657" s="42"/>
      <c r="JQ657" s="42"/>
      <c r="JR657" s="42"/>
      <c r="JS657" s="42"/>
      <c r="JT657" s="42"/>
      <c r="JU657" s="42"/>
      <c r="JV657" s="42"/>
      <c r="JW657" s="42"/>
      <c r="JX657" s="42"/>
      <c r="JY657" s="42"/>
      <c r="JZ657" s="42"/>
      <c r="KA657" s="42"/>
    </row>
    <row r="658" spans="1:287" ht="12.75">
      <c r="A658" s="89"/>
      <c r="B658" s="89"/>
      <c r="J658" s="19"/>
      <c r="Q658" s="19"/>
      <c r="Y658" s="19"/>
      <c r="AF658" s="19"/>
      <c r="II658" s="42"/>
      <c r="IJ658" s="42"/>
      <c r="IK658" s="42"/>
      <c r="IL658" s="42"/>
      <c r="IM658" s="42"/>
      <c r="IN658" s="42"/>
      <c r="IO658" s="42"/>
      <c r="IP658" s="42"/>
      <c r="IQ658" s="42"/>
      <c r="IR658" s="42"/>
      <c r="IS658" s="42"/>
      <c r="IT658" s="42"/>
      <c r="IU658" s="42"/>
      <c r="IV658" s="42"/>
      <c r="IW658" s="42"/>
      <c r="IX658" s="42"/>
      <c r="IY658" s="42"/>
      <c r="IZ658" s="42"/>
      <c r="JA658" s="42"/>
      <c r="JB658" s="42"/>
      <c r="JC658" s="42"/>
      <c r="JD658" s="42"/>
      <c r="JE658" s="42"/>
      <c r="JF658" s="42"/>
      <c r="JG658" s="42"/>
      <c r="JH658" s="42"/>
      <c r="JI658" s="42"/>
      <c r="JJ658" s="42"/>
      <c r="JK658" s="42"/>
      <c r="JL658" s="42"/>
      <c r="JM658" s="42"/>
      <c r="JN658" s="42"/>
      <c r="JO658" s="42"/>
      <c r="JP658" s="42"/>
      <c r="JQ658" s="42"/>
      <c r="JR658" s="42"/>
      <c r="JS658" s="42"/>
      <c r="JT658" s="42"/>
      <c r="JU658" s="42"/>
      <c r="JV658" s="42"/>
      <c r="JW658" s="42"/>
      <c r="JX658" s="42"/>
      <c r="JY658" s="42"/>
      <c r="JZ658" s="42"/>
      <c r="KA658" s="42"/>
    </row>
    <row r="659" spans="1:287" ht="12.75">
      <c r="A659" s="89"/>
      <c r="B659" s="89"/>
      <c r="J659" s="19"/>
      <c r="Q659" s="19"/>
      <c r="Y659" s="19"/>
      <c r="AF659" s="19"/>
      <c r="II659" s="42"/>
      <c r="IJ659" s="42"/>
      <c r="IK659" s="42"/>
      <c r="IL659" s="42"/>
      <c r="IM659" s="42"/>
      <c r="IN659" s="42"/>
      <c r="IO659" s="42"/>
      <c r="IP659" s="42"/>
      <c r="IQ659" s="42"/>
      <c r="IR659" s="42"/>
      <c r="IS659" s="42"/>
      <c r="IT659" s="42"/>
      <c r="IU659" s="42"/>
      <c r="IV659" s="42"/>
      <c r="IW659" s="42"/>
      <c r="IX659" s="42"/>
      <c r="IY659" s="42"/>
      <c r="IZ659" s="42"/>
      <c r="JA659" s="42"/>
      <c r="JB659" s="42"/>
      <c r="JC659" s="42"/>
      <c r="JD659" s="42"/>
      <c r="JE659" s="42"/>
      <c r="JF659" s="42"/>
      <c r="JG659" s="42"/>
      <c r="JH659" s="42"/>
      <c r="JI659" s="42"/>
      <c r="JJ659" s="42"/>
      <c r="JK659" s="42"/>
      <c r="JL659" s="42"/>
      <c r="JM659" s="42"/>
      <c r="JN659" s="42"/>
      <c r="JO659" s="42"/>
      <c r="JP659" s="42"/>
      <c r="JQ659" s="42"/>
      <c r="JR659" s="42"/>
      <c r="JS659" s="42"/>
      <c r="JT659" s="42"/>
      <c r="JU659" s="42"/>
      <c r="JV659" s="42"/>
      <c r="JW659" s="42"/>
      <c r="JX659" s="42"/>
      <c r="JY659" s="42"/>
      <c r="JZ659" s="42"/>
      <c r="KA659" s="42"/>
    </row>
    <row r="660" spans="1:287" ht="12.75">
      <c r="A660" s="89"/>
      <c r="B660" s="89"/>
      <c r="J660" s="19"/>
      <c r="Q660" s="19"/>
      <c r="Y660" s="19"/>
      <c r="AF660" s="19"/>
      <c r="II660" s="42"/>
      <c r="IJ660" s="42"/>
      <c r="IK660" s="42"/>
      <c r="IL660" s="42"/>
      <c r="IM660" s="42"/>
      <c r="IN660" s="42"/>
      <c r="IO660" s="42"/>
      <c r="IP660" s="42"/>
      <c r="IQ660" s="42"/>
      <c r="IR660" s="42"/>
      <c r="IS660" s="42"/>
      <c r="IT660" s="42"/>
      <c r="IU660" s="42"/>
      <c r="IV660" s="42"/>
      <c r="IW660" s="42"/>
      <c r="IX660" s="42"/>
      <c r="IY660" s="42"/>
      <c r="IZ660" s="42"/>
      <c r="JA660" s="42"/>
      <c r="JB660" s="42"/>
      <c r="JC660" s="42"/>
      <c r="JD660" s="42"/>
      <c r="JE660" s="42"/>
      <c r="JF660" s="42"/>
      <c r="JG660" s="42"/>
      <c r="JH660" s="42"/>
      <c r="JI660" s="42"/>
      <c r="JJ660" s="42"/>
      <c r="JK660" s="42"/>
      <c r="JL660" s="42"/>
      <c r="JM660" s="42"/>
      <c r="JN660" s="42"/>
      <c r="JO660" s="42"/>
      <c r="JP660" s="42"/>
      <c r="JQ660" s="42"/>
      <c r="JR660" s="42"/>
      <c r="JS660" s="42"/>
      <c r="JT660" s="42"/>
      <c r="JU660" s="42"/>
      <c r="JV660" s="42"/>
      <c r="JW660" s="42"/>
      <c r="JX660" s="42"/>
      <c r="JY660" s="42"/>
      <c r="JZ660" s="42"/>
      <c r="KA660" s="42"/>
    </row>
    <row r="661" spans="1:287" ht="12.75">
      <c r="A661" s="89"/>
      <c r="B661" s="89"/>
      <c r="J661" s="19"/>
      <c r="Q661" s="19"/>
      <c r="Y661" s="19"/>
      <c r="AF661" s="19"/>
      <c r="II661" s="42"/>
      <c r="IJ661" s="42"/>
      <c r="IK661" s="42"/>
      <c r="IL661" s="42"/>
      <c r="IM661" s="42"/>
      <c r="IN661" s="42"/>
      <c r="IO661" s="42"/>
      <c r="IP661" s="42"/>
      <c r="IQ661" s="42"/>
      <c r="IR661" s="42"/>
      <c r="IS661" s="42"/>
      <c r="IT661" s="42"/>
      <c r="IU661" s="42"/>
      <c r="IV661" s="42"/>
      <c r="IW661" s="42"/>
      <c r="IX661" s="42"/>
      <c r="IY661" s="42"/>
      <c r="IZ661" s="42"/>
      <c r="JA661" s="42"/>
      <c r="JB661" s="42"/>
      <c r="JC661" s="42"/>
      <c r="JD661" s="42"/>
      <c r="JE661" s="42"/>
      <c r="JF661" s="42"/>
      <c r="JG661" s="42"/>
      <c r="JH661" s="42"/>
      <c r="JI661" s="42"/>
      <c r="JJ661" s="42"/>
      <c r="JK661" s="42"/>
      <c r="JL661" s="42"/>
      <c r="JM661" s="42"/>
      <c r="JN661" s="42"/>
      <c r="JO661" s="42"/>
      <c r="JP661" s="42"/>
      <c r="JQ661" s="42"/>
      <c r="JR661" s="42"/>
      <c r="JS661" s="42"/>
      <c r="JT661" s="42"/>
      <c r="JU661" s="42"/>
      <c r="JV661" s="42"/>
      <c r="JW661" s="42"/>
      <c r="JX661" s="42"/>
      <c r="JY661" s="42"/>
      <c r="JZ661" s="42"/>
      <c r="KA661" s="42"/>
    </row>
    <row r="662" spans="1:287" ht="12.75">
      <c r="A662" s="89"/>
      <c r="B662" s="89"/>
      <c r="J662" s="19"/>
      <c r="Q662" s="19"/>
      <c r="Y662" s="19"/>
      <c r="AF662" s="19"/>
      <c r="II662" s="42"/>
      <c r="IJ662" s="42"/>
      <c r="IK662" s="42"/>
      <c r="IL662" s="42"/>
      <c r="IM662" s="42"/>
      <c r="IN662" s="42"/>
      <c r="IO662" s="42"/>
      <c r="IP662" s="42"/>
      <c r="IQ662" s="42"/>
      <c r="IR662" s="42"/>
      <c r="IS662" s="42"/>
      <c r="IT662" s="42"/>
      <c r="IU662" s="42"/>
      <c r="IV662" s="42"/>
      <c r="IW662" s="42"/>
      <c r="IX662" s="42"/>
      <c r="IY662" s="42"/>
      <c r="IZ662" s="42"/>
      <c r="JA662" s="42"/>
      <c r="JB662" s="42"/>
      <c r="JC662" s="42"/>
      <c r="JD662" s="42"/>
      <c r="JE662" s="42"/>
      <c r="JF662" s="42"/>
      <c r="JG662" s="42"/>
      <c r="JH662" s="42"/>
      <c r="JI662" s="42"/>
      <c r="JJ662" s="42"/>
      <c r="JK662" s="42"/>
      <c r="JL662" s="42"/>
      <c r="JM662" s="42"/>
      <c r="JN662" s="42"/>
      <c r="JO662" s="42"/>
      <c r="JP662" s="42"/>
      <c r="JQ662" s="42"/>
      <c r="JR662" s="42"/>
      <c r="JS662" s="42"/>
      <c r="JT662" s="42"/>
      <c r="JU662" s="42"/>
      <c r="JV662" s="42"/>
      <c r="JW662" s="42"/>
      <c r="JX662" s="42"/>
      <c r="JY662" s="42"/>
      <c r="JZ662" s="42"/>
      <c r="KA662" s="42"/>
    </row>
    <row r="663" spans="1:287" ht="12.75">
      <c r="A663" s="89"/>
      <c r="B663" s="89"/>
      <c r="J663" s="19"/>
      <c r="Q663" s="19"/>
      <c r="Y663" s="19"/>
      <c r="AF663" s="19"/>
      <c r="II663" s="42"/>
      <c r="IJ663" s="42"/>
      <c r="IK663" s="42"/>
      <c r="IL663" s="42"/>
      <c r="IM663" s="42"/>
      <c r="IN663" s="42"/>
      <c r="IO663" s="42"/>
      <c r="IP663" s="42"/>
      <c r="IQ663" s="42"/>
      <c r="IR663" s="42"/>
      <c r="IS663" s="42"/>
      <c r="IT663" s="42"/>
      <c r="IU663" s="42"/>
      <c r="IV663" s="42"/>
      <c r="IW663" s="42"/>
      <c r="IX663" s="42"/>
      <c r="IY663" s="42"/>
      <c r="IZ663" s="42"/>
      <c r="JA663" s="42"/>
      <c r="JB663" s="42"/>
      <c r="JC663" s="42"/>
      <c r="JD663" s="42"/>
      <c r="JE663" s="42"/>
      <c r="JF663" s="42"/>
      <c r="JG663" s="42"/>
      <c r="JH663" s="42"/>
      <c r="JI663" s="42"/>
      <c r="JJ663" s="42"/>
      <c r="JK663" s="42"/>
      <c r="JL663" s="42"/>
      <c r="JM663" s="42"/>
      <c r="JN663" s="42"/>
      <c r="JO663" s="42"/>
      <c r="JP663" s="42"/>
      <c r="JQ663" s="42"/>
      <c r="JR663" s="42"/>
      <c r="JS663" s="42"/>
      <c r="JT663" s="42"/>
      <c r="JU663" s="42"/>
      <c r="JV663" s="42"/>
      <c r="JW663" s="42"/>
      <c r="JX663" s="42"/>
      <c r="JY663" s="42"/>
      <c r="JZ663" s="42"/>
      <c r="KA663" s="42"/>
    </row>
    <row r="664" spans="1:287" ht="12.75">
      <c r="A664" s="89"/>
      <c r="B664" s="89"/>
      <c r="J664" s="19"/>
      <c r="Q664" s="19"/>
      <c r="Y664" s="19"/>
      <c r="AF664" s="19"/>
      <c r="II664" s="42"/>
      <c r="IJ664" s="42"/>
      <c r="IK664" s="42"/>
      <c r="IL664" s="42"/>
      <c r="IM664" s="42"/>
      <c r="IN664" s="42"/>
      <c r="IO664" s="42"/>
      <c r="IP664" s="42"/>
      <c r="IQ664" s="42"/>
      <c r="IR664" s="42"/>
      <c r="IS664" s="42"/>
      <c r="IT664" s="42"/>
      <c r="IU664" s="42"/>
      <c r="IV664" s="42"/>
      <c r="IW664" s="42"/>
      <c r="IX664" s="42"/>
      <c r="IY664" s="42"/>
      <c r="IZ664" s="42"/>
      <c r="JA664" s="42"/>
      <c r="JB664" s="42"/>
      <c r="JC664" s="42"/>
      <c r="JD664" s="42"/>
      <c r="JE664" s="42"/>
      <c r="JF664" s="42"/>
      <c r="JG664" s="42"/>
      <c r="JH664" s="42"/>
      <c r="JI664" s="42"/>
      <c r="JJ664" s="42"/>
      <c r="JK664" s="42"/>
      <c r="JL664" s="42"/>
      <c r="JM664" s="42"/>
      <c r="JN664" s="42"/>
      <c r="JO664" s="42"/>
      <c r="JP664" s="42"/>
      <c r="JQ664" s="42"/>
      <c r="JR664" s="42"/>
      <c r="JS664" s="42"/>
      <c r="JT664" s="42"/>
      <c r="JU664" s="42"/>
      <c r="JV664" s="42"/>
      <c r="JW664" s="42"/>
      <c r="JX664" s="42"/>
      <c r="JY664" s="42"/>
      <c r="JZ664" s="42"/>
      <c r="KA664" s="42"/>
    </row>
    <row r="665" spans="1:287" ht="12.75">
      <c r="A665" s="89"/>
      <c r="B665" s="89"/>
      <c r="J665" s="19"/>
      <c r="Q665" s="19"/>
      <c r="Y665" s="19"/>
      <c r="AF665" s="19"/>
      <c r="II665" s="42"/>
      <c r="IJ665" s="42"/>
      <c r="IK665" s="42"/>
      <c r="IL665" s="42"/>
      <c r="IM665" s="42"/>
      <c r="IN665" s="42"/>
      <c r="IO665" s="42"/>
      <c r="IP665" s="42"/>
      <c r="IQ665" s="42"/>
      <c r="IR665" s="42"/>
      <c r="IS665" s="42"/>
      <c r="IT665" s="42"/>
      <c r="IU665" s="42"/>
      <c r="IV665" s="42"/>
      <c r="IW665" s="42"/>
      <c r="IX665" s="42"/>
      <c r="IY665" s="42"/>
      <c r="IZ665" s="42"/>
      <c r="JA665" s="42"/>
      <c r="JB665" s="42"/>
      <c r="JC665" s="42"/>
      <c r="JD665" s="42"/>
      <c r="JE665" s="42"/>
      <c r="JF665" s="42"/>
      <c r="JG665" s="42"/>
      <c r="JH665" s="42"/>
      <c r="JI665" s="42"/>
      <c r="JJ665" s="42"/>
      <c r="JK665" s="42"/>
      <c r="JL665" s="42"/>
      <c r="JM665" s="42"/>
      <c r="JN665" s="42"/>
      <c r="JO665" s="42"/>
      <c r="JP665" s="42"/>
      <c r="JQ665" s="42"/>
      <c r="JR665" s="42"/>
      <c r="JS665" s="42"/>
      <c r="JT665" s="42"/>
      <c r="JU665" s="42"/>
      <c r="JV665" s="42"/>
      <c r="JW665" s="42"/>
      <c r="JX665" s="42"/>
      <c r="JY665" s="42"/>
      <c r="JZ665" s="42"/>
      <c r="KA665" s="42"/>
    </row>
    <row r="666" spans="1:287" ht="12.75">
      <c r="A666" s="89"/>
      <c r="B666" s="89"/>
      <c r="J666" s="19"/>
      <c r="Q666" s="19"/>
      <c r="Y666" s="19"/>
      <c r="AF666" s="19"/>
      <c r="II666" s="42"/>
      <c r="IJ666" s="42"/>
      <c r="IK666" s="42"/>
      <c r="IL666" s="42"/>
      <c r="IM666" s="42"/>
      <c r="IN666" s="42"/>
      <c r="IO666" s="42"/>
      <c r="IP666" s="42"/>
      <c r="IQ666" s="42"/>
      <c r="IR666" s="42"/>
      <c r="IS666" s="42"/>
      <c r="IT666" s="42"/>
      <c r="IU666" s="42"/>
      <c r="IV666" s="42"/>
      <c r="IW666" s="42"/>
      <c r="IX666" s="42"/>
      <c r="IY666" s="42"/>
      <c r="IZ666" s="42"/>
      <c r="JA666" s="42"/>
      <c r="JB666" s="42"/>
      <c r="JC666" s="42"/>
      <c r="JD666" s="42"/>
      <c r="JE666" s="42"/>
      <c r="JF666" s="42"/>
      <c r="JG666" s="42"/>
      <c r="JH666" s="42"/>
      <c r="JI666" s="42"/>
      <c r="JJ666" s="42"/>
      <c r="JK666" s="42"/>
      <c r="JL666" s="42"/>
      <c r="JM666" s="42"/>
      <c r="JN666" s="42"/>
      <c r="JO666" s="42"/>
      <c r="JP666" s="42"/>
      <c r="JQ666" s="42"/>
      <c r="JR666" s="42"/>
      <c r="JS666" s="42"/>
      <c r="JT666" s="42"/>
      <c r="JU666" s="42"/>
      <c r="JV666" s="42"/>
      <c r="JW666" s="42"/>
      <c r="JX666" s="42"/>
      <c r="JY666" s="42"/>
      <c r="JZ666" s="42"/>
      <c r="KA666" s="42"/>
    </row>
    <row r="667" spans="1:287" ht="12.75">
      <c r="A667" s="89"/>
      <c r="B667" s="89"/>
      <c r="J667" s="19"/>
      <c r="Q667" s="19"/>
      <c r="Y667" s="19"/>
      <c r="AF667" s="19"/>
      <c r="II667" s="42"/>
      <c r="IJ667" s="42"/>
      <c r="IK667" s="42"/>
      <c r="IL667" s="42"/>
      <c r="IM667" s="42"/>
      <c r="IN667" s="42"/>
      <c r="IO667" s="42"/>
      <c r="IP667" s="42"/>
      <c r="IQ667" s="42"/>
      <c r="IR667" s="42"/>
      <c r="IS667" s="42"/>
      <c r="IT667" s="42"/>
      <c r="IU667" s="42"/>
      <c r="IV667" s="42"/>
      <c r="IW667" s="42"/>
      <c r="IX667" s="42"/>
      <c r="IY667" s="42"/>
      <c r="IZ667" s="42"/>
      <c r="JA667" s="42"/>
      <c r="JB667" s="42"/>
      <c r="JC667" s="42"/>
      <c r="JD667" s="42"/>
      <c r="JE667" s="42"/>
      <c r="JF667" s="42"/>
      <c r="JG667" s="42"/>
      <c r="JH667" s="42"/>
      <c r="JI667" s="42"/>
      <c r="JJ667" s="42"/>
      <c r="JK667" s="42"/>
      <c r="JL667" s="42"/>
      <c r="JM667" s="42"/>
      <c r="JN667" s="42"/>
      <c r="JO667" s="42"/>
      <c r="JP667" s="42"/>
      <c r="JQ667" s="42"/>
      <c r="JR667" s="42"/>
      <c r="JS667" s="42"/>
      <c r="JT667" s="42"/>
      <c r="JU667" s="42"/>
      <c r="JV667" s="42"/>
      <c r="JW667" s="42"/>
      <c r="JX667" s="42"/>
      <c r="JY667" s="42"/>
      <c r="JZ667" s="42"/>
      <c r="KA667" s="42"/>
    </row>
    <row r="668" spans="1:287" ht="12.75">
      <c r="A668" s="89"/>
      <c r="B668" s="89"/>
      <c r="J668" s="19"/>
      <c r="Q668" s="19"/>
      <c r="Y668" s="19"/>
      <c r="AF668" s="19"/>
      <c r="II668" s="42"/>
      <c r="IJ668" s="42"/>
      <c r="IK668" s="42"/>
      <c r="IL668" s="42"/>
      <c r="IM668" s="42"/>
      <c r="IN668" s="42"/>
      <c r="IO668" s="42"/>
      <c r="IP668" s="42"/>
      <c r="IQ668" s="42"/>
      <c r="IR668" s="42"/>
      <c r="IS668" s="42"/>
      <c r="IT668" s="42"/>
      <c r="IU668" s="42"/>
      <c r="IV668" s="42"/>
      <c r="IW668" s="42"/>
      <c r="IX668" s="42"/>
      <c r="IY668" s="42"/>
      <c r="IZ668" s="42"/>
      <c r="JA668" s="42"/>
      <c r="JB668" s="42"/>
      <c r="JC668" s="42"/>
      <c r="JD668" s="42"/>
      <c r="JE668" s="42"/>
      <c r="JF668" s="42"/>
      <c r="JG668" s="42"/>
      <c r="JH668" s="42"/>
      <c r="JI668" s="42"/>
      <c r="JJ668" s="42"/>
      <c r="JK668" s="42"/>
      <c r="JL668" s="42"/>
      <c r="JM668" s="42"/>
      <c r="JN668" s="42"/>
      <c r="JO668" s="42"/>
      <c r="JP668" s="42"/>
      <c r="JQ668" s="42"/>
      <c r="JR668" s="42"/>
      <c r="JS668" s="42"/>
      <c r="JT668" s="42"/>
      <c r="JU668" s="42"/>
      <c r="JV668" s="42"/>
      <c r="JW668" s="42"/>
      <c r="JX668" s="42"/>
      <c r="JY668" s="42"/>
      <c r="JZ668" s="42"/>
      <c r="KA668" s="42"/>
    </row>
    <row r="669" spans="1:287" ht="12.75">
      <c r="A669" s="89"/>
      <c r="B669" s="89"/>
      <c r="J669" s="19"/>
      <c r="Q669" s="19"/>
      <c r="Y669" s="19"/>
      <c r="AF669" s="19"/>
      <c r="II669" s="42"/>
      <c r="IJ669" s="42"/>
      <c r="IK669" s="42"/>
      <c r="IL669" s="42"/>
      <c r="IM669" s="42"/>
      <c r="IN669" s="42"/>
      <c r="IO669" s="42"/>
      <c r="IP669" s="42"/>
      <c r="IQ669" s="42"/>
      <c r="IR669" s="42"/>
      <c r="IS669" s="42"/>
      <c r="IT669" s="42"/>
      <c r="IU669" s="42"/>
      <c r="IV669" s="42"/>
      <c r="IW669" s="42"/>
      <c r="IX669" s="42"/>
      <c r="IY669" s="42"/>
      <c r="IZ669" s="42"/>
      <c r="JA669" s="42"/>
      <c r="JB669" s="42"/>
      <c r="JC669" s="42"/>
      <c r="JD669" s="42"/>
      <c r="JE669" s="42"/>
      <c r="JF669" s="42"/>
      <c r="JG669" s="42"/>
      <c r="JH669" s="42"/>
      <c r="JI669" s="42"/>
      <c r="JJ669" s="42"/>
      <c r="JK669" s="42"/>
      <c r="JL669" s="42"/>
      <c r="JM669" s="42"/>
      <c r="JN669" s="42"/>
      <c r="JO669" s="42"/>
      <c r="JP669" s="42"/>
      <c r="JQ669" s="42"/>
      <c r="JR669" s="42"/>
      <c r="JS669" s="42"/>
      <c r="JT669" s="42"/>
      <c r="JU669" s="42"/>
      <c r="JV669" s="42"/>
      <c r="JW669" s="42"/>
      <c r="JX669" s="42"/>
      <c r="JY669" s="42"/>
      <c r="JZ669" s="42"/>
      <c r="KA669" s="42"/>
    </row>
    <row r="670" spans="1:287" ht="12.75">
      <c r="A670" s="89"/>
      <c r="B670" s="89"/>
      <c r="J670" s="19"/>
      <c r="Q670" s="19"/>
      <c r="Y670" s="19"/>
      <c r="AF670" s="19"/>
      <c r="II670" s="42"/>
      <c r="IJ670" s="42"/>
      <c r="IK670" s="42"/>
      <c r="IL670" s="42"/>
      <c r="IM670" s="42"/>
      <c r="IN670" s="42"/>
      <c r="IO670" s="42"/>
      <c r="IP670" s="42"/>
      <c r="IQ670" s="42"/>
      <c r="IR670" s="42"/>
      <c r="IS670" s="42"/>
      <c r="IT670" s="42"/>
      <c r="IU670" s="42"/>
      <c r="IV670" s="42"/>
      <c r="IW670" s="42"/>
      <c r="IX670" s="42"/>
      <c r="IY670" s="42"/>
      <c r="IZ670" s="42"/>
      <c r="JA670" s="42"/>
      <c r="JB670" s="42"/>
      <c r="JC670" s="42"/>
      <c r="JD670" s="42"/>
      <c r="JE670" s="42"/>
      <c r="JF670" s="42"/>
      <c r="JG670" s="42"/>
      <c r="JH670" s="42"/>
      <c r="JI670" s="42"/>
      <c r="JJ670" s="42"/>
      <c r="JK670" s="42"/>
      <c r="JL670" s="42"/>
      <c r="JM670" s="42"/>
      <c r="JN670" s="42"/>
      <c r="JO670" s="42"/>
      <c r="JP670" s="42"/>
      <c r="JQ670" s="42"/>
      <c r="JR670" s="42"/>
      <c r="JS670" s="42"/>
      <c r="JT670" s="42"/>
      <c r="JU670" s="42"/>
      <c r="JV670" s="42"/>
      <c r="JW670" s="42"/>
      <c r="JX670" s="42"/>
      <c r="JY670" s="42"/>
      <c r="JZ670" s="42"/>
      <c r="KA670" s="42"/>
    </row>
    <row r="671" spans="1:287" ht="12.75">
      <c r="A671" s="89"/>
      <c r="B671" s="89"/>
      <c r="J671" s="19"/>
      <c r="Q671" s="19"/>
      <c r="Y671" s="19"/>
      <c r="AF671" s="19"/>
      <c r="II671" s="42"/>
      <c r="IJ671" s="42"/>
      <c r="IK671" s="42"/>
      <c r="IL671" s="42"/>
      <c r="IM671" s="42"/>
      <c r="IN671" s="42"/>
      <c r="IO671" s="42"/>
      <c r="IP671" s="42"/>
      <c r="IQ671" s="42"/>
      <c r="IR671" s="42"/>
      <c r="IS671" s="42"/>
      <c r="IT671" s="42"/>
      <c r="IU671" s="42"/>
      <c r="IV671" s="42"/>
      <c r="IW671" s="42"/>
      <c r="IX671" s="42"/>
      <c r="IY671" s="42"/>
      <c r="IZ671" s="42"/>
      <c r="JA671" s="42"/>
      <c r="JB671" s="42"/>
      <c r="JC671" s="42"/>
      <c r="JD671" s="42"/>
      <c r="JE671" s="42"/>
      <c r="JF671" s="42"/>
      <c r="JG671" s="42"/>
      <c r="JH671" s="42"/>
      <c r="JI671" s="42"/>
      <c r="JJ671" s="42"/>
      <c r="JK671" s="42"/>
      <c r="JL671" s="42"/>
      <c r="JM671" s="42"/>
      <c r="JN671" s="42"/>
      <c r="JO671" s="42"/>
      <c r="JP671" s="42"/>
      <c r="JQ671" s="42"/>
      <c r="JR671" s="42"/>
      <c r="JS671" s="42"/>
      <c r="JT671" s="42"/>
      <c r="JU671" s="42"/>
      <c r="JV671" s="42"/>
      <c r="JW671" s="42"/>
      <c r="JX671" s="42"/>
      <c r="JY671" s="42"/>
      <c r="JZ671" s="42"/>
      <c r="KA671" s="42"/>
    </row>
    <row r="672" spans="1:287" ht="12.75">
      <c r="A672" s="89"/>
      <c r="B672" s="89"/>
      <c r="J672" s="19"/>
      <c r="Q672" s="19"/>
      <c r="Y672" s="19"/>
      <c r="AF672" s="19"/>
      <c r="II672" s="42"/>
      <c r="IJ672" s="42"/>
      <c r="IK672" s="42"/>
      <c r="IL672" s="42"/>
      <c r="IM672" s="42"/>
      <c r="IN672" s="42"/>
      <c r="IO672" s="42"/>
      <c r="IP672" s="42"/>
      <c r="IQ672" s="42"/>
      <c r="IR672" s="42"/>
      <c r="IS672" s="42"/>
      <c r="IT672" s="42"/>
      <c r="IU672" s="42"/>
      <c r="IV672" s="42"/>
      <c r="IW672" s="42"/>
      <c r="IX672" s="42"/>
      <c r="IY672" s="42"/>
      <c r="IZ672" s="42"/>
      <c r="JA672" s="42"/>
      <c r="JB672" s="42"/>
      <c r="JC672" s="42"/>
      <c r="JD672" s="42"/>
      <c r="JE672" s="42"/>
      <c r="JF672" s="42"/>
      <c r="JG672" s="42"/>
      <c r="JH672" s="42"/>
      <c r="JI672" s="42"/>
      <c r="JJ672" s="42"/>
      <c r="JK672" s="42"/>
      <c r="JL672" s="42"/>
      <c r="JM672" s="42"/>
      <c r="JN672" s="42"/>
      <c r="JO672" s="42"/>
      <c r="JP672" s="42"/>
      <c r="JQ672" s="42"/>
      <c r="JR672" s="42"/>
      <c r="JS672" s="42"/>
      <c r="JT672" s="42"/>
      <c r="JU672" s="42"/>
      <c r="JV672" s="42"/>
      <c r="JW672" s="42"/>
      <c r="JX672" s="42"/>
      <c r="JY672" s="42"/>
      <c r="JZ672" s="42"/>
      <c r="KA672" s="42"/>
    </row>
    <row r="673" spans="1:287" ht="12.75">
      <c r="A673" s="89"/>
      <c r="B673" s="89"/>
      <c r="J673" s="19"/>
      <c r="Q673" s="19"/>
      <c r="Y673" s="19"/>
      <c r="AF673" s="19"/>
      <c r="II673" s="42"/>
      <c r="IJ673" s="42"/>
      <c r="IK673" s="42"/>
      <c r="IL673" s="42"/>
      <c r="IM673" s="42"/>
      <c r="IN673" s="42"/>
      <c r="IO673" s="42"/>
      <c r="IP673" s="42"/>
      <c r="IQ673" s="42"/>
      <c r="IR673" s="42"/>
      <c r="IS673" s="42"/>
      <c r="IT673" s="42"/>
      <c r="IU673" s="42"/>
      <c r="IV673" s="42"/>
      <c r="IW673" s="42"/>
      <c r="IX673" s="42"/>
      <c r="IY673" s="42"/>
      <c r="IZ673" s="42"/>
      <c r="JA673" s="42"/>
      <c r="JB673" s="42"/>
      <c r="JC673" s="42"/>
      <c r="JD673" s="42"/>
      <c r="JE673" s="42"/>
      <c r="JF673" s="42"/>
      <c r="JG673" s="42"/>
      <c r="JH673" s="42"/>
      <c r="JI673" s="42"/>
      <c r="JJ673" s="42"/>
      <c r="JK673" s="42"/>
      <c r="JL673" s="42"/>
      <c r="JM673" s="42"/>
      <c r="JN673" s="42"/>
      <c r="JO673" s="42"/>
      <c r="JP673" s="42"/>
      <c r="JQ673" s="42"/>
      <c r="JR673" s="42"/>
      <c r="JS673" s="42"/>
      <c r="JT673" s="42"/>
      <c r="JU673" s="42"/>
      <c r="JV673" s="42"/>
      <c r="JW673" s="42"/>
      <c r="JX673" s="42"/>
      <c r="JY673" s="42"/>
      <c r="JZ673" s="42"/>
      <c r="KA673" s="42"/>
    </row>
    <row r="674" spans="1:287" ht="12.75">
      <c r="A674" s="89"/>
      <c r="B674" s="89"/>
      <c r="J674" s="19"/>
      <c r="Q674" s="19"/>
      <c r="Y674" s="19"/>
      <c r="AF674" s="19"/>
      <c r="II674" s="42"/>
      <c r="IJ674" s="42"/>
      <c r="IK674" s="42"/>
      <c r="IL674" s="42"/>
      <c r="IM674" s="42"/>
      <c r="IN674" s="42"/>
      <c r="IO674" s="42"/>
      <c r="IP674" s="42"/>
      <c r="IQ674" s="42"/>
      <c r="IR674" s="42"/>
      <c r="IS674" s="42"/>
      <c r="IT674" s="42"/>
      <c r="IU674" s="42"/>
      <c r="IV674" s="42"/>
      <c r="IW674" s="42"/>
      <c r="IX674" s="42"/>
      <c r="IY674" s="42"/>
      <c r="IZ674" s="42"/>
      <c r="JA674" s="42"/>
      <c r="JB674" s="42"/>
      <c r="JC674" s="42"/>
      <c r="JD674" s="42"/>
      <c r="JE674" s="42"/>
      <c r="JF674" s="42"/>
      <c r="JG674" s="42"/>
      <c r="JH674" s="42"/>
      <c r="JI674" s="42"/>
      <c r="JJ674" s="42"/>
      <c r="JK674" s="42"/>
      <c r="JL674" s="42"/>
      <c r="JM674" s="42"/>
      <c r="JN674" s="42"/>
      <c r="JO674" s="42"/>
      <c r="JP674" s="42"/>
      <c r="JQ674" s="42"/>
      <c r="JR674" s="42"/>
      <c r="JS674" s="42"/>
      <c r="JT674" s="42"/>
      <c r="JU674" s="42"/>
      <c r="JV674" s="42"/>
      <c r="JW674" s="42"/>
      <c r="JX674" s="42"/>
      <c r="JY674" s="42"/>
      <c r="JZ674" s="42"/>
      <c r="KA674" s="42"/>
    </row>
    <row r="675" spans="1:287" ht="12.75">
      <c r="A675" s="89"/>
      <c r="B675" s="89"/>
      <c r="J675" s="19"/>
      <c r="Q675" s="19"/>
      <c r="Y675" s="19"/>
      <c r="AF675" s="19"/>
      <c r="II675" s="42"/>
      <c r="IJ675" s="42"/>
      <c r="IK675" s="42"/>
      <c r="IL675" s="42"/>
      <c r="IM675" s="42"/>
      <c r="IN675" s="42"/>
      <c r="IO675" s="42"/>
      <c r="IP675" s="42"/>
      <c r="IQ675" s="42"/>
      <c r="IR675" s="42"/>
      <c r="IS675" s="42"/>
      <c r="IT675" s="42"/>
      <c r="IU675" s="42"/>
      <c r="IV675" s="42"/>
      <c r="IW675" s="42"/>
      <c r="IX675" s="42"/>
      <c r="IY675" s="42"/>
      <c r="IZ675" s="42"/>
      <c r="JA675" s="42"/>
      <c r="JB675" s="42"/>
      <c r="JC675" s="42"/>
      <c r="JD675" s="42"/>
      <c r="JE675" s="42"/>
      <c r="JF675" s="42"/>
      <c r="JG675" s="42"/>
      <c r="JH675" s="42"/>
      <c r="JI675" s="42"/>
      <c r="JJ675" s="42"/>
      <c r="JK675" s="42"/>
      <c r="JL675" s="42"/>
      <c r="JM675" s="42"/>
      <c r="JN675" s="42"/>
      <c r="JO675" s="42"/>
      <c r="JP675" s="42"/>
      <c r="JQ675" s="42"/>
      <c r="JR675" s="42"/>
      <c r="JS675" s="42"/>
      <c r="JT675" s="42"/>
      <c r="JU675" s="42"/>
      <c r="JV675" s="42"/>
      <c r="JW675" s="42"/>
      <c r="JX675" s="42"/>
      <c r="JY675" s="42"/>
      <c r="JZ675" s="42"/>
      <c r="KA675" s="42"/>
    </row>
    <row r="676" spans="1:287" ht="12.75">
      <c r="A676" s="89"/>
      <c r="B676" s="89"/>
      <c r="J676" s="19"/>
      <c r="Q676" s="19"/>
      <c r="Y676" s="19"/>
      <c r="AF676" s="19"/>
      <c r="II676" s="42"/>
      <c r="IJ676" s="42"/>
      <c r="IK676" s="42"/>
      <c r="IL676" s="42"/>
      <c r="IM676" s="42"/>
      <c r="IN676" s="42"/>
      <c r="IO676" s="42"/>
      <c r="IP676" s="42"/>
      <c r="IQ676" s="42"/>
      <c r="IR676" s="42"/>
      <c r="IS676" s="42"/>
      <c r="IT676" s="42"/>
      <c r="IU676" s="42"/>
      <c r="IV676" s="42"/>
      <c r="IW676" s="42"/>
      <c r="IX676" s="42"/>
      <c r="IY676" s="42"/>
      <c r="IZ676" s="42"/>
      <c r="JA676" s="42"/>
      <c r="JB676" s="42"/>
      <c r="JC676" s="42"/>
      <c r="JD676" s="42"/>
      <c r="JE676" s="42"/>
      <c r="JF676" s="42"/>
      <c r="JG676" s="42"/>
      <c r="JH676" s="42"/>
      <c r="JI676" s="42"/>
      <c r="JJ676" s="42"/>
      <c r="JK676" s="42"/>
      <c r="JL676" s="42"/>
      <c r="JM676" s="42"/>
      <c r="JN676" s="42"/>
      <c r="JO676" s="42"/>
      <c r="JP676" s="42"/>
      <c r="JQ676" s="42"/>
      <c r="JR676" s="42"/>
      <c r="JS676" s="42"/>
      <c r="JT676" s="42"/>
      <c r="JU676" s="42"/>
      <c r="JV676" s="42"/>
      <c r="JW676" s="42"/>
      <c r="JX676" s="42"/>
      <c r="JY676" s="42"/>
      <c r="JZ676" s="42"/>
      <c r="KA676" s="42"/>
    </row>
    <row r="677" spans="1:287" ht="12.75">
      <c r="A677" s="89"/>
      <c r="B677" s="89"/>
      <c r="J677" s="19"/>
      <c r="Q677" s="19"/>
      <c r="Y677" s="19"/>
      <c r="AF677" s="19"/>
      <c r="II677" s="42"/>
      <c r="IJ677" s="42"/>
      <c r="IK677" s="42"/>
      <c r="IL677" s="42"/>
      <c r="IM677" s="42"/>
      <c r="IN677" s="42"/>
      <c r="IO677" s="42"/>
      <c r="IP677" s="42"/>
      <c r="IQ677" s="42"/>
      <c r="IR677" s="42"/>
      <c r="IS677" s="42"/>
      <c r="IT677" s="42"/>
      <c r="IU677" s="42"/>
      <c r="IV677" s="42"/>
      <c r="IW677" s="42"/>
      <c r="IX677" s="42"/>
      <c r="IY677" s="42"/>
      <c r="IZ677" s="42"/>
      <c r="JA677" s="42"/>
      <c r="JB677" s="42"/>
      <c r="JC677" s="42"/>
      <c r="JD677" s="42"/>
      <c r="JE677" s="42"/>
      <c r="JF677" s="42"/>
      <c r="JG677" s="42"/>
      <c r="JH677" s="42"/>
      <c r="JI677" s="42"/>
      <c r="JJ677" s="42"/>
      <c r="JK677" s="42"/>
      <c r="JL677" s="42"/>
      <c r="JM677" s="42"/>
      <c r="JN677" s="42"/>
      <c r="JO677" s="42"/>
      <c r="JP677" s="42"/>
      <c r="JQ677" s="42"/>
      <c r="JR677" s="42"/>
      <c r="JS677" s="42"/>
      <c r="JT677" s="42"/>
      <c r="JU677" s="42"/>
      <c r="JV677" s="42"/>
      <c r="JW677" s="42"/>
      <c r="JX677" s="42"/>
      <c r="JY677" s="42"/>
      <c r="JZ677" s="42"/>
      <c r="KA677" s="42"/>
    </row>
    <row r="678" spans="1:287" ht="12.75">
      <c r="A678" s="89"/>
      <c r="B678" s="89"/>
      <c r="J678" s="19"/>
      <c r="Q678" s="19"/>
      <c r="Y678" s="19"/>
      <c r="AF678" s="19"/>
      <c r="II678" s="42"/>
      <c r="IJ678" s="42"/>
      <c r="IK678" s="42"/>
      <c r="IL678" s="42"/>
      <c r="IM678" s="42"/>
      <c r="IN678" s="42"/>
      <c r="IO678" s="42"/>
      <c r="IP678" s="42"/>
      <c r="IQ678" s="42"/>
      <c r="IR678" s="42"/>
      <c r="IS678" s="42"/>
      <c r="IT678" s="42"/>
      <c r="IU678" s="42"/>
      <c r="IV678" s="42"/>
      <c r="IW678" s="42"/>
      <c r="IX678" s="42"/>
      <c r="IY678" s="42"/>
      <c r="IZ678" s="42"/>
      <c r="JA678" s="42"/>
      <c r="JB678" s="42"/>
      <c r="JC678" s="42"/>
      <c r="JD678" s="42"/>
      <c r="JE678" s="42"/>
      <c r="JF678" s="42"/>
      <c r="JG678" s="42"/>
      <c r="JH678" s="42"/>
      <c r="JI678" s="42"/>
      <c r="JJ678" s="42"/>
      <c r="JK678" s="42"/>
      <c r="JL678" s="42"/>
      <c r="JM678" s="42"/>
      <c r="JN678" s="42"/>
      <c r="JO678" s="42"/>
      <c r="JP678" s="42"/>
      <c r="JQ678" s="42"/>
      <c r="JR678" s="42"/>
      <c r="JS678" s="42"/>
      <c r="JT678" s="42"/>
      <c r="JU678" s="42"/>
      <c r="JV678" s="42"/>
      <c r="JW678" s="42"/>
      <c r="JX678" s="42"/>
      <c r="JY678" s="42"/>
      <c r="JZ678" s="42"/>
      <c r="KA678" s="42"/>
    </row>
    <row r="679" spans="1:287" ht="12.75">
      <c r="A679" s="89"/>
      <c r="B679" s="89"/>
      <c r="J679" s="19"/>
      <c r="Q679" s="19"/>
      <c r="Y679" s="19"/>
      <c r="AF679" s="19"/>
      <c r="II679" s="42"/>
      <c r="IJ679" s="42"/>
      <c r="IK679" s="42"/>
      <c r="IL679" s="42"/>
      <c r="IM679" s="42"/>
      <c r="IN679" s="42"/>
      <c r="IO679" s="42"/>
      <c r="IP679" s="42"/>
      <c r="IQ679" s="42"/>
      <c r="IR679" s="42"/>
      <c r="IS679" s="42"/>
      <c r="IT679" s="42"/>
      <c r="IU679" s="42"/>
      <c r="IV679" s="42"/>
      <c r="IW679" s="42"/>
      <c r="IX679" s="42"/>
      <c r="IY679" s="42"/>
      <c r="IZ679" s="42"/>
      <c r="JA679" s="42"/>
      <c r="JB679" s="42"/>
      <c r="JC679" s="42"/>
      <c r="JD679" s="42"/>
      <c r="JE679" s="42"/>
      <c r="JF679" s="42"/>
      <c r="JG679" s="42"/>
      <c r="JH679" s="42"/>
      <c r="JI679" s="42"/>
      <c r="JJ679" s="42"/>
      <c r="JK679" s="42"/>
      <c r="JL679" s="42"/>
      <c r="JM679" s="42"/>
      <c r="JN679" s="42"/>
      <c r="JO679" s="42"/>
      <c r="JP679" s="42"/>
      <c r="JQ679" s="42"/>
      <c r="JR679" s="42"/>
      <c r="JS679" s="42"/>
      <c r="JT679" s="42"/>
      <c r="JU679" s="42"/>
      <c r="JV679" s="42"/>
      <c r="JW679" s="42"/>
      <c r="JX679" s="42"/>
      <c r="JY679" s="42"/>
      <c r="JZ679" s="42"/>
      <c r="KA679" s="42"/>
    </row>
    <row r="680" spans="1:287" ht="12.75">
      <c r="A680" s="89"/>
      <c r="B680" s="89"/>
      <c r="J680" s="19"/>
      <c r="Q680" s="19"/>
      <c r="Y680" s="19"/>
      <c r="AF680" s="19"/>
      <c r="II680" s="42"/>
      <c r="IJ680" s="42"/>
      <c r="IK680" s="42"/>
      <c r="IL680" s="42"/>
      <c r="IM680" s="42"/>
      <c r="IN680" s="42"/>
      <c r="IO680" s="42"/>
      <c r="IP680" s="42"/>
      <c r="IQ680" s="42"/>
      <c r="IR680" s="42"/>
      <c r="IS680" s="42"/>
      <c r="IT680" s="42"/>
      <c r="IU680" s="42"/>
      <c r="IV680" s="42"/>
      <c r="IW680" s="42"/>
      <c r="IX680" s="42"/>
      <c r="IY680" s="42"/>
      <c r="IZ680" s="42"/>
      <c r="JA680" s="42"/>
      <c r="JB680" s="42"/>
      <c r="JC680" s="42"/>
      <c r="JD680" s="42"/>
      <c r="JE680" s="42"/>
      <c r="JF680" s="42"/>
      <c r="JG680" s="42"/>
      <c r="JH680" s="42"/>
      <c r="JI680" s="42"/>
      <c r="JJ680" s="42"/>
      <c r="JK680" s="42"/>
      <c r="JL680" s="42"/>
      <c r="JM680" s="42"/>
      <c r="JN680" s="42"/>
      <c r="JO680" s="42"/>
      <c r="JP680" s="42"/>
      <c r="JQ680" s="42"/>
      <c r="JR680" s="42"/>
      <c r="JS680" s="42"/>
      <c r="JT680" s="42"/>
      <c r="JU680" s="42"/>
      <c r="JV680" s="42"/>
      <c r="JW680" s="42"/>
      <c r="JX680" s="42"/>
      <c r="JY680" s="42"/>
      <c r="JZ680" s="42"/>
      <c r="KA680" s="42"/>
    </row>
    <row r="681" spans="1:287" ht="12.75">
      <c r="A681" s="89"/>
      <c r="B681" s="89"/>
      <c r="J681" s="19"/>
      <c r="Q681" s="19"/>
      <c r="Y681" s="19"/>
      <c r="AF681" s="19"/>
      <c r="II681" s="42"/>
      <c r="IJ681" s="42"/>
      <c r="IK681" s="42"/>
      <c r="IL681" s="42"/>
      <c r="IM681" s="42"/>
      <c r="IN681" s="42"/>
      <c r="IO681" s="42"/>
      <c r="IP681" s="42"/>
      <c r="IQ681" s="42"/>
      <c r="IR681" s="42"/>
      <c r="IS681" s="42"/>
      <c r="IT681" s="42"/>
      <c r="IU681" s="42"/>
      <c r="IV681" s="42"/>
      <c r="IW681" s="42"/>
      <c r="IX681" s="42"/>
      <c r="IY681" s="42"/>
      <c r="IZ681" s="42"/>
      <c r="JA681" s="42"/>
      <c r="JB681" s="42"/>
      <c r="JC681" s="42"/>
      <c r="JD681" s="42"/>
      <c r="JE681" s="42"/>
      <c r="JF681" s="42"/>
      <c r="JG681" s="42"/>
      <c r="JH681" s="42"/>
      <c r="JI681" s="42"/>
      <c r="JJ681" s="42"/>
      <c r="JK681" s="42"/>
      <c r="JL681" s="42"/>
      <c r="JM681" s="42"/>
      <c r="JN681" s="42"/>
      <c r="JO681" s="42"/>
      <c r="JP681" s="42"/>
      <c r="JQ681" s="42"/>
      <c r="JR681" s="42"/>
      <c r="JS681" s="42"/>
      <c r="JT681" s="42"/>
      <c r="JU681" s="42"/>
      <c r="JV681" s="42"/>
      <c r="JW681" s="42"/>
      <c r="JX681" s="42"/>
      <c r="JY681" s="42"/>
      <c r="JZ681" s="42"/>
      <c r="KA681" s="42"/>
    </row>
    <row r="682" spans="1:287" ht="12.75">
      <c r="A682" s="89"/>
      <c r="B682" s="89"/>
      <c r="J682" s="19"/>
      <c r="Q682" s="19"/>
      <c r="Y682" s="19"/>
      <c r="AF682" s="19"/>
      <c r="II682" s="42"/>
      <c r="IJ682" s="42"/>
      <c r="IK682" s="42"/>
      <c r="IL682" s="42"/>
      <c r="IM682" s="42"/>
      <c r="IN682" s="42"/>
      <c r="IO682" s="42"/>
      <c r="IP682" s="42"/>
      <c r="IQ682" s="42"/>
      <c r="IR682" s="42"/>
      <c r="IS682" s="42"/>
      <c r="IT682" s="42"/>
      <c r="IU682" s="42"/>
      <c r="IV682" s="42"/>
      <c r="IW682" s="42"/>
      <c r="IX682" s="42"/>
      <c r="IY682" s="42"/>
      <c r="IZ682" s="42"/>
      <c r="JA682" s="42"/>
      <c r="JB682" s="42"/>
      <c r="JC682" s="42"/>
      <c r="JD682" s="42"/>
      <c r="JE682" s="42"/>
      <c r="JF682" s="42"/>
      <c r="JG682" s="42"/>
      <c r="JH682" s="42"/>
      <c r="JI682" s="42"/>
      <c r="JJ682" s="42"/>
      <c r="JK682" s="42"/>
      <c r="JL682" s="42"/>
      <c r="JM682" s="42"/>
      <c r="JN682" s="42"/>
      <c r="JO682" s="42"/>
      <c r="JP682" s="42"/>
      <c r="JQ682" s="42"/>
      <c r="JR682" s="42"/>
      <c r="JS682" s="42"/>
      <c r="JT682" s="42"/>
      <c r="JU682" s="42"/>
      <c r="JV682" s="42"/>
      <c r="JW682" s="42"/>
      <c r="JX682" s="42"/>
      <c r="JY682" s="42"/>
      <c r="JZ682" s="42"/>
      <c r="KA682" s="42"/>
    </row>
    <row r="683" spans="1:287" ht="12.75">
      <c r="A683" s="89"/>
      <c r="B683" s="89"/>
      <c r="J683" s="19"/>
      <c r="Q683" s="19"/>
      <c r="Y683" s="19"/>
      <c r="AF683" s="19"/>
      <c r="II683" s="42"/>
      <c r="IJ683" s="42"/>
      <c r="IK683" s="42"/>
      <c r="IL683" s="42"/>
      <c r="IM683" s="42"/>
      <c r="IN683" s="42"/>
      <c r="IO683" s="42"/>
      <c r="IP683" s="42"/>
      <c r="IQ683" s="42"/>
      <c r="IR683" s="42"/>
      <c r="IS683" s="42"/>
      <c r="IT683" s="42"/>
      <c r="IU683" s="42"/>
      <c r="IV683" s="42"/>
      <c r="IW683" s="42"/>
      <c r="IX683" s="42"/>
      <c r="IY683" s="42"/>
      <c r="IZ683" s="42"/>
      <c r="JA683" s="42"/>
      <c r="JB683" s="42"/>
      <c r="JC683" s="42"/>
      <c r="JD683" s="42"/>
      <c r="JE683" s="42"/>
      <c r="JF683" s="42"/>
      <c r="JG683" s="42"/>
      <c r="JH683" s="42"/>
      <c r="JI683" s="42"/>
      <c r="JJ683" s="42"/>
      <c r="JK683" s="42"/>
      <c r="JL683" s="42"/>
      <c r="JM683" s="42"/>
      <c r="JN683" s="42"/>
      <c r="JO683" s="42"/>
      <c r="JP683" s="42"/>
      <c r="JQ683" s="42"/>
      <c r="JR683" s="42"/>
      <c r="JS683" s="42"/>
      <c r="JT683" s="42"/>
      <c r="JU683" s="42"/>
      <c r="JV683" s="42"/>
      <c r="JW683" s="42"/>
      <c r="JX683" s="42"/>
      <c r="JY683" s="42"/>
      <c r="JZ683" s="42"/>
      <c r="KA683" s="42"/>
    </row>
    <row r="684" spans="1:287" ht="12.75">
      <c r="A684" s="89"/>
      <c r="B684" s="89"/>
      <c r="J684" s="19"/>
      <c r="Q684" s="19"/>
      <c r="Y684" s="19"/>
      <c r="AF684" s="19"/>
      <c r="II684" s="42"/>
      <c r="IJ684" s="42"/>
      <c r="IK684" s="42"/>
      <c r="IL684" s="42"/>
      <c r="IM684" s="42"/>
      <c r="IN684" s="42"/>
      <c r="IO684" s="42"/>
      <c r="IP684" s="42"/>
      <c r="IQ684" s="42"/>
      <c r="IR684" s="42"/>
      <c r="IS684" s="42"/>
      <c r="IT684" s="42"/>
      <c r="IU684" s="42"/>
      <c r="IV684" s="42"/>
      <c r="IW684" s="42"/>
      <c r="IX684" s="42"/>
      <c r="IY684" s="42"/>
      <c r="IZ684" s="42"/>
      <c r="JA684" s="42"/>
      <c r="JB684" s="42"/>
      <c r="JC684" s="42"/>
      <c r="JD684" s="42"/>
      <c r="JE684" s="42"/>
      <c r="JF684" s="42"/>
      <c r="JG684" s="42"/>
      <c r="JH684" s="42"/>
      <c r="JI684" s="42"/>
      <c r="JJ684" s="42"/>
      <c r="JK684" s="42"/>
      <c r="JL684" s="42"/>
      <c r="JM684" s="42"/>
      <c r="JN684" s="42"/>
      <c r="JO684" s="42"/>
      <c r="JP684" s="42"/>
      <c r="JQ684" s="42"/>
      <c r="JR684" s="42"/>
      <c r="JS684" s="42"/>
      <c r="JT684" s="42"/>
      <c r="JU684" s="42"/>
      <c r="JV684" s="42"/>
      <c r="JW684" s="42"/>
      <c r="JX684" s="42"/>
      <c r="JY684" s="42"/>
      <c r="JZ684" s="42"/>
      <c r="KA684" s="42"/>
    </row>
    <row r="685" spans="1:287" ht="12.75">
      <c r="A685" s="89"/>
      <c r="B685" s="89"/>
      <c r="J685" s="19"/>
      <c r="Q685" s="19"/>
      <c r="Y685" s="19"/>
      <c r="AF685" s="19"/>
      <c r="II685" s="42"/>
      <c r="IJ685" s="42"/>
      <c r="IK685" s="42"/>
      <c r="IL685" s="42"/>
      <c r="IM685" s="42"/>
      <c r="IN685" s="42"/>
      <c r="IO685" s="42"/>
      <c r="IP685" s="42"/>
      <c r="IQ685" s="42"/>
      <c r="IR685" s="42"/>
      <c r="IS685" s="42"/>
      <c r="IT685" s="42"/>
      <c r="IU685" s="42"/>
      <c r="IV685" s="42"/>
      <c r="IW685" s="42"/>
      <c r="IX685" s="42"/>
      <c r="IY685" s="42"/>
      <c r="IZ685" s="42"/>
      <c r="JA685" s="42"/>
      <c r="JB685" s="42"/>
      <c r="JC685" s="42"/>
      <c r="JD685" s="42"/>
      <c r="JE685" s="42"/>
      <c r="JF685" s="42"/>
      <c r="JG685" s="42"/>
      <c r="JH685" s="42"/>
      <c r="JI685" s="42"/>
      <c r="JJ685" s="42"/>
      <c r="JK685" s="42"/>
      <c r="JL685" s="42"/>
      <c r="JM685" s="42"/>
      <c r="JN685" s="42"/>
      <c r="JO685" s="42"/>
      <c r="JP685" s="42"/>
      <c r="JQ685" s="42"/>
      <c r="JR685" s="42"/>
      <c r="JS685" s="42"/>
      <c r="JT685" s="42"/>
      <c r="JU685" s="42"/>
      <c r="JV685" s="42"/>
      <c r="JW685" s="42"/>
      <c r="JX685" s="42"/>
      <c r="JY685" s="42"/>
      <c r="JZ685" s="42"/>
      <c r="KA685" s="42"/>
    </row>
    <row r="686" spans="1:287" ht="12.75">
      <c r="A686" s="89"/>
      <c r="B686" s="89"/>
      <c r="J686" s="19"/>
      <c r="Q686" s="19"/>
      <c r="Y686" s="19"/>
      <c r="AF686" s="19"/>
      <c r="II686" s="42"/>
      <c r="IJ686" s="42"/>
      <c r="IK686" s="42"/>
      <c r="IL686" s="42"/>
      <c r="IM686" s="42"/>
      <c r="IN686" s="42"/>
      <c r="IO686" s="42"/>
      <c r="IP686" s="42"/>
      <c r="IQ686" s="42"/>
      <c r="IR686" s="42"/>
      <c r="IS686" s="42"/>
      <c r="IT686" s="42"/>
      <c r="IU686" s="42"/>
      <c r="IV686" s="42"/>
      <c r="IW686" s="42"/>
      <c r="IX686" s="42"/>
      <c r="IY686" s="42"/>
      <c r="IZ686" s="42"/>
      <c r="JA686" s="42"/>
      <c r="JB686" s="42"/>
      <c r="JC686" s="42"/>
      <c r="JD686" s="42"/>
      <c r="JE686" s="42"/>
      <c r="JF686" s="42"/>
      <c r="JG686" s="42"/>
      <c r="JH686" s="42"/>
      <c r="JI686" s="42"/>
      <c r="JJ686" s="42"/>
      <c r="JK686" s="42"/>
      <c r="JL686" s="42"/>
      <c r="JM686" s="42"/>
      <c r="JN686" s="42"/>
      <c r="JO686" s="42"/>
      <c r="JP686" s="42"/>
      <c r="JQ686" s="42"/>
      <c r="JR686" s="42"/>
      <c r="JS686" s="42"/>
      <c r="JT686" s="42"/>
      <c r="JU686" s="42"/>
      <c r="JV686" s="42"/>
      <c r="JW686" s="42"/>
      <c r="JX686" s="42"/>
      <c r="JY686" s="42"/>
      <c r="JZ686" s="42"/>
      <c r="KA686" s="42"/>
    </row>
    <row r="687" spans="1:287" ht="12.75">
      <c r="A687" s="89"/>
      <c r="B687" s="89"/>
      <c r="J687" s="19"/>
      <c r="Q687" s="19"/>
      <c r="Y687" s="19"/>
      <c r="AF687" s="19"/>
      <c r="II687" s="42"/>
      <c r="IJ687" s="42"/>
      <c r="IK687" s="42"/>
      <c r="IL687" s="42"/>
      <c r="IM687" s="42"/>
      <c r="IN687" s="42"/>
      <c r="IO687" s="42"/>
      <c r="IP687" s="42"/>
      <c r="IQ687" s="42"/>
      <c r="IR687" s="42"/>
      <c r="IS687" s="42"/>
      <c r="IT687" s="42"/>
      <c r="IU687" s="42"/>
      <c r="IV687" s="42"/>
      <c r="IW687" s="42"/>
      <c r="IX687" s="42"/>
      <c r="IY687" s="42"/>
      <c r="IZ687" s="42"/>
      <c r="JA687" s="42"/>
      <c r="JB687" s="42"/>
      <c r="JC687" s="42"/>
      <c r="JD687" s="42"/>
      <c r="JE687" s="42"/>
      <c r="JF687" s="42"/>
      <c r="JG687" s="42"/>
      <c r="JH687" s="42"/>
      <c r="JI687" s="42"/>
      <c r="JJ687" s="42"/>
      <c r="JK687" s="42"/>
      <c r="JL687" s="42"/>
      <c r="JM687" s="42"/>
      <c r="JN687" s="42"/>
      <c r="JO687" s="42"/>
      <c r="JP687" s="42"/>
      <c r="JQ687" s="42"/>
      <c r="JR687" s="42"/>
      <c r="JS687" s="42"/>
      <c r="JT687" s="42"/>
      <c r="JU687" s="42"/>
      <c r="JV687" s="42"/>
      <c r="JW687" s="42"/>
      <c r="JX687" s="42"/>
      <c r="JY687" s="42"/>
      <c r="JZ687" s="42"/>
      <c r="KA687" s="42"/>
    </row>
    <row r="688" spans="1:287" ht="12.75">
      <c r="A688" s="89"/>
      <c r="B688" s="89"/>
      <c r="J688" s="19"/>
      <c r="Q688" s="19"/>
      <c r="Y688" s="19"/>
      <c r="AF688" s="19"/>
      <c r="II688" s="42"/>
      <c r="IJ688" s="42"/>
      <c r="IK688" s="42"/>
      <c r="IL688" s="42"/>
      <c r="IM688" s="42"/>
      <c r="IN688" s="42"/>
      <c r="IO688" s="42"/>
      <c r="IP688" s="42"/>
      <c r="IQ688" s="42"/>
      <c r="IR688" s="42"/>
      <c r="IS688" s="42"/>
      <c r="IT688" s="42"/>
      <c r="IU688" s="42"/>
      <c r="IV688" s="42"/>
      <c r="IW688" s="42"/>
      <c r="IX688" s="42"/>
      <c r="IY688" s="42"/>
      <c r="IZ688" s="42"/>
      <c r="JA688" s="42"/>
      <c r="JB688" s="42"/>
      <c r="JC688" s="42"/>
      <c r="JD688" s="42"/>
      <c r="JE688" s="42"/>
      <c r="JF688" s="42"/>
      <c r="JG688" s="42"/>
      <c r="JH688" s="42"/>
      <c r="JI688" s="42"/>
      <c r="JJ688" s="42"/>
      <c r="JK688" s="42"/>
      <c r="JL688" s="42"/>
      <c r="JM688" s="42"/>
      <c r="JN688" s="42"/>
      <c r="JO688" s="42"/>
      <c r="JP688" s="42"/>
      <c r="JQ688" s="42"/>
      <c r="JR688" s="42"/>
      <c r="JS688" s="42"/>
      <c r="JT688" s="42"/>
      <c r="JU688" s="42"/>
      <c r="JV688" s="42"/>
      <c r="JW688" s="42"/>
      <c r="JX688" s="42"/>
      <c r="JY688" s="42"/>
      <c r="JZ688" s="42"/>
      <c r="KA688" s="42"/>
    </row>
    <row r="689" spans="1:287" ht="12.75">
      <c r="A689" s="89"/>
      <c r="B689" s="89"/>
      <c r="J689" s="19"/>
      <c r="Q689" s="19"/>
      <c r="Y689" s="19"/>
      <c r="AF689" s="19"/>
      <c r="II689" s="42"/>
      <c r="IJ689" s="42"/>
      <c r="IK689" s="42"/>
      <c r="IL689" s="42"/>
      <c r="IM689" s="42"/>
      <c r="IN689" s="42"/>
      <c r="IO689" s="42"/>
      <c r="IP689" s="42"/>
      <c r="IQ689" s="42"/>
      <c r="IR689" s="42"/>
      <c r="IS689" s="42"/>
      <c r="IT689" s="42"/>
      <c r="IU689" s="42"/>
      <c r="IV689" s="42"/>
      <c r="IW689" s="42"/>
      <c r="IX689" s="42"/>
      <c r="IY689" s="42"/>
      <c r="IZ689" s="42"/>
      <c r="JA689" s="42"/>
      <c r="JB689" s="42"/>
      <c r="JC689" s="42"/>
      <c r="JD689" s="42"/>
      <c r="JE689" s="42"/>
      <c r="JF689" s="42"/>
      <c r="JG689" s="42"/>
      <c r="JH689" s="42"/>
      <c r="JI689" s="42"/>
      <c r="JJ689" s="42"/>
      <c r="JK689" s="42"/>
      <c r="JL689" s="42"/>
      <c r="JM689" s="42"/>
      <c r="JN689" s="42"/>
      <c r="JO689" s="42"/>
      <c r="JP689" s="42"/>
      <c r="JQ689" s="42"/>
      <c r="JR689" s="42"/>
      <c r="JS689" s="42"/>
      <c r="JT689" s="42"/>
      <c r="JU689" s="42"/>
      <c r="JV689" s="42"/>
      <c r="JW689" s="42"/>
      <c r="JX689" s="42"/>
      <c r="JY689" s="42"/>
      <c r="JZ689" s="42"/>
      <c r="KA689" s="42"/>
    </row>
    <row r="690" spans="1:287" ht="12.75">
      <c r="A690" s="89"/>
      <c r="B690" s="89"/>
      <c r="J690" s="19"/>
      <c r="Q690" s="19"/>
      <c r="Y690" s="19"/>
      <c r="AF690" s="19"/>
      <c r="II690" s="42"/>
      <c r="IJ690" s="42"/>
      <c r="IK690" s="42"/>
      <c r="IL690" s="42"/>
      <c r="IM690" s="42"/>
      <c r="IN690" s="42"/>
      <c r="IO690" s="42"/>
      <c r="IP690" s="42"/>
      <c r="IQ690" s="42"/>
      <c r="IR690" s="42"/>
      <c r="IS690" s="42"/>
      <c r="IT690" s="42"/>
      <c r="IU690" s="42"/>
      <c r="IV690" s="42"/>
      <c r="IW690" s="42"/>
      <c r="IX690" s="42"/>
      <c r="IY690" s="42"/>
      <c r="IZ690" s="42"/>
      <c r="JA690" s="42"/>
      <c r="JB690" s="42"/>
      <c r="JC690" s="42"/>
      <c r="JD690" s="42"/>
      <c r="JE690" s="42"/>
      <c r="JF690" s="42"/>
      <c r="JG690" s="42"/>
      <c r="JH690" s="42"/>
      <c r="JI690" s="42"/>
      <c r="JJ690" s="42"/>
      <c r="JK690" s="42"/>
      <c r="JL690" s="42"/>
      <c r="JM690" s="42"/>
      <c r="JN690" s="42"/>
      <c r="JO690" s="42"/>
      <c r="JP690" s="42"/>
      <c r="JQ690" s="42"/>
      <c r="JR690" s="42"/>
      <c r="JS690" s="42"/>
      <c r="JT690" s="42"/>
      <c r="JU690" s="42"/>
      <c r="JV690" s="42"/>
      <c r="JW690" s="42"/>
      <c r="JX690" s="42"/>
      <c r="JY690" s="42"/>
      <c r="JZ690" s="42"/>
      <c r="KA690" s="42"/>
    </row>
    <row r="691" spans="1:287" ht="12.75">
      <c r="A691" s="89"/>
      <c r="B691" s="89"/>
      <c r="J691" s="19"/>
      <c r="Q691" s="19"/>
      <c r="Y691" s="19"/>
      <c r="AF691" s="19"/>
      <c r="II691" s="42"/>
      <c r="IJ691" s="42"/>
      <c r="IK691" s="42"/>
      <c r="IL691" s="42"/>
      <c r="IM691" s="42"/>
      <c r="IN691" s="42"/>
      <c r="IO691" s="42"/>
      <c r="IP691" s="42"/>
      <c r="IQ691" s="42"/>
      <c r="IR691" s="42"/>
      <c r="IS691" s="42"/>
      <c r="IT691" s="42"/>
      <c r="IU691" s="42"/>
      <c r="IV691" s="42"/>
      <c r="IW691" s="42"/>
      <c r="IX691" s="42"/>
      <c r="IY691" s="42"/>
      <c r="IZ691" s="42"/>
      <c r="JA691" s="42"/>
      <c r="JB691" s="42"/>
      <c r="JC691" s="42"/>
      <c r="JD691" s="42"/>
      <c r="JE691" s="42"/>
      <c r="JF691" s="42"/>
      <c r="JG691" s="42"/>
      <c r="JH691" s="42"/>
      <c r="JI691" s="42"/>
      <c r="JJ691" s="42"/>
      <c r="JK691" s="42"/>
      <c r="JL691" s="42"/>
      <c r="JM691" s="42"/>
      <c r="JN691" s="42"/>
      <c r="JO691" s="42"/>
      <c r="JP691" s="42"/>
      <c r="JQ691" s="42"/>
      <c r="JR691" s="42"/>
      <c r="JS691" s="42"/>
      <c r="JT691" s="42"/>
      <c r="JU691" s="42"/>
      <c r="JV691" s="42"/>
      <c r="JW691" s="42"/>
      <c r="JX691" s="42"/>
      <c r="JY691" s="42"/>
      <c r="JZ691" s="42"/>
      <c r="KA691" s="42"/>
    </row>
    <row r="692" spans="1:287" ht="12.75">
      <c r="A692" s="89"/>
      <c r="B692" s="89"/>
      <c r="J692" s="19"/>
      <c r="Q692" s="19"/>
      <c r="Y692" s="19"/>
      <c r="AF692" s="19"/>
      <c r="II692" s="42"/>
      <c r="IJ692" s="42"/>
      <c r="IK692" s="42"/>
      <c r="IL692" s="42"/>
      <c r="IM692" s="42"/>
      <c r="IN692" s="42"/>
      <c r="IO692" s="42"/>
      <c r="IP692" s="42"/>
      <c r="IQ692" s="42"/>
      <c r="IR692" s="42"/>
      <c r="IS692" s="42"/>
      <c r="IT692" s="42"/>
      <c r="IU692" s="42"/>
      <c r="IV692" s="42"/>
      <c r="IW692" s="42"/>
      <c r="IX692" s="42"/>
      <c r="IY692" s="42"/>
      <c r="IZ692" s="42"/>
      <c r="JA692" s="42"/>
      <c r="JB692" s="42"/>
      <c r="JC692" s="42"/>
      <c r="JD692" s="42"/>
      <c r="JE692" s="42"/>
      <c r="JF692" s="42"/>
      <c r="JG692" s="42"/>
      <c r="JH692" s="42"/>
      <c r="JI692" s="42"/>
      <c r="JJ692" s="42"/>
      <c r="JK692" s="42"/>
      <c r="JL692" s="42"/>
      <c r="JM692" s="42"/>
      <c r="JN692" s="42"/>
      <c r="JO692" s="42"/>
      <c r="JP692" s="42"/>
      <c r="JQ692" s="42"/>
      <c r="JR692" s="42"/>
      <c r="JS692" s="42"/>
      <c r="JT692" s="42"/>
      <c r="JU692" s="42"/>
      <c r="JV692" s="42"/>
      <c r="JW692" s="42"/>
      <c r="JX692" s="42"/>
      <c r="JY692" s="42"/>
      <c r="JZ692" s="42"/>
      <c r="KA692" s="42"/>
    </row>
    <row r="693" spans="1:287" ht="12.75">
      <c r="A693" s="89"/>
      <c r="B693" s="89"/>
      <c r="J693" s="19"/>
      <c r="Q693" s="19"/>
      <c r="Y693" s="19"/>
      <c r="AF693" s="19"/>
      <c r="II693" s="42"/>
      <c r="IJ693" s="42"/>
      <c r="IK693" s="42"/>
      <c r="IL693" s="42"/>
      <c r="IM693" s="42"/>
      <c r="IN693" s="42"/>
      <c r="IO693" s="42"/>
      <c r="IP693" s="42"/>
      <c r="IQ693" s="42"/>
      <c r="IR693" s="42"/>
      <c r="IS693" s="42"/>
      <c r="IT693" s="42"/>
      <c r="IU693" s="42"/>
      <c r="IV693" s="42"/>
      <c r="IW693" s="42"/>
      <c r="IX693" s="42"/>
      <c r="IY693" s="42"/>
      <c r="IZ693" s="42"/>
      <c r="JA693" s="42"/>
      <c r="JB693" s="42"/>
      <c r="JC693" s="42"/>
      <c r="JD693" s="42"/>
      <c r="JE693" s="42"/>
      <c r="JF693" s="42"/>
      <c r="JG693" s="42"/>
      <c r="JH693" s="42"/>
      <c r="JI693" s="42"/>
      <c r="JJ693" s="42"/>
      <c r="JK693" s="42"/>
      <c r="JL693" s="42"/>
      <c r="JM693" s="42"/>
      <c r="JN693" s="42"/>
      <c r="JO693" s="42"/>
      <c r="JP693" s="42"/>
      <c r="JQ693" s="42"/>
      <c r="JR693" s="42"/>
      <c r="JS693" s="42"/>
      <c r="JT693" s="42"/>
      <c r="JU693" s="42"/>
      <c r="JV693" s="42"/>
      <c r="JW693" s="42"/>
      <c r="JX693" s="42"/>
      <c r="JY693" s="42"/>
      <c r="JZ693" s="42"/>
      <c r="KA693" s="42"/>
    </row>
    <row r="694" spans="1:287" ht="12.75">
      <c r="A694" s="89"/>
      <c r="B694" s="89"/>
      <c r="J694" s="19"/>
      <c r="Q694" s="19"/>
      <c r="Y694" s="19"/>
      <c r="AF694" s="19"/>
      <c r="II694" s="42"/>
      <c r="IJ694" s="42"/>
      <c r="IK694" s="42"/>
      <c r="IL694" s="42"/>
      <c r="IM694" s="42"/>
      <c r="IN694" s="42"/>
      <c r="IO694" s="42"/>
      <c r="IP694" s="42"/>
      <c r="IQ694" s="42"/>
      <c r="IR694" s="42"/>
      <c r="IS694" s="42"/>
      <c r="IT694" s="42"/>
      <c r="IU694" s="42"/>
      <c r="IV694" s="42"/>
      <c r="IW694" s="42"/>
      <c r="IX694" s="42"/>
      <c r="IY694" s="42"/>
      <c r="IZ694" s="42"/>
      <c r="JA694" s="42"/>
      <c r="JB694" s="42"/>
      <c r="JC694" s="42"/>
      <c r="JD694" s="42"/>
      <c r="JE694" s="42"/>
      <c r="JF694" s="42"/>
      <c r="JG694" s="42"/>
      <c r="JH694" s="42"/>
      <c r="JI694" s="42"/>
      <c r="JJ694" s="42"/>
      <c r="JK694" s="42"/>
      <c r="JL694" s="42"/>
      <c r="JM694" s="42"/>
      <c r="JN694" s="42"/>
      <c r="JO694" s="42"/>
      <c r="JP694" s="42"/>
      <c r="JQ694" s="42"/>
      <c r="JR694" s="42"/>
      <c r="JS694" s="42"/>
      <c r="JT694" s="42"/>
      <c r="JU694" s="42"/>
      <c r="JV694" s="42"/>
      <c r="JW694" s="42"/>
      <c r="JX694" s="42"/>
      <c r="JY694" s="42"/>
      <c r="JZ694" s="42"/>
      <c r="KA694" s="42"/>
    </row>
    <row r="695" spans="1:287" ht="12.75">
      <c r="A695" s="89"/>
      <c r="B695" s="89"/>
      <c r="J695" s="19"/>
      <c r="Q695" s="19"/>
      <c r="Y695" s="19"/>
      <c r="AF695" s="19"/>
      <c r="II695" s="42"/>
      <c r="IJ695" s="42"/>
      <c r="IK695" s="42"/>
      <c r="IL695" s="42"/>
      <c r="IM695" s="42"/>
      <c r="IN695" s="42"/>
      <c r="IO695" s="42"/>
      <c r="IP695" s="42"/>
      <c r="IQ695" s="42"/>
      <c r="IR695" s="42"/>
      <c r="IS695" s="42"/>
      <c r="IT695" s="42"/>
      <c r="IU695" s="42"/>
      <c r="IV695" s="42"/>
      <c r="IW695" s="42"/>
      <c r="IX695" s="42"/>
      <c r="IY695" s="42"/>
      <c r="IZ695" s="42"/>
      <c r="JA695" s="42"/>
      <c r="JB695" s="42"/>
      <c r="JC695" s="42"/>
      <c r="JD695" s="42"/>
      <c r="JE695" s="42"/>
      <c r="JF695" s="42"/>
      <c r="JG695" s="42"/>
      <c r="JH695" s="42"/>
      <c r="JI695" s="42"/>
      <c r="JJ695" s="42"/>
      <c r="JK695" s="42"/>
      <c r="JL695" s="42"/>
      <c r="JM695" s="42"/>
      <c r="JN695" s="42"/>
      <c r="JO695" s="42"/>
      <c r="JP695" s="42"/>
      <c r="JQ695" s="42"/>
      <c r="JR695" s="42"/>
      <c r="JS695" s="42"/>
      <c r="JT695" s="42"/>
      <c r="JU695" s="42"/>
      <c r="JV695" s="42"/>
      <c r="JW695" s="42"/>
      <c r="JX695" s="42"/>
      <c r="JY695" s="42"/>
      <c r="JZ695" s="42"/>
      <c r="KA695" s="42"/>
    </row>
    <row r="696" spans="1:287" ht="12.75">
      <c r="A696" s="89"/>
      <c r="B696" s="89"/>
      <c r="J696" s="19"/>
      <c r="Q696" s="19"/>
      <c r="Y696" s="19"/>
      <c r="AF696" s="19"/>
      <c r="II696" s="42"/>
      <c r="IJ696" s="42"/>
      <c r="IK696" s="42"/>
      <c r="IL696" s="42"/>
      <c r="IM696" s="42"/>
      <c r="IN696" s="42"/>
      <c r="IO696" s="42"/>
      <c r="IP696" s="42"/>
      <c r="IQ696" s="42"/>
      <c r="IR696" s="42"/>
      <c r="IS696" s="42"/>
      <c r="IT696" s="42"/>
      <c r="IU696" s="42"/>
      <c r="IV696" s="42"/>
      <c r="IW696" s="42"/>
      <c r="IX696" s="42"/>
      <c r="IY696" s="42"/>
      <c r="IZ696" s="42"/>
      <c r="JA696" s="42"/>
      <c r="JB696" s="42"/>
      <c r="JC696" s="42"/>
      <c r="JD696" s="42"/>
      <c r="JE696" s="42"/>
      <c r="JF696" s="42"/>
      <c r="JG696" s="42"/>
      <c r="JH696" s="42"/>
      <c r="JI696" s="42"/>
      <c r="JJ696" s="42"/>
      <c r="JK696" s="42"/>
      <c r="JL696" s="42"/>
      <c r="JM696" s="42"/>
      <c r="JN696" s="42"/>
      <c r="JO696" s="42"/>
      <c r="JP696" s="42"/>
      <c r="JQ696" s="42"/>
      <c r="JR696" s="42"/>
      <c r="JS696" s="42"/>
      <c r="JT696" s="42"/>
      <c r="JU696" s="42"/>
      <c r="JV696" s="42"/>
      <c r="JW696" s="42"/>
      <c r="JX696" s="42"/>
      <c r="JY696" s="42"/>
      <c r="JZ696" s="42"/>
      <c r="KA696" s="42"/>
    </row>
    <row r="697" spans="1:287" ht="12.75">
      <c r="A697" s="89"/>
      <c r="B697" s="89"/>
      <c r="J697" s="19"/>
      <c r="Q697" s="19"/>
      <c r="Y697" s="19"/>
      <c r="AF697" s="19"/>
      <c r="II697" s="42"/>
      <c r="IJ697" s="42"/>
      <c r="IK697" s="42"/>
      <c r="IL697" s="42"/>
      <c r="IM697" s="42"/>
      <c r="IN697" s="42"/>
      <c r="IO697" s="42"/>
      <c r="IP697" s="42"/>
      <c r="IQ697" s="42"/>
      <c r="IR697" s="42"/>
      <c r="IS697" s="42"/>
      <c r="IT697" s="42"/>
      <c r="IU697" s="42"/>
      <c r="IV697" s="42"/>
      <c r="IW697" s="42"/>
      <c r="IX697" s="42"/>
      <c r="IY697" s="42"/>
      <c r="IZ697" s="42"/>
      <c r="JA697" s="42"/>
      <c r="JB697" s="42"/>
      <c r="JC697" s="42"/>
      <c r="JD697" s="42"/>
      <c r="JE697" s="42"/>
      <c r="JF697" s="42"/>
      <c r="JG697" s="42"/>
      <c r="JH697" s="42"/>
      <c r="JI697" s="42"/>
      <c r="JJ697" s="42"/>
      <c r="JK697" s="42"/>
      <c r="JL697" s="42"/>
      <c r="JM697" s="42"/>
      <c r="JN697" s="42"/>
      <c r="JO697" s="42"/>
      <c r="JP697" s="42"/>
      <c r="JQ697" s="42"/>
      <c r="JR697" s="42"/>
      <c r="JS697" s="42"/>
      <c r="JT697" s="42"/>
      <c r="JU697" s="42"/>
      <c r="JV697" s="42"/>
      <c r="JW697" s="42"/>
      <c r="JX697" s="42"/>
      <c r="JY697" s="42"/>
      <c r="JZ697" s="42"/>
      <c r="KA697" s="42"/>
    </row>
    <row r="698" spans="1:287" ht="12.75">
      <c r="A698" s="89"/>
      <c r="B698" s="89"/>
      <c r="J698" s="19"/>
      <c r="Q698" s="19"/>
      <c r="Y698" s="19"/>
      <c r="AF698" s="19"/>
      <c r="II698" s="42"/>
      <c r="IJ698" s="42"/>
      <c r="IK698" s="42"/>
      <c r="IL698" s="42"/>
      <c r="IM698" s="42"/>
      <c r="IN698" s="42"/>
      <c r="IO698" s="42"/>
      <c r="IP698" s="42"/>
      <c r="IQ698" s="42"/>
      <c r="IR698" s="42"/>
      <c r="IS698" s="42"/>
      <c r="IT698" s="42"/>
      <c r="IU698" s="42"/>
      <c r="IV698" s="42"/>
      <c r="IW698" s="42"/>
      <c r="IX698" s="42"/>
      <c r="IY698" s="42"/>
      <c r="IZ698" s="42"/>
      <c r="JA698" s="42"/>
      <c r="JB698" s="42"/>
      <c r="JC698" s="42"/>
      <c r="JD698" s="42"/>
      <c r="JE698" s="42"/>
      <c r="JF698" s="42"/>
      <c r="JG698" s="42"/>
      <c r="JH698" s="42"/>
      <c r="JI698" s="42"/>
      <c r="JJ698" s="42"/>
      <c r="JK698" s="42"/>
      <c r="JL698" s="42"/>
      <c r="JM698" s="42"/>
      <c r="JN698" s="42"/>
      <c r="JO698" s="42"/>
      <c r="JP698" s="42"/>
      <c r="JQ698" s="42"/>
      <c r="JR698" s="42"/>
      <c r="JS698" s="42"/>
      <c r="JT698" s="42"/>
      <c r="JU698" s="42"/>
      <c r="JV698" s="42"/>
      <c r="JW698" s="42"/>
      <c r="JX698" s="42"/>
      <c r="JY698" s="42"/>
      <c r="JZ698" s="42"/>
      <c r="KA698" s="42"/>
    </row>
    <row r="699" spans="1:287" ht="12.75">
      <c r="A699" s="89"/>
      <c r="B699" s="89"/>
      <c r="J699" s="19"/>
      <c r="Q699" s="19"/>
      <c r="Y699" s="19"/>
      <c r="AF699" s="19"/>
      <c r="II699" s="42"/>
      <c r="IJ699" s="42"/>
      <c r="IK699" s="42"/>
      <c r="IL699" s="42"/>
      <c r="IM699" s="42"/>
      <c r="IN699" s="42"/>
      <c r="IO699" s="42"/>
      <c r="IP699" s="42"/>
      <c r="IQ699" s="42"/>
      <c r="IR699" s="42"/>
      <c r="IS699" s="42"/>
      <c r="IT699" s="42"/>
      <c r="IU699" s="42"/>
      <c r="IV699" s="42"/>
      <c r="IW699" s="42"/>
      <c r="IX699" s="42"/>
      <c r="IY699" s="42"/>
      <c r="IZ699" s="42"/>
      <c r="JA699" s="42"/>
      <c r="JB699" s="42"/>
      <c r="JC699" s="42"/>
      <c r="JD699" s="42"/>
      <c r="JE699" s="42"/>
      <c r="JF699" s="42"/>
      <c r="JG699" s="42"/>
      <c r="JH699" s="42"/>
      <c r="JI699" s="42"/>
      <c r="JJ699" s="42"/>
      <c r="JK699" s="42"/>
      <c r="JL699" s="42"/>
      <c r="JM699" s="42"/>
      <c r="JN699" s="42"/>
      <c r="JO699" s="42"/>
      <c r="JP699" s="42"/>
      <c r="JQ699" s="42"/>
      <c r="JR699" s="42"/>
      <c r="JS699" s="42"/>
      <c r="JT699" s="42"/>
      <c r="JU699" s="42"/>
      <c r="JV699" s="42"/>
      <c r="JW699" s="42"/>
      <c r="JX699" s="42"/>
      <c r="JY699" s="42"/>
      <c r="JZ699" s="42"/>
      <c r="KA699" s="42"/>
    </row>
    <row r="700" spans="1:287" ht="12.75">
      <c r="A700" s="89"/>
      <c r="B700" s="89"/>
      <c r="J700" s="19"/>
      <c r="Q700" s="19"/>
      <c r="Y700" s="19"/>
      <c r="AF700" s="19"/>
      <c r="II700" s="42"/>
      <c r="IJ700" s="42"/>
      <c r="IK700" s="42"/>
      <c r="IL700" s="42"/>
      <c r="IM700" s="42"/>
      <c r="IN700" s="42"/>
      <c r="IO700" s="42"/>
      <c r="IP700" s="42"/>
      <c r="IQ700" s="42"/>
      <c r="IR700" s="42"/>
      <c r="IS700" s="42"/>
      <c r="IT700" s="42"/>
      <c r="IU700" s="42"/>
      <c r="IV700" s="42"/>
      <c r="IW700" s="42"/>
      <c r="IX700" s="42"/>
      <c r="IY700" s="42"/>
      <c r="IZ700" s="42"/>
      <c r="JA700" s="42"/>
      <c r="JB700" s="42"/>
      <c r="JC700" s="42"/>
      <c r="JD700" s="42"/>
      <c r="JE700" s="42"/>
      <c r="JF700" s="42"/>
      <c r="JG700" s="42"/>
      <c r="JH700" s="42"/>
      <c r="JI700" s="42"/>
      <c r="JJ700" s="42"/>
      <c r="JK700" s="42"/>
      <c r="JL700" s="42"/>
      <c r="JM700" s="42"/>
      <c r="JN700" s="42"/>
      <c r="JO700" s="42"/>
      <c r="JP700" s="42"/>
      <c r="JQ700" s="42"/>
      <c r="JR700" s="42"/>
      <c r="JS700" s="42"/>
      <c r="JT700" s="42"/>
      <c r="JU700" s="42"/>
      <c r="JV700" s="42"/>
      <c r="JW700" s="42"/>
      <c r="JX700" s="42"/>
      <c r="JY700" s="42"/>
      <c r="JZ700" s="42"/>
      <c r="KA700" s="42"/>
    </row>
    <row r="701" spans="1:287" ht="12.75">
      <c r="A701" s="89"/>
      <c r="B701" s="89"/>
      <c r="J701" s="19"/>
      <c r="Q701" s="19"/>
      <c r="Y701" s="19"/>
      <c r="AF701" s="19"/>
      <c r="II701" s="42"/>
      <c r="IJ701" s="42"/>
      <c r="IK701" s="42"/>
      <c r="IL701" s="42"/>
      <c r="IM701" s="42"/>
      <c r="IN701" s="42"/>
      <c r="IO701" s="42"/>
      <c r="IP701" s="42"/>
      <c r="IQ701" s="42"/>
      <c r="IR701" s="42"/>
      <c r="IS701" s="42"/>
      <c r="IT701" s="42"/>
      <c r="IU701" s="42"/>
      <c r="IV701" s="42"/>
      <c r="IW701" s="42"/>
      <c r="IX701" s="42"/>
      <c r="IY701" s="42"/>
      <c r="IZ701" s="42"/>
      <c r="JA701" s="42"/>
      <c r="JB701" s="42"/>
      <c r="JC701" s="42"/>
      <c r="JD701" s="42"/>
      <c r="JE701" s="42"/>
      <c r="JF701" s="42"/>
      <c r="JG701" s="42"/>
      <c r="JH701" s="42"/>
      <c r="JI701" s="42"/>
      <c r="JJ701" s="42"/>
      <c r="JK701" s="42"/>
      <c r="JL701" s="42"/>
      <c r="JM701" s="42"/>
      <c r="JN701" s="42"/>
      <c r="JO701" s="42"/>
      <c r="JP701" s="42"/>
      <c r="JQ701" s="42"/>
      <c r="JR701" s="42"/>
      <c r="JS701" s="42"/>
      <c r="JT701" s="42"/>
      <c r="JU701" s="42"/>
      <c r="JV701" s="42"/>
      <c r="JW701" s="42"/>
      <c r="JX701" s="42"/>
      <c r="JY701" s="42"/>
      <c r="JZ701" s="42"/>
      <c r="KA701" s="42"/>
    </row>
    <row r="702" spans="1:287" ht="12.75">
      <c r="A702" s="89"/>
      <c r="B702" s="89"/>
      <c r="J702" s="19"/>
      <c r="Q702" s="19"/>
      <c r="Y702" s="19"/>
      <c r="AF702" s="19"/>
      <c r="II702" s="42"/>
      <c r="IJ702" s="42"/>
      <c r="IK702" s="42"/>
      <c r="IL702" s="42"/>
      <c r="IM702" s="42"/>
      <c r="IN702" s="42"/>
      <c r="IO702" s="42"/>
      <c r="IP702" s="42"/>
      <c r="IQ702" s="42"/>
      <c r="IR702" s="42"/>
      <c r="IS702" s="42"/>
      <c r="IT702" s="42"/>
      <c r="IU702" s="42"/>
      <c r="IV702" s="42"/>
      <c r="IW702" s="42"/>
      <c r="IX702" s="42"/>
      <c r="IY702" s="42"/>
      <c r="IZ702" s="42"/>
      <c r="JA702" s="42"/>
      <c r="JB702" s="42"/>
      <c r="JC702" s="42"/>
      <c r="JD702" s="42"/>
      <c r="JE702" s="42"/>
      <c r="JF702" s="42"/>
      <c r="JG702" s="42"/>
      <c r="JH702" s="42"/>
      <c r="JI702" s="42"/>
      <c r="JJ702" s="42"/>
      <c r="JK702" s="42"/>
      <c r="JL702" s="42"/>
      <c r="JM702" s="42"/>
      <c r="JN702" s="42"/>
      <c r="JO702" s="42"/>
      <c r="JP702" s="42"/>
      <c r="JQ702" s="42"/>
      <c r="JR702" s="42"/>
      <c r="JS702" s="42"/>
      <c r="JT702" s="42"/>
      <c r="JU702" s="42"/>
      <c r="JV702" s="42"/>
      <c r="JW702" s="42"/>
      <c r="JX702" s="42"/>
      <c r="JY702" s="42"/>
      <c r="JZ702" s="42"/>
      <c r="KA702" s="42"/>
    </row>
    <row r="703" spans="1:287" ht="12.75">
      <c r="A703" s="89"/>
      <c r="B703" s="89"/>
      <c r="J703" s="19"/>
      <c r="Q703" s="19"/>
      <c r="Y703" s="19"/>
      <c r="AF703" s="19"/>
      <c r="II703" s="42"/>
      <c r="IJ703" s="42"/>
      <c r="IK703" s="42"/>
      <c r="IL703" s="42"/>
      <c r="IM703" s="42"/>
      <c r="IN703" s="42"/>
      <c r="IO703" s="42"/>
      <c r="IP703" s="42"/>
      <c r="IQ703" s="42"/>
      <c r="IR703" s="42"/>
      <c r="IS703" s="42"/>
      <c r="IT703" s="42"/>
      <c r="IU703" s="42"/>
      <c r="IV703" s="42"/>
      <c r="IW703" s="42"/>
      <c r="IX703" s="42"/>
      <c r="IY703" s="42"/>
      <c r="IZ703" s="42"/>
      <c r="JA703" s="42"/>
      <c r="JB703" s="42"/>
      <c r="JC703" s="42"/>
      <c r="JD703" s="42"/>
      <c r="JE703" s="42"/>
      <c r="JF703" s="42"/>
      <c r="JG703" s="42"/>
      <c r="JH703" s="42"/>
      <c r="JI703" s="42"/>
      <c r="JJ703" s="42"/>
      <c r="JK703" s="42"/>
      <c r="JL703" s="42"/>
      <c r="JM703" s="42"/>
      <c r="JN703" s="42"/>
      <c r="JO703" s="42"/>
      <c r="JP703" s="42"/>
      <c r="JQ703" s="42"/>
      <c r="JR703" s="42"/>
      <c r="JS703" s="42"/>
      <c r="JT703" s="42"/>
      <c r="JU703" s="42"/>
      <c r="JV703" s="42"/>
      <c r="JW703" s="42"/>
      <c r="JX703" s="42"/>
      <c r="JY703" s="42"/>
      <c r="JZ703" s="42"/>
      <c r="KA703" s="42"/>
    </row>
    <row r="704" spans="1:287" ht="12.75">
      <c r="A704" s="89"/>
      <c r="B704" s="89"/>
      <c r="J704" s="19"/>
      <c r="Q704" s="19"/>
      <c r="Y704" s="19"/>
      <c r="AF704" s="19"/>
      <c r="II704" s="42"/>
      <c r="IJ704" s="42"/>
      <c r="IK704" s="42"/>
      <c r="IL704" s="42"/>
      <c r="IM704" s="42"/>
      <c r="IN704" s="42"/>
      <c r="IO704" s="42"/>
      <c r="IP704" s="42"/>
      <c r="IQ704" s="42"/>
      <c r="IR704" s="42"/>
      <c r="IS704" s="42"/>
      <c r="IT704" s="42"/>
      <c r="IU704" s="42"/>
      <c r="IV704" s="42"/>
      <c r="IW704" s="42"/>
      <c r="IX704" s="42"/>
      <c r="IY704" s="42"/>
      <c r="IZ704" s="42"/>
      <c r="JA704" s="42"/>
      <c r="JB704" s="42"/>
      <c r="JC704" s="42"/>
      <c r="JD704" s="42"/>
      <c r="JE704" s="42"/>
      <c r="JF704" s="42"/>
      <c r="JG704" s="42"/>
      <c r="JH704" s="42"/>
      <c r="JI704" s="42"/>
      <c r="JJ704" s="42"/>
      <c r="JK704" s="42"/>
      <c r="JL704" s="42"/>
      <c r="JM704" s="42"/>
      <c r="JN704" s="42"/>
      <c r="JO704" s="42"/>
      <c r="JP704" s="42"/>
      <c r="JQ704" s="42"/>
      <c r="JR704" s="42"/>
      <c r="JS704" s="42"/>
      <c r="JT704" s="42"/>
      <c r="JU704" s="42"/>
      <c r="JV704" s="42"/>
      <c r="JW704" s="42"/>
      <c r="JX704" s="42"/>
      <c r="JY704" s="42"/>
      <c r="JZ704" s="42"/>
      <c r="KA704" s="42"/>
    </row>
    <row r="705" spans="1:287" ht="12.75">
      <c r="A705" s="89"/>
      <c r="B705" s="89"/>
      <c r="J705" s="19"/>
      <c r="Q705" s="19"/>
      <c r="Y705" s="19"/>
      <c r="AF705" s="19"/>
      <c r="II705" s="42"/>
      <c r="IJ705" s="42"/>
      <c r="IK705" s="42"/>
      <c r="IL705" s="42"/>
      <c r="IM705" s="42"/>
      <c r="IN705" s="42"/>
      <c r="IO705" s="42"/>
      <c r="IP705" s="42"/>
      <c r="IQ705" s="42"/>
      <c r="IR705" s="42"/>
      <c r="IS705" s="42"/>
      <c r="IT705" s="42"/>
      <c r="IU705" s="42"/>
      <c r="IV705" s="42"/>
      <c r="IW705" s="42"/>
      <c r="IX705" s="42"/>
      <c r="IY705" s="42"/>
      <c r="IZ705" s="42"/>
      <c r="JA705" s="42"/>
      <c r="JB705" s="42"/>
      <c r="JC705" s="42"/>
      <c r="JD705" s="42"/>
      <c r="JE705" s="42"/>
      <c r="JF705" s="42"/>
      <c r="JG705" s="42"/>
      <c r="JH705" s="42"/>
      <c r="JI705" s="42"/>
      <c r="JJ705" s="42"/>
      <c r="JK705" s="42"/>
      <c r="JL705" s="42"/>
      <c r="JM705" s="42"/>
      <c r="JN705" s="42"/>
      <c r="JO705" s="42"/>
      <c r="JP705" s="42"/>
      <c r="JQ705" s="42"/>
      <c r="JR705" s="42"/>
      <c r="JS705" s="42"/>
      <c r="JT705" s="42"/>
      <c r="JU705" s="42"/>
      <c r="JV705" s="42"/>
      <c r="JW705" s="42"/>
      <c r="JX705" s="42"/>
      <c r="JY705" s="42"/>
      <c r="JZ705" s="42"/>
      <c r="KA705" s="42"/>
    </row>
    <row r="706" spans="1:287" ht="12.75">
      <c r="A706" s="89"/>
      <c r="B706" s="89"/>
      <c r="J706" s="19"/>
      <c r="Q706" s="19"/>
      <c r="Y706" s="19"/>
      <c r="AF706" s="19"/>
      <c r="II706" s="42"/>
      <c r="IJ706" s="42"/>
      <c r="IK706" s="42"/>
      <c r="IL706" s="42"/>
      <c r="IM706" s="42"/>
      <c r="IN706" s="42"/>
      <c r="IO706" s="42"/>
      <c r="IP706" s="42"/>
      <c r="IQ706" s="42"/>
      <c r="IR706" s="42"/>
      <c r="IS706" s="42"/>
      <c r="IT706" s="42"/>
      <c r="IU706" s="42"/>
      <c r="IV706" s="42"/>
      <c r="IW706" s="42"/>
      <c r="IX706" s="42"/>
      <c r="IY706" s="42"/>
      <c r="IZ706" s="42"/>
      <c r="JA706" s="42"/>
      <c r="JB706" s="42"/>
      <c r="JC706" s="42"/>
      <c r="JD706" s="42"/>
      <c r="JE706" s="42"/>
      <c r="JF706" s="42"/>
      <c r="JG706" s="42"/>
      <c r="JH706" s="42"/>
      <c r="JI706" s="42"/>
      <c r="JJ706" s="42"/>
      <c r="JK706" s="42"/>
      <c r="JL706" s="42"/>
      <c r="JM706" s="42"/>
      <c r="JN706" s="42"/>
      <c r="JO706" s="42"/>
      <c r="JP706" s="42"/>
      <c r="JQ706" s="42"/>
      <c r="JR706" s="42"/>
      <c r="JS706" s="42"/>
      <c r="JT706" s="42"/>
      <c r="JU706" s="42"/>
      <c r="JV706" s="42"/>
      <c r="JW706" s="42"/>
      <c r="JX706" s="42"/>
      <c r="JY706" s="42"/>
      <c r="JZ706" s="42"/>
      <c r="KA706" s="42"/>
    </row>
    <row r="707" spans="1:287" ht="12.75">
      <c r="A707" s="89"/>
      <c r="B707" s="89"/>
      <c r="J707" s="19"/>
      <c r="Q707" s="19"/>
      <c r="Y707" s="19"/>
      <c r="AF707" s="19"/>
      <c r="II707" s="42"/>
      <c r="IJ707" s="42"/>
      <c r="IK707" s="42"/>
      <c r="IL707" s="42"/>
      <c r="IM707" s="42"/>
      <c r="IN707" s="42"/>
      <c r="IO707" s="42"/>
      <c r="IP707" s="42"/>
      <c r="IQ707" s="42"/>
      <c r="IR707" s="42"/>
      <c r="IS707" s="42"/>
      <c r="IT707" s="42"/>
      <c r="IU707" s="42"/>
      <c r="IV707" s="42"/>
      <c r="IW707" s="42"/>
      <c r="IX707" s="42"/>
      <c r="IY707" s="42"/>
      <c r="IZ707" s="42"/>
      <c r="JA707" s="42"/>
      <c r="JB707" s="42"/>
      <c r="JC707" s="42"/>
      <c r="JD707" s="42"/>
      <c r="JE707" s="42"/>
      <c r="JF707" s="42"/>
      <c r="JG707" s="42"/>
      <c r="JH707" s="42"/>
      <c r="JI707" s="42"/>
      <c r="JJ707" s="42"/>
      <c r="JK707" s="42"/>
      <c r="JL707" s="42"/>
      <c r="JM707" s="42"/>
      <c r="JN707" s="42"/>
      <c r="JO707" s="42"/>
      <c r="JP707" s="42"/>
      <c r="JQ707" s="42"/>
      <c r="JR707" s="42"/>
      <c r="JS707" s="42"/>
      <c r="JT707" s="42"/>
      <c r="JU707" s="42"/>
      <c r="JV707" s="42"/>
      <c r="JW707" s="42"/>
      <c r="JX707" s="42"/>
      <c r="JY707" s="42"/>
      <c r="JZ707" s="42"/>
      <c r="KA707" s="42"/>
    </row>
    <row r="708" spans="1:287" ht="12.75">
      <c r="A708" s="89"/>
      <c r="B708" s="89"/>
      <c r="J708" s="19"/>
      <c r="Q708" s="19"/>
      <c r="Y708" s="19"/>
      <c r="AF708" s="19"/>
      <c r="II708" s="42"/>
      <c r="IJ708" s="42"/>
      <c r="IK708" s="42"/>
      <c r="IL708" s="42"/>
      <c r="IM708" s="42"/>
      <c r="IN708" s="42"/>
      <c r="IO708" s="42"/>
      <c r="IP708" s="42"/>
      <c r="IQ708" s="42"/>
      <c r="IR708" s="42"/>
      <c r="IS708" s="42"/>
      <c r="IT708" s="42"/>
      <c r="IU708" s="42"/>
      <c r="IV708" s="42"/>
      <c r="IW708" s="42"/>
      <c r="IX708" s="42"/>
      <c r="IY708" s="42"/>
      <c r="IZ708" s="42"/>
      <c r="JA708" s="42"/>
      <c r="JB708" s="42"/>
      <c r="JC708" s="42"/>
      <c r="JD708" s="42"/>
      <c r="JE708" s="42"/>
      <c r="JF708" s="42"/>
      <c r="JG708" s="42"/>
      <c r="JH708" s="42"/>
      <c r="JI708" s="42"/>
      <c r="JJ708" s="42"/>
      <c r="JK708" s="42"/>
      <c r="JL708" s="42"/>
      <c r="JM708" s="42"/>
      <c r="JN708" s="42"/>
      <c r="JO708" s="42"/>
      <c r="JP708" s="42"/>
      <c r="JQ708" s="42"/>
      <c r="JR708" s="42"/>
      <c r="JS708" s="42"/>
      <c r="JT708" s="42"/>
      <c r="JU708" s="42"/>
      <c r="JV708" s="42"/>
      <c r="JW708" s="42"/>
      <c r="JX708" s="42"/>
      <c r="JY708" s="42"/>
      <c r="JZ708" s="42"/>
      <c r="KA708" s="42"/>
    </row>
    <row r="709" spans="1:287" ht="12.75">
      <c r="A709" s="89"/>
      <c r="B709" s="89"/>
      <c r="J709" s="19"/>
      <c r="Q709" s="19"/>
      <c r="Y709" s="19"/>
      <c r="AF709" s="19"/>
      <c r="II709" s="42"/>
      <c r="IJ709" s="42"/>
      <c r="IK709" s="42"/>
      <c r="IL709" s="42"/>
      <c r="IM709" s="42"/>
      <c r="IN709" s="42"/>
      <c r="IO709" s="42"/>
      <c r="IP709" s="42"/>
      <c r="IQ709" s="42"/>
      <c r="IR709" s="42"/>
      <c r="IS709" s="42"/>
      <c r="IT709" s="42"/>
      <c r="IU709" s="42"/>
      <c r="IV709" s="42"/>
      <c r="IW709" s="42"/>
      <c r="IX709" s="42"/>
      <c r="IY709" s="42"/>
      <c r="IZ709" s="42"/>
      <c r="JA709" s="42"/>
      <c r="JB709" s="42"/>
      <c r="JC709" s="42"/>
      <c r="JD709" s="42"/>
      <c r="JE709" s="42"/>
      <c r="JF709" s="42"/>
      <c r="JG709" s="42"/>
      <c r="JH709" s="42"/>
      <c r="JI709" s="42"/>
      <c r="JJ709" s="42"/>
      <c r="JK709" s="42"/>
      <c r="JL709" s="42"/>
      <c r="JM709" s="42"/>
      <c r="JN709" s="42"/>
      <c r="JO709" s="42"/>
      <c r="JP709" s="42"/>
      <c r="JQ709" s="42"/>
      <c r="JR709" s="42"/>
      <c r="JS709" s="42"/>
      <c r="JT709" s="42"/>
      <c r="JU709" s="42"/>
      <c r="JV709" s="42"/>
      <c r="JW709" s="42"/>
      <c r="JX709" s="42"/>
      <c r="JY709" s="42"/>
      <c r="JZ709" s="42"/>
      <c r="KA709" s="42"/>
    </row>
    <row r="710" spans="1:287" ht="12.75">
      <c r="A710" s="89"/>
      <c r="B710" s="89"/>
      <c r="J710" s="19"/>
      <c r="Q710" s="19"/>
      <c r="Y710" s="19"/>
      <c r="AF710" s="19"/>
      <c r="II710" s="42"/>
      <c r="IJ710" s="42"/>
      <c r="IK710" s="42"/>
      <c r="IL710" s="42"/>
      <c r="IM710" s="42"/>
      <c r="IN710" s="42"/>
      <c r="IO710" s="42"/>
      <c r="IP710" s="42"/>
      <c r="IQ710" s="42"/>
      <c r="IR710" s="42"/>
      <c r="IS710" s="42"/>
      <c r="IT710" s="42"/>
      <c r="IU710" s="42"/>
      <c r="IV710" s="42"/>
      <c r="IW710" s="42"/>
      <c r="IX710" s="42"/>
      <c r="IY710" s="42"/>
      <c r="IZ710" s="42"/>
      <c r="JA710" s="42"/>
      <c r="JB710" s="42"/>
      <c r="JC710" s="42"/>
      <c r="JD710" s="42"/>
      <c r="JE710" s="42"/>
      <c r="JF710" s="42"/>
      <c r="JG710" s="42"/>
      <c r="JH710" s="42"/>
      <c r="JI710" s="42"/>
      <c r="JJ710" s="42"/>
      <c r="JK710" s="42"/>
      <c r="JL710" s="42"/>
      <c r="JM710" s="42"/>
      <c r="JN710" s="42"/>
      <c r="JO710" s="42"/>
      <c r="JP710" s="42"/>
      <c r="JQ710" s="42"/>
      <c r="JR710" s="42"/>
      <c r="JS710" s="42"/>
      <c r="JT710" s="42"/>
      <c r="JU710" s="42"/>
      <c r="JV710" s="42"/>
      <c r="JW710" s="42"/>
      <c r="JX710" s="42"/>
      <c r="JY710" s="42"/>
      <c r="JZ710" s="42"/>
      <c r="KA710" s="42"/>
    </row>
    <row r="711" spans="1:287" ht="12.75">
      <c r="A711" s="89"/>
      <c r="B711" s="89"/>
      <c r="J711" s="19"/>
      <c r="Q711" s="19"/>
      <c r="Y711" s="19"/>
      <c r="AF711" s="19"/>
      <c r="II711" s="42"/>
      <c r="IJ711" s="42"/>
      <c r="IK711" s="42"/>
      <c r="IL711" s="42"/>
      <c r="IM711" s="42"/>
      <c r="IN711" s="42"/>
      <c r="IO711" s="42"/>
      <c r="IP711" s="42"/>
      <c r="IQ711" s="42"/>
      <c r="IR711" s="42"/>
      <c r="IS711" s="42"/>
      <c r="IT711" s="42"/>
      <c r="IU711" s="42"/>
      <c r="IV711" s="42"/>
      <c r="IW711" s="42"/>
      <c r="IX711" s="42"/>
      <c r="IY711" s="42"/>
      <c r="IZ711" s="42"/>
      <c r="JA711" s="42"/>
      <c r="JB711" s="42"/>
      <c r="JC711" s="42"/>
      <c r="JD711" s="42"/>
      <c r="JE711" s="42"/>
      <c r="JF711" s="42"/>
      <c r="JG711" s="42"/>
      <c r="JH711" s="42"/>
      <c r="JI711" s="42"/>
      <c r="JJ711" s="42"/>
      <c r="JK711" s="42"/>
      <c r="JL711" s="42"/>
      <c r="JM711" s="42"/>
      <c r="JN711" s="42"/>
      <c r="JO711" s="42"/>
      <c r="JP711" s="42"/>
      <c r="JQ711" s="42"/>
      <c r="JR711" s="42"/>
      <c r="JS711" s="42"/>
      <c r="JT711" s="42"/>
      <c r="JU711" s="42"/>
      <c r="JV711" s="42"/>
      <c r="JW711" s="42"/>
      <c r="JX711" s="42"/>
      <c r="JY711" s="42"/>
      <c r="JZ711" s="42"/>
      <c r="KA711" s="42"/>
    </row>
    <row r="712" spans="1:287" ht="12.75">
      <c r="A712" s="89"/>
      <c r="B712" s="89"/>
      <c r="J712" s="19"/>
      <c r="Q712" s="19"/>
      <c r="Y712" s="19"/>
      <c r="AF712" s="19"/>
      <c r="II712" s="42"/>
      <c r="IJ712" s="42"/>
      <c r="IK712" s="42"/>
      <c r="IL712" s="42"/>
      <c r="IM712" s="42"/>
      <c r="IN712" s="42"/>
      <c r="IO712" s="42"/>
      <c r="IP712" s="42"/>
      <c r="IQ712" s="42"/>
      <c r="IR712" s="42"/>
      <c r="IS712" s="42"/>
      <c r="IT712" s="42"/>
      <c r="IU712" s="42"/>
      <c r="IV712" s="42"/>
      <c r="IW712" s="42"/>
      <c r="IX712" s="42"/>
      <c r="IY712" s="42"/>
      <c r="IZ712" s="42"/>
      <c r="JA712" s="42"/>
      <c r="JB712" s="42"/>
      <c r="JC712" s="42"/>
      <c r="JD712" s="42"/>
      <c r="JE712" s="42"/>
      <c r="JF712" s="42"/>
      <c r="JG712" s="42"/>
      <c r="JH712" s="42"/>
      <c r="JI712" s="42"/>
      <c r="JJ712" s="42"/>
      <c r="JK712" s="42"/>
      <c r="JL712" s="42"/>
      <c r="JM712" s="42"/>
      <c r="JN712" s="42"/>
      <c r="JO712" s="42"/>
      <c r="JP712" s="42"/>
      <c r="JQ712" s="42"/>
      <c r="JR712" s="42"/>
      <c r="JS712" s="42"/>
      <c r="JT712" s="42"/>
      <c r="JU712" s="42"/>
      <c r="JV712" s="42"/>
      <c r="JW712" s="42"/>
      <c r="JX712" s="42"/>
      <c r="JY712" s="42"/>
      <c r="JZ712" s="42"/>
      <c r="KA712" s="42"/>
    </row>
    <row r="713" spans="1:287" ht="12.75">
      <c r="A713" s="89"/>
      <c r="B713" s="89"/>
      <c r="J713" s="19"/>
      <c r="Q713" s="19"/>
      <c r="Y713" s="19"/>
      <c r="AF713" s="19"/>
      <c r="II713" s="42"/>
      <c r="IJ713" s="42"/>
      <c r="IK713" s="42"/>
      <c r="IL713" s="42"/>
      <c r="IM713" s="42"/>
      <c r="IN713" s="42"/>
      <c r="IO713" s="42"/>
      <c r="IP713" s="42"/>
      <c r="IQ713" s="42"/>
      <c r="IR713" s="42"/>
      <c r="IS713" s="42"/>
      <c r="IT713" s="42"/>
      <c r="IU713" s="42"/>
      <c r="IV713" s="42"/>
      <c r="IW713" s="42"/>
      <c r="IX713" s="42"/>
      <c r="IY713" s="42"/>
      <c r="IZ713" s="42"/>
      <c r="JA713" s="42"/>
      <c r="JB713" s="42"/>
      <c r="JC713" s="42"/>
      <c r="JD713" s="42"/>
      <c r="JE713" s="42"/>
      <c r="JF713" s="42"/>
      <c r="JG713" s="42"/>
      <c r="JH713" s="42"/>
      <c r="JI713" s="42"/>
      <c r="JJ713" s="42"/>
      <c r="JK713" s="42"/>
      <c r="JL713" s="42"/>
      <c r="JM713" s="42"/>
      <c r="JN713" s="42"/>
      <c r="JO713" s="42"/>
      <c r="JP713" s="42"/>
      <c r="JQ713" s="42"/>
      <c r="JR713" s="42"/>
      <c r="JS713" s="42"/>
      <c r="JT713" s="42"/>
      <c r="JU713" s="42"/>
      <c r="JV713" s="42"/>
      <c r="JW713" s="42"/>
      <c r="JX713" s="42"/>
      <c r="JY713" s="42"/>
      <c r="JZ713" s="42"/>
      <c r="KA713" s="42"/>
    </row>
    <row r="714" spans="1:287" ht="12.75">
      <c r="A714" s="89"/>
      <c r="B714" s="89"/>
      <c r="J714" s="19"/>
      <c r="Q714" s="19"/>
      <c r="Y714" s="19"/>
      <c r="AF714" s="19"/>
      <c r="II714" s="42"/>
      <c r="IJ714" s="42"/>
      <c r="IK714" s="42"/>
      <c r="IL714" s="42"/>
      <c r="IM714" s="42"/>
      <c r="IN714" s="42"/>
      <c r="IO714" s="42"/>
      <c r="IP714" s="42"/>
      <c r="IQ714" s="42"/>
      <c r="IR714" s="42"/>
      <c r="IS714" s="42"/>
      <c r="IT714" s="42"/>
      <c r="IU714" s="42"/>
      <c r="IV714" s="42"/>
      <c r="IW714" s="42"/>
      <c r="IX714" s="42"/>
      <c r="IY714" s="42"/>
      <c r="IZ714" s="42"/>
      <c r="JA714" s="42"/>
      <c r="JB714" s="42"/>
      <c r="JC714" s="42"/>
      <c r="JD714" s="42"/>
      <c r="JE714" s="42"/>
      <c r="JF714" s="42"/>
      <c r="JG714" s="42"/>
      <c r="JH714" s="42"/>
      <c r="JI714" s="42"/>
      <c r="JJ714" s="42"/>
      <c r="JK714" s="42"/>
      <c r="JL714" s="42"/>
      <c r="JM714" s="42"/>
      <c r="JN714" s="42"/>
      <c r="JO714" s="42"/>
      <c r="JP714" s="42"/>
      <c r="JQ714" s="42"/>
      <c r="JR714" s="42"/>
      <c r="JS714" s="42"/>
      <c r="JT714" s="42"/>
      <c r="JU714" s="42"/>
      <c r="JV714" s="42"/>
      <c r="JW714" s="42"/>
      <c r="JX714" s="42"/>
      <c r="JY714" s="42"/>
      <c r="JZ714" s="42"/>
      <c r="KA714" s="42"/>
    </row>
    <row r="715" spans="1:287" ht="12.75">
      <c r="A715" s="89"/>
      <c r="B715" s="89"/>
      <c r="J715" s="19"/>
      <c r="Q715" s="19"/>
      <c r="Y715" s="19"/>
      <c r="AF715" s="19"/>
      <c r="II715" s="42"/>
      <c r="IJ715" s="42"/>
      <c r="IK715" s="42"/>
      <c r="IL715" s="42"/>
      <c r="IM715" s="42"/>
      <c r="IN715" s="42"/>
      <c r="IO715" s="42"/>
      <c r="IP715" s="42"/>
      <c r="IQ715" s="42"/>
      <c r="IR715" s="42"/>
      <c r="IS715" s="42"/>
      <c r="IT715" s="42"/>
      <c r="IU715" s="42"/>
      <c r="IV715" s="42"/>
      <c r="IW715" s="42"/>
      <c r="IX715" s="42"/>
      <c r="IY715" s="42"/>
      <c r="IZ715" s="42"/>
      <c r="JA715" s="42"/>
      <c r="JB715" s="42"/>
      <c r="JC715" s="42"/>
      <c r="JD715" s="42"/>
      <c r="JE715" s="42"/>
      <c r="JF715" s="42"/>
      <c r="JG715" s="42"/>
      <c r="JH715" s="42"/>
      <c r="JI715" s="42"/>
      <c r="JJ715" s="42"/>
      <c r="JK715" s="42"/>
      <c r="JL715" s="42"/>
      <c r="JM715" s="42"/>
      <c r="JN715" s="42"/>
      <c r="JO715" s="42"/>
      <c r="JP715" s="42"/>
      <c r="JQ715" s="42"/>
      <c r="JR715" s="42"/>
      <c r="JS715" s="42"/>
      <c r="JT715" s="42"/>
      <c r="JU715" s="42"/>
      <c r="JV715" s="42"/>
      <c r="JW715" s="42"/>
      <c r="JX715" s="42"/>
      <c r="JY715" s="42"/>
      <c r="JZ715" s="42"/>
      <c r="KA715" s="42"/>
    </row>
    <row r="716" spans="1:287" ht="12.75">
      <c r="A716" s="89"/>
      <c r="B716" s="89"/>
      <c r="J716" s="19"/>
      <c r="Q716" s="19"/>
      <c r="Y716" s="19"/>
      <c r="AF716" s="19"/>
      <c r="II716" s="42"/>
      <c r="IJ716" s="42"/>
      <c r="IK716" s="42"/>
      <c r="IL716" s="42"/>
      <c r="IM716" s="42"/>
      <c r="IN716" s="42"/>
      <c r="IO716" s="42"/>
      <c r="IP716" s="42"/>
      <c r="IQ716" s="42"/>
      <c r="IR716" s="42"/>
      <c r="IS716" s="42"/>
      <c r="IT716" s="42"/>
      <c r="IU716" s="42"/>
      <c r="IV716" s="42"/>
      <c r="IW716" s="42"/>
      <c r="IX716" s="42"/>
      <c r="IY716" s="42"/>
      <c r="IZ716" s="42"/>
      <c r="JA716" s="42"/>
      <c r="JB716" s="42"/>
      <c r="JC716" s="42"/>
      <c r="JD716" s="42"/>
      <c r="JE716" s="42"/>
      <c r="JF716" s="42"/>
      <c r="JG716" s="42"/>
      <c r="JH716" s="42"/>
      <c r="JI716" s="42"/>
      <c r="JJ716" s="42"/>
      <c r="JK716" s="42"/>
      <c r="JL716" s="42"/>
      <c r="JM716" s="42"/>
      <c r="JN716" s="42"/>
      <c r="JO716" s="42"/>
      <c r="JP716" s="42"/>
      <c r="JQ716" s="42"/>
      <c r="JR716" s="42"/>
      <c r="JS716" s="42"/>
      <c r="JT716" s="42"/>
      <c r="JU716" s="42"/>
      <c r="JV716" s="42"/>
      <c r="JW716" s="42"/>
      <c r="JX716" s="42"/>
      <c r="JY716" s="42"/>
      <c r="JZ716" s="42"/>
      <c r="KA716" s="42"/>
    </row>
    <row r="717" spans="1:287" ht="12.75">
      <c r="A717" s="89"/>
      <c r="B717" s="89"/>
      <c r="J717" s="19"/>
      <c r="Q717" s="19"/>
      <c r="Y717" s="19"/>
      <c r="AF717" s="19"/>
      <c r="II717" s="42"/>
      <c r="IJ717" s="42"/>
      <c r="IK717" s="42"/>
      <c r="IL717" s="42"/>
      <c r="IM717" s="42"/>
      <c r="IN717" s="42"/>
      <c r="IO717" s="42"/>
      <c r="IP717" s="42"/>
      <c r="IQ717" s="42"/>
      <c r="IR717" s="42"/>
      <c r="IS717" s="42"/>
      <c r="IT717" s="42"/>
      <c r="IU717" s="42"/>
      <c r="IV717" s="42"/>
      <c r="IW717" s="42"/>
      <c r="IX717" s="42"/>
      <c r="IY717" s="42"/>
      <c r="IZ717" s="42"/>
      <c r="JA717" s="42"/>
      <c r="JB717" s="42"/>
      <c r="JC717" s="42"/>
      <c r="JD717" s="42"/>
      <c r="JE717" s="42"/>
      <c r="JF717" s="42"/>
      <c r="JG717" s="42"/>
      <c r="JH717" s="42"/>
      <c r="JI717" s="42"/>
      <c r="JJ717" s="42"/>
      <c r="JK717" s="42"/>
      <c r="JL717" s="42"/>
      <c r="JM717" s="42"/>
      <c r="JN717" s="42"/>
      <c r="JO717" s="42"/>
      <c r="JP717" s="42"/>
      <c r="JQ717" s="42"/>
      <c r="JR717" s="42"/>
      <c r="JS717" s="42"/>
      <c r="JT717" s="42"/>
      <c r="JU717" s="42"/>
      <c r="JV717" s="42"/>
      <c r="JW717" s="42"/>
      <c r="JX717" s="42"/>
      <c r="JY717" s="42"/>
      <c r="JZ717" s="42"/>
      <c r="KA717" s="42"/>
    </row>
    <row r="718" spans="1:287" ht="12.75">
      <c r="A718" s="89"/>
      <c r="B718" s="89"/>
      <c r="J718" s="19"/>
      <c r="Q718" s="19"/>
      <c r="Y718" s="19"/>
      <c r="AF718" s="19"/>
      <c r="II718" s="42"/>
      <c r="IJ718" s="42"/>
      <c r="IK718" s="42"/>
      <c r="IL718" s="42"/>
      <c r="IM718" s="42"/>
      <c r="IN718" s="42"/>
      <c r="IO718" s="42"/>
      <c r="IP718" s="42"/>
      <c r="IQ718" s="42"/>
      <c r="IR718" s="42"/>
      <c r="IS718" s="42"/>
      <c r="IT718" s="42"/>
      <c r="IU718" s="42"/>
      <c r="IV718" s="42"/>
      <c r="IW718" s="42"/>
      <c r="IX718" s="42"/>
      <c r="IY718" s="42"/>
      <c r="IZ718" s="42"/>
      <c r="JA718" s="42"/>
      <c r="JB718" s="42"/>
      <c r="JC718" s="42"/>
      <c r="JD718" s="42"/>
      <c r="JE718" s="42"/>
      <c r="JF718" s="42"/>
      <c r="JG718" s="42"/>
      <c r="JH718" s="42"/>
      <c r="JI718" s="42"/>
      <c r="JJ718" s="42"/>
      <c r="JK718" s="42"/>
      <c r="JL718" s="42"/>
      <c r="JM718" s="42"/>
      <c r="JN718" s="42"/>
      <c r="JO718" s="42"/>
      <c r="JP718" s="42"/>
      <c r="JQ718" s="42"/>
      <c r="JR718" s="42"/>
      <c r="JS718" s="42"/>
      <c r="JT718" s="42"/>
      <c r="JU718" s="42"/>
      <c r="JV718" s="42"/>
      <c r="JW718" s="42"/>
      <c r="JX718" s="42"/>
      <c r="JY718" s="42"/>
      <c r="JZ718" s="42"/>
      <c r="KA718" s="42"/>
    </row>
    <row r="719" spans="1:287" ht="12.75">
      <c r="A719" s="89"/>
      <c r="B719" s="89"/>
      <c r="J719" s="19"/>
      <c r="Q719" s="19"/>
      <c r="Y719" s="19"/>
      <c r="AF719" s="19"/>
      <c r="II719" s="42"/>
      <c r="IJ719" s="42"/>
      <c r="IK719" s="42"/>
      <c r="IL719" s="42"/>
      <c r="IM719" s="42"/>
      <c r="IN719" s="42"/>
      <c r="IO719" s="42"/>
      <c r="IP719" s="42"/>
      <c r="IQ719" s="42"/>
      <c r="IR719" s="42"/>
      <c r="IS719" s="42"/>
      <c r="IT719" s="42"/>
      <c r="IU719" s="42"/>
      <c r="IV719" s="42"/>
      <c r="IW719" s="42"/>
      <c r="IX719" s="42"/>
      <c r="IY719" s="42"/>
      <c r="IZ719" s="42"/>
      <c r="JA719" s="42"/>
      <c r="JB719" s="42"/>
      <c r="JC719" s="42"/>
      <c r="JD719" s="42"/>
      <c r="JE719" s="42"/>
      <c r="JF719" s="42"/>
      <c r="JG719" s="42"/>
      <c r="JH719" s="42"/>
      <c r="JI719" s="42"/>
      <c r="JJ719" s="42"/>
      <c r="JK719" s="42"/>
      <c r="JL719" s="42"/>
      <c r="JM719" s="42"/>
      <c r="JN719" s="42"/>
      <c r="JO719" s="42"/>
      <c r="JP719" s="42"/>
      <c r="JQ719" s="42"/>
      <c r="JR719" s="42"/>
      <c r="JS719" s="42"/>
      <c r="JT719" s="42"/>
      <c r="JU719" s="42"/>
      <c r="JV719" s="42"/>
      <c r="JW719" s="42"/>
      <c r="JX719" s="42"/>
      <c r="JY719" s="42"/>
      <c r="JZ719" s="42"/>
      <c r="KA719" s="42"/>
    </row>
    <row r="720" spans="1:287" ht="12.75">
      <c r="A720" s="89"/>
      <c r="B720" s="89"/>
      <c r="J720" s="19"/>
      <c r="Q720" s="19"/>
      <c r="Y720" s="19"/>
      <c r="AF720" s="19"/>
      <c r="II720" s="42"/>
      <c r="IJ720" s="42"/>
      <c r="IK720" s="42"/>
      <c r="IL720" s="42"/>
      <c r="IM720" s="42"/>
      <c r="IN720" s="42"/>
      <c r="IO720" s="42"/>
      <c r="IP720" s="42"/>
      <c r="IQ720" s="42"/>
      <c r="IR720" s="42"/>
      <c r="IS720" s="42"/>
      <c r="IT720" s="42"/>
      <c r="IU720" s="42"/>
      <c r="IV720" s="42"/>
      <c r="IW720" s="42"/>
      <c r="IX720" s="42"/>
      <c r="IY720" s="42"/>
      <c r="IZ720" s="42"/>
      <c r="JA720" s="42"/>
      <c r="JB720" s="42"/>
      <c r="JC720" s="42"/>
      <c r="JD720" s="42"/>
      <c r="JE720" s="42"/>
      <c r="JF720" s="42"/>
      <c r="JG720" s="42"/>
      <c r="JH720" s="42"/>
      <c r="JI720" s="42"/>
      <c r="JJ720" s="42"/>
      <c r="JK720" s="42"/>
      <c r="JL720" s="42"/>
      <c r="JM720" s="42"/>
      <c r="JN720" s="42"/>
      <c r="JO720" s="42"/>
      <c r="JP720" s="42"/>
      <c r="JQ720" s="42"/>
      <c r="JR720" s="42"/>
      <c r="JS720" s="42"/>
      <c r="JT720" s="42"/>
      <c r="JU720" s="42"/>
      <c r="JV720" s="42"/>
      <c r="JW720" s="42"/>
      <c r="JX720" s="42"/>
      <c r="JY720" s="42"/>
      <c r="JZ720" s="42"/>
      <c r="KA720" s="42"/>
    </row>
    <row r="721" spans="1:287" ht="12.75">
      <c r="A721" s="89"/>
      <c r="B721" s="89"/>
      <c r="J721" s="19"/>
      <c r="Q721" s="19"/>
      <c r="Y721" s="19"/>
      <c r="AF721" s="19"/>
      <c r="II721" s="42"/>
      <c r="IJ721" s="42"/>
      <c r="IK721" s="42"/>
      <c r="IL721" s="42"/>
      <c r="IM721" s="42"/>
      <c r="IN721" s="42"/>
      <c r="IO721" s="42"/>
      <c r="IP721" s="42"/>
      <c r="IQ721" s="42"/>
      <c r="IR721" s="42"/>
      <c r="IS721" s="42"/>
      <c r="IT721" s="42"/>
      <c r="IU721" s="42"/>
      <c r="IV721" s="42"/>
      <c r="IW721" s="42"/>
      <c r="IX721" s="42"/>
      <c r="IY721" s="42"/>
      <c r="IZ721" s="42"/>
      <c r="JA721" s="42"/>
      <c r="JB721" s="42"/>
      <c r="JC721" s="42"/>
      <c r="JD721" s="42"/>
      <c r="JE721" s="42"/>
      <c r="JF721" s="42"/>
      <c r="JG721" s="42"/>
      <c r="JH721" s="42"/>
      <c r="JI721" s="42"/>
      <c r="JJ721" s="42"/>
      <c r="JK721" s="42"/>
      <c r="JL721" s="42"/>
      <c r="JM721" s="42"/>
      <c r="JN721" s="42"/>
      <c r="JO721" s="42"/>
      <c r="JP721" s="42"/>
      <c r="JQ721" s="42"/>
      <c r="JR721" s="42"/>
      <c r="JS721" s="42"/>
      <c r="JT721" s="42"/>
      <c r="JU721" s="42"/>
      <c r="JV721" s="42"/>
      <c r="JW721" s="42"/>
      <c r="JX721" s="42"/>
      <c r="JY721" s="42"/>
      <c r="JZ721" s="42"/>
      <c r="KA721" s="42"/>
    </row>
    <row r="722" spans="1:287" ht="12.75">
      <c r="A722" s="89"/>
      <c r="B722" s="89"/>
      <c r="J722" s="19"/>
      <c r="Q722" s="19"/>
      <c r="Y722" s="19"/>
      <c r="AF722" s="19"/>
      <c r="II722" s="42"/>
      <c r="IJ722" s="42"/>
      <c r="IK722" s="42"/>
      <c r="IL722" s="42"/>
      <c r="IM722" s="42"/>
      <c r="IN722" s="42"/>
      <c r="IO722" s="42"/>
      <c r="IP722" s="42"/>
      <c r="IQ722" s="42"/>
      <c r="IR722" s="42"/>
      <c r="IS722" s="42"/>
      <c r="IT722" s="42"/>
      <c r="IU722" s="42"/>
      <c r="IV722" s="42"/>
      <c r="IW722" s="42"/>
      <c r="IX722" s="42"/>
      <c r="IY722" s="42"/>
      <c r="IZ722" s="42"/>
      <c r="JA722" s="42"/>
      <c r="JB722" s="42"/>
      <c r="JC722" s="42"/>
      <c r="JD722" s="42"/>
      <c r="JE722" s="42"/>
      <c r="JF722" s="42"/>
      <c r="JG722" s="42"/>
      <c r="JH722" s="42"/>
      <c r="JI722" s="42"/>
      <c r="JJ722" s="42"/>
      <c r="JK722" s="42"/>
      <c r="JL722" s="42"/>
      <c r="JM722" s="42"/>
      <c r="JN722" s="42"/>
      <c r="JO722" s="42"/>
      <c r="JP722" s="42"/>
      <c r="JQ722" s="42"/>
      <c r="JR722" s="42"/>
      <c r="JS722" s="42"/>
      <c r="JT722" s="42"/>
      <c r="JU722" s="42"/>
      <c r="JV722" s="42"/>
      <c r="JW722" s="42"/>
      <c r="JX722" s="42"/>
      <c r="JY722" s="42"/>
      <c r="JZ722" s="42"/>
      <c r="KA722" s="42"/>
    </row>
    <row r="723" spans="1:287" ht="12.75">
      <c r="A723" s="89"/>
      <c r="B723" s="89"/>
      <c r="J723" s="19"/>
      <c r="Q723" s="19"/>
      <c r="Y723" s="19"/>
      <c r="AF723" s="19"/>
      <c r="II723" s="42"/>
      <c r="IJ723" s="42"/>
      <c r="IK723" s="42"/>
      <c r="IL723" s="42"/>
      <c r="IM723" s="42"/>
      <c r="IN723" s="42"/>
      <c r="IO723" s="42"/>
      <c r="IP723" s="42"/>
      <c r="IQ723" s="42"/>
      <c r="IR723" s="42"/>
      <c r="IS723" s="42"/>
      <c r="IT723" s="42"/>
      <c r="IU723" s="42"/>
      <c r="IV723" s="42"/>
      <c r="IW723" s="42"/>
      <c r="IX723" s="42"/>
      <c r="IY723" s="42"/>
      <c r="IZ723" s="42"/>
      <c r="JA723" s="42"/>
      <c r="JB723" s="42"/>
      <c r="JC723" s="42"/>
      <c r="JD723" s="42"/>
      <c r="JE723" s="42"/>
      <c r="JF723" s="42"/>
      <c r="JG723" s="42"/>
      <c r="JH723" s="42"/>
      <c r="JI723" s="42"/>
      <c r="JJ723" s="42"/>
      <c r="JK723" s="42"/>
      <c r="JL723" s="42"/>
      <c r="JM723" s="42"/>
      <c r="JN723" s="42"/>
      <c r="JO723" s="42"/>
      <c r="JP723" s="42"/>
      <c r="JQ723" s="42"/>
      <c r="JR723" s="42"/>
      <c r="JS723" s="42"/>
      <c r="JT723" s="42"/>
      <c r="JU723" s="42"/>
      <c r="JV723" s="42"/>
      <c r="JW723" s="42"/>
      <c r="JX723" s="42"/>
      <c r="JY723" s="42"/>
      <c r="JZ723" s="42"/>
      <c r="KA723" s="42"/>
    </row>
    <row r="724" spans="1:287" ht="12.75">
      <c r="A724" s="89"/>
      <c r="B724" s="89"/>
      <c r="J724" s="19"/>
      <c r="Q724" s="19"/>
      <c r="Y724" s="19"/>
      <c r="AF724" s="19"/>
      <c r="II724" s="42"/>
      <c r="IJ724" s="42"/>
      <c r="IK724" s="42"/>
      <c r="IL724" s="42"/>
      <c r="IM724" s="42"/>
      <c r="IN724" s="42"/>
      <c r="IO724" s="42"/>
      <c r="IP724" s="42"/>
      <c r="IQ724" s="42"/>
      <c r="IR724" s="42"/>
      <c r="IS724" s="42"/>
      <c r="IT724" s="42"/>
      <c r="IU724" s="42"/>
      <c r="IV724" s="42"/>
      <c r="IW724" s="42"/>
      <c r="IX724" s="42"/>
      <c r="IY724" s="42"/>
      <c r="IZ724" s="42"/>
      <c r="JA724" s="42"/>
      <c r="JB724" s="42"/>
      <c r="JC724" s="42"/>
      <c r="JD724" s="42"/>
      <c r="JE724" s="42"/>
      <c r="JF724" s="42"/>
      <c r="JG724" s="42"/>
      <c r="JH724" s="42"/>
      <c r="JI724" s="42"/>
      <c r="JJ724" s="42"/>
      <c r="JK724" s="42"/>
      <c r="JL724" s="42"/>
      <c r="JM724" s="42"/>
      <c r="JN724" s="42"/>
      <c r="JO724" s="42"/>
      <c r="JP724" s="42"/>
      <c r="JQ724" s="42"/>
      <c r="JR724" s="42"/>
      <c r="JS724" s="42"/>
      <c r="JT724" s="42"/>
      <c r="JU724" s="42"/>
      <c r="JV724" s="42"/>
      <c r="JW724" s="42"/>
      <c r="JX724" s="42"/>
      <c r="JY724" s="42"/>
      <c r="JZ724" s="42"/>
      <c r="KA724" s="42"/>
    </row>
    <row r="725" spans="1:287" ht="12.75">
      <c r="A725" s="89"/>
      <c r="B725" s="89"/>
      <c r="J725" s="19"/>
      <c r="Q725" s="19"/>
      <c r="Y725" s="19"/>
      <c r="AF725" s="19"/>
      <c r="II725" s="42"/>
      <c r="IJ725" s="42"/>
      <c r="IK725" s="42"/>
      <c r="IL725" s="42"/>
      <c r="IM725" s="42"/>
      <c r="IN725" s="42"/>
      <c r="IO725" s="42"/>
      <c r="IP725" s="42"/>
      <c r="IQ725" s="42"/>
      <c r="IR725" s="42"/>
      <c r="IS725" s="42"/>
      <c r="IT725" s="42"/>
      <c r="IU725" s="42"/>
      <c r="IV725" s="42"/>
      <c r="IW725" s="42"/>
      <c r="IX725" s="42"/>
      <c r="IY725" s="42"/>
      <c r="IZ725" s="42"/>
      <c r="JA725" s="42"/>
      <c r="JB725" s="42"/>
      <c r="JC725" s="42"/>
      <c r="JD725" s="42"/>
      <c r="JE725" s="42"/>
      <c r="JF725" s="42"/>
      <c r="JG725" s="42"/>
      <c r="JH725" s="42"/>
      <c r="JI725" s="42"/>
      <c r="JJ725" s="42"/>
      <c r="JK725" s="42"/>
      <c r="JL725" s="42"/>
      <c r="JM725" s="42"/>
      <c r="JN725" s="42"/>
      <c r="JO725" s="42"/>
      <c r="JP725" s="42"/>
      <c r="JQ725" s="42"/>
      <c r="JR725" s="42"/>
      <c r="JS725" s="42"/>
      <c r="JT725" s="42"/>
      <c r="JU725" s="42"/>
      <c r="JV725" s="42"/>
      <c r="JW725" s="42"/>
      <c r="JX725" s="42"/>
      <c r="JY725" s="42"/>
      <c r="JZ725" s="42"/>
      <c r="KA725" s="42"/>
    </row>
    <row r="726" spans="1:287" ht="12.75">
      <c r="A726" s="89"/>
      <c r="B726" s="89"/>
      <c r="J726" s="19"/>
      <c r="Q726" s="19"/>
      <c r="Y726" s="19"/>
      <c r="AF726" s="19"/>
      <c r="II726" s="42"/>
      <c r="IJ726" s="42"/>
      <c r="IK726" s="42"/>
      <c r="IL726" s="42"/>
      <c r="IM726" s="42"/>
      <c r="IN726" s="42"/>
      <c r="IO726" s="42"/>
      <c r="IP726" s="42"/>
      <c r="IQ726" s="42"/>
      <c r="IR726" s="42"/>
      <c r="IS726" s="42"/>
      <c r="IT726" s="42"/>
      <c r="IU726" s="42"/>
      <c r="IV726" s="42"/>
      <c r="IW726" s="42"/>
      <c r="IX726" s="42"/>
      <c r="IY726" s="42"/>
      <c r="IZ726" s="42"/>
      <c r="JA726" s="42"/>
      <c r="JB726" s="42"/>
      <c r="JC726" s="42"/>
      <c r="JD726" s="42"/>
      <c r="JE726" s="42"/>
      <c r="JF726" s="42"/>
      <c r="JG726" s="42"/>
      <c r="JH726" s="42"/>
      <c r="JI726" s="42"/>
      <c r="JJ726" s="42"/>
      <c r="JK726" s="42"/>
      <c r="JL726" s="42"/>
      <c r="JM726" s="42"/>
      <c r="JN726" s="42"/>
      <c r="JO726" s="42"/>
      <c r="JP726" s="42"/>
      <c r="JQ726" s="42"/>
      <c r="JR726" s="42"/>
      <c r="JS726" s="42"/>
      <c r="JT726" s="42"/>
      <c r="JU726" s="42"/>
      <c r="JV726" s="42"/>
      <c r="JW726" s="42"/>
      <c r="JX726" s="42"/>
      <c r="JY726" s="42"/>
      <c r="JZ726" s="42"/>
      <c r="KA726" s="42"/>
    </row>
    <row r="727" spans="1:287" ht="12.75">
      <c r="A727" s="89"/>
      <c r="B727" s="89"/>
      <c r="J727" s="19"/>
      <c r="Q727" s="19"/>
      <c r="Y727" s="19"/>
      <c r="AF727" s="19"/>
      <c r="II727" s="42"/>
      <c r="IJ727" s="42"/>
      <c r="IK727" s="42"/>
      <c r="IL727" s="42"/>
      <c r="IM727" s="42"/>
      <c r="IN727" s="42"/>
      <c r="IO727" s="42"/>
      <c r="IP727" s="42"/>
      <c r="IQ727" s="42"/>
      <c r="IR727" s="42"/>
      <c r="IS727" s="42"/>
      <c r="IT727" s="42"/>
      <c r="IU727" s="42"/>
      <c r="IV727" s="42"/>
      <c r="IW727" s="42"/>
      <c r="IX727" s="42"/>
      <c r="IY727" s="42"/>
      <c r="IZ727" s="42"/>
      <c r="JA727" s="42"/>
      <c r="JB727" s="42"/>
      <c r="JC727" s="42"/>
      <c r="JD727" s="42"/>
      <c r="JE727" s="42"/>
      <c r="JF727" s="42"/>
      <c r="JG727" s="42"/>
      <c r="JH727" s="42"/>
      <c r="JI727" s="42"/>
      <c r="JJ727" s="42"/>
      <c r="JK727" s="42"/>
      <c r="JL727" s="42"/>
      <c r="JM727" s="42"/>
      <c r="JN727" s="42"/>
      <c r="JO727" s="42"/>
      <c r="JP727" s="42"/>
      <c r="JQ727" s="42"/>
      <c r="JR727" s="42"/>
      <c r="JS727" s="42"/>
      <c r="JT727" s="42"/>
      <c r="JU727" s="42"/>
      <c r="JV727" s="42"/>
      <c r="JW727" s="42"/>
      <c r="JX727" s="42"/>
      <c r="JY727" s="42"/>
      <c r="JZ727" s="42"/>
      <c r="KA727" s="42"/>
    </row>
    <row r="728" spans="1:287" ht="12.75">
      <c r="A728" s="89"/>
      <c r="B728" s="89"/>
      <c r="J728" s="19"/>
      <c r="Q728" s="19"/>
      <c r="Y728" s="19"/>
      <c r="AF728" s="19"/>
      <c r="II728" s="42"/>
      <c r="IJ728" s="42"/>
      <c r="IK728" s="42"/>
      <c r="IL728" s="42"/>
      <c r="IM728" s="42"/>
      <c r="IN728" s="42"/>
      <c r="IO728" s="42"/>
      <c r="IP728" s="42"/>
      <c r="IQ728" s="42"/>
      <c r="IR728" s="42"/>
      <c r="IS728" s="42"/>
      <c r="IT728" s="42"/>
      <c r="IU728" s="42"/>
      <c r="IV728" s="42"/>
      <c r="IW728" s="42"/>
      <c r="IX728" s="42"/>
      <c r="IY728" s="42"/>
      <c r="IZ728" s="42"/>
      <c r="JA728" s="42"/>
      <c r="JB728" s="42"/>
      <c r="JC728" s="42"/>
      <c r="JD728" s="42"/>
      <c r="JE728" s="42"/>
      <c r="JF728" s="42"/>
      <c r="JG728" s="42"/>
      <c r="JH728" s="42"/>
      <c r="JI728" s="42"/>
      <c r="JJ728" s="42"/>
      <c r="JK728" s="42"/>
      <c r="JL728" s="42"/>
      <c r="JM728" s="42"/>
      <c r="JN728" s="42"/>
      <c r="JO728" s="42"/>
      <c r="JP728" s="42"/>
      <c r="JQ728" s="42"/>
      <c r="JR728" s="42"/>
      <c r="JS728" s="42"/>
      <c r="JT728" s="42"/>
      <c r="JU728" s="42"/>
      <c r="JV728" s="42"/>
      <c r="JW728" s="42"/>
      <c r="JX728" s="42"/>
      <c r="JY728" s="42"/>
      <c r="JZ728" s="42"/>
      <c r="KA728" s="42"/>
    </row>
    <row r="729" spans="1:287" ht="12.75">
      <c r="A729" s="89"/>
      <c r="B729" s="89"/>
      <c r="J729" s="19"/>
      <c r="Q729" s="19"/>
      <c r="Y729" s="19"/>
      <c r="AF729" s="19"/>
      <c r="II729" s="42"/>
      <c r="IJ729" s="42"/>
      <c r="IK729" s="42"/>
      <c r="IL729" s="42"/>
      <c r="IM729" s="42"/>
      <c r="IN729" s="42"/>
      <c r="IO729" s="42"/>
      <c r="IP729" s="42"/>
      <c r="IQ729" s="42"/>
      <c r="IR729" s="42"/>
      <c r="IS729" s="42"/>
      <c r="IT729" s="42"/>
      <c r="IU729" s="42"/>
      <c r="IV729" s="42"/>
      <c r="IW729" s="42"/>
      <c r="IX729" s="42"/>
      <c r="IY729" s="42"/>
      <c r="IZ729" s="42"/>
      <c r="JA729" s="42"/>
      <c r="JB729" s="42"/>
      <c r="JC729" s="42"/>
      <c r="JD729" s="42"/>
      <c r="JE729" s="42"/>
      <c r="JF729" s="42"/>
      <c r="JG729" s="42"/>
      <c r="JH729" s="42"/>
      <c r="JI729" s="42"/>
      <c r="JJ729" s="42"/>
      <c r="JK729" s="42"/>
      <c r="JL729" s="42"/>
      <c r="JM729" s="42"/>
      <c r="JN729" s="42"/>
      <c r="JO729" s="42"/>
      <c r="JP729" s="42"/>
      <c r="JQ729" s="42"/>
      <c r="JR729" s="42"/>
      <c r="JS729" s="42"/>
      <c r="JT729" s="42"/>
      <c r="JU729" s="42"/>
      <c r="JV729" s="42"/>
      <c r="JW729" s="42"/>
      <c r="JX729" s="42"/>
      <c r="JY729" s="42"/>
      <c r="JZ729" s="42"/>
      <c r="KA729" s="42"/>
    </row>
    <row r="730" spans="1:287" ht="12.75">
      <c r="A730" s="89"/>
      <c r="B730" s="89"/>
      <c r="J730" s="19"/>
      <c r="Q730" s="19"/>
      <c r="Y730" s="19"/>
      <c r="AF730" s="19"/>
      <c r="II730" s="42"/>
      <c r="IJ730" s="42"/>
      <c r="IK730" s="42"/>
      <c r="IL730" s="42"/>
      <c r="IM730" s="42"/>
      <c r="IN730" s="42"/>
      <c r="IO730" s="42"/>
      <c r="IP730" s="42"/>
      <c r="IQ730" s="42"/>
      <c r="IR730" s="42"/>
      <c r="IS730" s="42"/>
      <c r="IT730" s="42"/>
      <c r="IU730" s="42"/>
      <c r="IV730" s="42"/>
      <c r="IW730" s="42"/>
      <c r="IX730" s="42"/>
      <c r="IY730" s="42"/>
      <c r="IZ730" s="42"/>
      <c r="JA730" s="42"/>
      <c r="JB730" s="42"/>
      <c r="JC730" s="42"/>
      <c r="JD730" s="42"/>
      <c r="JE730" s="42"/>
      <c r="JF730" s="42"/>
      <c r="JG730" s="42"/>
      <c r="JH730" s="42"/>
      <c r="JI730" s="42"/>
      <c r="JJ730" s="42"/>
      <c r="JK730" s="42"/>
      <c r="JL730" s="42"/>
      <c r="JM730" s="42"/>
      <c r="JN730" s="42"/>
      <c r="JO730" s="42"/>
      <c r="JP730" s="42"/>
      <c r="JQ730" s="42"/>
      <c r="JR730" s="42"/>
      <c r="JS730" s="42"/>
      <c r="JT730" s="42"/>
      <c r="JU730" s="42"/>
      <c r="JV730" s="42"/>
      <c r="JW730" s="42"/>
      <c r="JX730" s="42"/>
      <c r="JY730" s="42"/>
      <c r="JZ730" s="42"/>
      <c r="KA730" s="42"/>
    </row>
    <row r="731" spans="1:287" ht="12.75">
      <c r="A731" s="89"/>
      <c r="B731" s="89"/>
      <c r="J731" s="19"/>
      <c r="Q731" s="19"/>
      <c r="Y731" s="19"/>
      <c r="AF731" s="19"/>
      <c r="II731" s="42"/>
      <c r="IJ731" s="42"/>
      <c r="IK731" s="42"/>
      <c r="IL731" s="42"/>
      <c r="IM731" s="42"/>
      <c r="IN731" s="42"/>
      <c r="IO731" s="42"/>
      <c r="IP731" s="42"/>
      <c r="IQ731" s="42"/>
      <c r="IR731" s="42"/>
      <c r="IS731" s="42"/>
      <c r="IT731" s="42"/>
      <c r="IU731" s="42"/>
      <c r="IV731" s="42"/>
      <c r="IW731" s="42"/>
      <c r="IX731" s="42"/>
      <c r="IY731" s="42"/>
      <c r="IZ731" s="42"/>
      <c r="JA731" s="42"/>
      <c r="JB731" s="42"/>
      <c r="JC731" s="42"/>
      <c r="JD731" s="42"/>
      <c r="JE731" s="42"/>
      <c r="JF731" s="42"/>
      <c r="JG731" s="42"/>
      <c r="JH731" s="42"/>
      <c r="JI731" s="42"/>
      <c r="JJ731" s="42"/>
      <c r="JK731" s="42"/>
      <c r="JL731" s="42"/>
      <c r="JM731" s="42"/>
      <c r="JN731" s="42"/>
      <c r="JO731" s="42"/>
      <c r="JP731" s="42"/>
      <c r="JQ731" s="42"/>
      <c r="JR731" s="42"/>
      <c r="JS731" s="42"/>
      <c r="JT731" s="42"/>
      <c r="JU731" s="42"/>
      <c r="JV731" s="42"/>
      <c r="JW731" s="42"/>
      <c r="JX731" s="42"/>
      <c r="JY731" s="42"/>
      <c r="JZ731" s="42"/>
      <c r="KA731" s="42"/>
    </row>
    <row r="732" spans="1:287" ht="12.75">
      <c r="A732" s="89"/>
      <c r="B732" s="89"/>
      <c r="J732" s="19"/>
      <c r="Q732" s="19"/>
      <c r="Y732" s="19"/>
      <c r="AF732" s="19"/>
      <c r="II732" s="42"/>
      <c r="IJ732" s="42"/>
      <c r="IK732" s="42"/>
      <c r="IL732" s="42"/>
      <c r="IM732" s="42"/>
      <c r="IN732" s="42"/>
      <c r="IO732" s="42"/>
      <c r="IP732" s="42"/>
      <c r="IQ732" s="42"/>
      <c r="IR732" s="42"/>
      <c r="IS732" s="42"/>
      <c r="IT732" s="42"/>
      <c r="IU732" s="42"/>
      <c r="IV732" s="42"/>
      <c r="IW732" s="42"/>
      <c r="IX732" s="42"/>
      <c r="IY732" s="42"/>
      <c r="IZ732" s="42"/>
      <c r="JA732" s="42"/>
      <c r="JB732" s="42"/>
      <c r="JC732" s="42"/>
      <c r="JD732" s="42"/>
      <c r="JE732" s="42"/>
      <c r="JF732" s="42"/>
      <c r="JG732" s="42"/>
      <c r="JH732" s="42"/>
      <c r="JI732" s="42"/>
      <c r="JJ732" s="42"/>
      <c r="JK732" s="42"/>
      <c r="JL732" s="42"/>
      <c r="JM732" s="42"/>
      <c r="JN732" s="42"/>
      <c r="JO732" s="42"/>
      <c r="JP732" s="42"/>
      <c r="JQ732" s="42"/>
      <c r="JR732" s="42"/>
      <c r="JS732" s="42"/>
      <c r="JT732" s="42"/>
      <c r="JU732" s="42"/>
      <c r="JV732" s="42"/>
      <c r="JW732" s="42"/>
      <c r="JX732" s="42"/>
      <c r="JY732" s="42"/>
      <c r="JZ732" s="42"/>
      <c r="KA732" s="42"/>
    </row>
    <row r="733" spans="1:287" ht="12.75">
      <c r="A733" s="89"/>
      <c r="B733" s="89"/>
      <c r="J733" s="19"/>
      <c r="Q733" s="19"/>
      <c r="Y733" s="19"/>
      <c r="AF733" s="19"/>
      <c r="II733" s="42"/>
      <c r="IJ733" s="42"/>
      <c r="IK733" s="42"/>
      <c r="IL733" s="42"/>
      <c r="IM733" s="42"/>
      <c r="IN733" s="42"/>
      <c r="IO733" s="42"/>
      <c r="IP733" s="42"/>
      <c r="IQ733" s="42"/>
      <c r="IR733" s="42"/>
      <c r="IS733" s="42"/>
      <c r="IT733" s="42"/>
      <c r="IU733" s="42"/>
      <c r="IV733" s="42"/>
      <c r="IW733" s="42"/>
      <c r="IX733" s="42"/>
      <c r="IY733" s="42"/>
      <c r="IZ733" s="42"/>
      <c r="JA733" s="42"/>
      <c r="JB733" s="42"/>
      <c r="JC733" s="42"/>
      <c r="JD733" s="42"/>
      <c r="JE733" s="42"/>
      <c r="JF733" s="42"/>
      <c r="JG733" s="42"/>
      <c r="JH733" s="42"/>
      <c r="JI733" s="42"/>
      <c r="JJ733" s="42"/>
      <c r="JK733" s="42"/>
      <c r="JL733" s="42"/>
      <c r="JM733" s="42"/>
      <c r="JN733" s="42"/>
      <c r="JO733" s="42"/>
      <c r="JP733" s="42"/>
      <c r="JQ733" s="42"/>
      <c r="JR733" s="42"/>
      <c r="JS733" s="42"/>
      <c r="JT733" s="42"/>
      <c r="JU733" s="42"/>
      <c r="JV733" s="42"/>
      <c r="JW733" s="42"/>
      <c r="JX733" s="42"/>
      <c r="JY733" s="42"/>
      <c r="JZ733" s="42"/>
      <c r="KA733" s="42"/>
    </row>
    <row r="734" spans="1:287" ht="12.75">
      <c r="A734" s="89"/>
      <c r="B734" s="89"/>
      <c r="J734" s="19"/>
      <c r="Q734" s="19"/>
      <c r="Y734" s="19"/>
      <c r="AF734" s="19"/>
      <c r="II734" s="42"/>
      <c r="IJ734" s="42"/>
      <c r="IK734" s="42"/>
      <c r="IL734" s="42"/>
      <c r="IM734" s="42"/>
      <c r="IN734" s="42"/>
      <c r="IO734" s="42"/>
      <c r="IP734" s="42"/>
      <c r="IQ734" s="42"/>
      <c r="IR734" s="42"/>
      <c r="IS734" s="42"/>
      <c r="IT734" s="42"/>
      <c r="IU734" s="42"/>
      <c r="IV734" s="42"/>
      <c r="IW734" s="42"/>
      <c r="IX734" s="42"/>
      <c r="IY734" s="42"/>
      <c r="IZ734" s="42"/>
      <c r="JA734" s="42"/>
      <c r="JB734" s="42"/>
      <c r="JC734" s="42"/>
      <c r="JD734" s="42"/>
      <c r="JE734" s="42"/>
      <c r="JF734" s="42"/>
      <c r="JG734" s="42"/>
      <c r="JH734" s="42"/>
      <c r="JI734" s="42"/>
      <c r="JJ734" s="42"/>
      <c r="JK734" s="42"/>
      <c r="JL734" s="42"/>
      <c r="JM734" s="42"/>
      <c r="JN734" s="42"/>
      <c r="JO734" s="42"/>
      <c r="JP734" s="42"/>
      <c r="JQ734" s="42"/>
      <c r="JR734" s="42"/>
      <c r="JS734" s="42"/>
      <c r="JT734" s="42"/>
      <c r="JU734" s="42"/>
      <c r="JV734" s="42"/>
      <c r="JW734" s="42"/>
      <c r="JX734" s="42"/>
      <c r="JY734" s="42"/>
      <c r="JZ734" s="42"/>
      <c r="KA734" s="42"/>
    </row>
    <row r="735" spans="1:287" ht="12.75">
      <c r="A735" s="89"/>
      <c r="B735" s="89"/>
      <c r="J735" s="19"/>
      <c r="Q735" s="19"/>
      <c r="Y735" s="19"/>
      <c r="AF735" s="19"/>
      <c r="II735" s="42"/>
      <c r="IJ735" s="42"/>
      <c r="IK735" s="42"/>
      <c r="IL735" s="42"/>
      <c r="IM735" s="42"/>
      <c r="IN735" s="42"/>
      <c r="IO735" s="42"/>
      <c r="IP735" s="42"/>
      <c r="IQ735" s="42"/>
      <c r="IR735" s="42"/>
      <c r="IS735" s="42"/>
      <c r="IT735" s="42"/>
      <c r="IU735" s="42"/>
      <c r="IV735" s="42"/>
      <c r="IW735" s="42"/>
      <c r="IX735" s="42"/>
      <c r="IY735" s="42"/>
      <c r="IZ735" s="42"/>
      <c r="JA735" s="42"/>
      <c r="JB735" s="42"/>
      <c r="JC735" s="42"/>
      <c r="JD735" s="42"/>
      <c r="JE735" s="42"/>
      <c r="JF735" s="42"/>
      <c r="JG735" s="42"/>
      <c r="JH735" s="42"/>
      <c r="JI735" s="42"/>
      <c r="JJ735" s="42"/>
      <c r="JK735" s="42"/>
      <c r="JL735" s="42"/>
      <c r="JM735" s="42"/>
      <c r="JN735" s="42"/>
      <c r="JO735" s="42"/>
      <c r="JP735" s="42"/>
      <c r="JQ735" s="42"/>
      <c r="JR735" s="42"/>
      <c r="JS735" s="42"/>
      <c r="JT735" s="42"/>
      <c r="JU735" s="42"/>
      <c r="JV735" s="42"/>
      <c r="JW735" s="42"/>
      <c r="JX735" s="42"/>
      <c r="JY735" s="42"/>
      <c r="JZ735" s="42"/>
      <c r="KA735" s="42"/>
    </row>
    <row r="736" spans="1:287" ht="12.75">
      <c r="A736" s="89"/>
      <c r="B736" s="89"/>
      <c r="J736" s="19"/>
      <c r="Q736" s="19"/>
      <c r="Y736" s="19"/>
      <c r="AF736" s="19"/>
      <c r="II736" s="42"/>
      <c r="IJ736" s="42"/>
      <c r="IK736" s="42"/>
      <c r="IL736" s="42"/>
      <c r="IM736" s="42"/>
      <c r="IN736" s="42"/>
      <c r="IO736" s="42"/>
      <c r="IP736" s="42"/>
      <c r="IQ736" s="42"/>
      <c r="IR736" s="42"/>
      <c r="IS736" s="42"/>
      <c r="IT736" s="42"/>
      <c r="IU736" s="42"/>
      <c r="IV736" s="42"/>
      <c r="IW736" s="42"/>
      <c r="IX736" s="42"/>
      <c r="IY736" s="42"/>
      <c r="IZ736" s="42"/>
      <c r="JA736" s="42"/>
      <c r="JB736" s="42"/>
      <c r="JC736" s="42"/>
      <c r="JD736" s="42"/>
      <c r="JE736" s="42"/>
      <c r="JF736" s="42"/>
      <c r="JG736" s="42"/>
      <c r="JH736" s="42"/>
      <c r="JI736" s="42"/>
      <c r="JJ736" s="42"/>
      <c r="JK736" s="42"/>
      <c r="JL736" s="42"/>
      <c r="JM736" s="42"/>
      <c r="JN736" s="42"/>
      <c r="JO736" s="42"/>
      <c r="JP736" s="42"/>
      <c r="JQ736" s="42"/>
      <c r="JR736" s="42"/>
      <c r="JS736" s="42"/>
      <c r="JT736" s="42"/>
      <c r="JU736" s="42"/>
      <c r="JV736" s="42"/>
      <c r="JW736" s="42"/>
      <c r="JX736" s="42"/>
      <c r="JY736" s="42"/>
      <c r="JZ736" s="42"/>
      <c r="KA736" s="42"/>
    </row>
    <row r="737" spans="1:287" ht="12.75">
      <c r="A737" s="89"/>
      <c r="B737" s="89"/>
      <c r="J737" s="19"/>
      <c r="Q737" s="19"/>
      <c r="Y737" s="19"/>
      <c r="AF737" s="19"/>
      <c r="II737" s="42"/>
      <c r="IJ737" s="42"/>
      <c r="IK737" s="42"/>
      <c r="IL737" s="42"/>
      <c r="IM737" s="42"/>
      <c r="IN737" s="42"/>
      <c r="IO737" s="42"/>
      <c r="IP737" s="42"/>
      <c r="IQ737" s="42"/>
      <c r="IR737" s="42"/>
      <c r="IS737" s="42"/>
      <c r="IT737" s="42"/>
      <c r="IU737" s="42"/>
      <c r="IV737" s="42"/>
      <c r="IW737" s="42"/>
      <c r="IX737" s="42"/>
      <c r="IY737" s="42"/>
      <c r="IZ737" s="42"/>
      <c r="JA737" s="42"/>
      <c r="JB737" s="42"/>
      <c r="JC737" s="42"/>
      <c r="JD737" s="42"/>
      <c r="JE737" s="42"/>
      <c r="JF737" s="42"/>
      <c r="JG737" s="42"/>
      <c r="JH737" s="42"/>
      <c r="JI737" s="42"/>
      <c r="JJ737" s="42"/>
      <c r="JK737" s="42"/>
      <c r="JL737" s="42"/>
      <c r="JM737" s="42"/>
      <c r="JN737" s="42"/>
      <c r="JO737" s="42"/>
      <c r="JP737" s="42"/>
      <c r="JQ737" s="42"/>
      <c r="JR737" s="42"/>
      <c r="JS737" s="42"/>
      <c r="JT737" s="42"/>
      <c r="JU737" s="42"/>
      <c r="JV737" s="42"/>
      <c r="JW737" s="42"/>
      <c r="JX737" s="42"/>
      <c r="JY737" s="42"/>
      <c r="JZ737" s="42"/>
      <c r="KA737" s="42"/>
    </row>
    <row r="738" spans="1:287" ht="12.75">
      <c r="A738" s="89"/>
      <c r="B738" s="89"/>
      <c r="J738" s="19"/>
      <c r="Q738" s="19"/>
      <c r="Y738" s="19"/>
      <c r="AF738" s="19"/>
      <c r="II738" s="42"/>
      <c r="IJ738" s="42"/>
      <c r="IK738" s="42"/>
      <c r="IL738" s="42"/>
      <c r="IM738" s="42"/>
      <c r="IN738" s="42"/>
      <c r="IO738" s="42"/>
      <c r="IP738" s="42"/>
      <c r="IQ738" s="42"/>
      <c r="IR738" s="42"/>
      <c r="IS738" s="42"/>
      <c r="IT738" s="42"/>
      <c r="IU738" s="42"/>
      <c r="IV738" s="42"/>
      <c r="IW738" s="42"/>
      <c r="IX738" s="42"/>
      <c r="IY738" s="42"/>
      <c r="IZ738" s="42"/>
      <c r="JA738" s="42"/>
      <c r="JB738" s="42"/>
      <c r="JC738" s="42"/>
      <c r="JD738" s="42"/>
      <c r="JE738" s="42"/>
      <c r="JF738" s="42"/>
      <c r="JG738" s="42"/>
      <c r="JH738" s="42"/>
      <c r="JI738" s="42"/>
      <c r="JJ738" s="42"/>
      <c r="JK738" s="42"/>
      <c r="JL738" s="42"/>
      <c r="JM738" s="42"/>
      <c r="JN738" s="42"/>
      <c r="JO738" s="42"/>
      <c r="JP738" s="42"/>
      <c r="JQ738" s="42"/>
      <c r="JR738" s="42"/>
      <c r="JS738" s="42"/>
      <c r="JT738" s="42"/>
      <c r="JU738" s="42"/>
      <c r="JV738" s="42"/>
      <c r="JW738" s="42"/>
      <c r="JX738" s="42"/>
      <c r="JY738" s="42"/>
      <c r="JZ738" s="42"/>
      <c r="KA738" s="42"/>
    </row>
    <row r="739" spans="1:287" ht="12.75">
      <c r="A739" s="89"/>
      <c r="B739" s="89"/>
      <c r="J739" s="19"/>
      <c r="Q739" s="19"/>
      <c r="Y739" s="19"/>
      <c r="AF739" s="19"/>
      <c r="II739" s="42"/>
      <c r="IJ739" s="42"/>
      <c r="IK739" s="42"/>
      <c r="IL739" s="42"/>
      <c r="IM739" s="42"/>
      <c r="IN739" s="42"/>
      <c r="IO739" s="42"/>
      <c r="IP739" s="42"/>
      <c r="IQ739" s="42"/>
      <c r="IR739" s="42"/>
      <c r="IS739" s="42"/>
      <c r="IT739" s="42"/>
      <c r="IU739" s="42"/>
      <c r="IV739" s="42"/>
      <c r="IW739" s="42"/>
      <c r="IX739" s="42"/>
      <c r="IY739" s="42"/>
      <c r="IZ739" s="42"/>
      <c r="JA739" s="42"/>
      <c r="JB739" s="42"/>
      <c r="JC739" s="42"/>
      <c r="JD739" s="42"/>
      <c r="JE739" s="42"/>
      <c r="JF739" s="42"/>
      <c r="JG739" s="42"/>
      <c r="JH739" s="42"/>
      <c r="JI739" s="42"/>
      <c r="JJ739" s="42"/>
      <c r="JK739" s="42"/>
      <c r="JL739" s="42"/>
      <c r="JM739" s="42"/>
      <c r="JN739" s="42"/>
      <c r="JO739" s="42"/>
      <c r="JP739" s="42"/>
      <c r="JQ739" s="42"/>
      <c r="JR739" s="42"/>
      <c r="JS739" s="42"/>
      <c r="JT739" s="42"/>
      <c r="JU739" s="42"/>
      <c r="JV739" s="42"/>
      <c r="JW739" s="42"/>
      <c r="JX739" s="42"/>
      <c r="JY739" s="42"/>
      <c r="JZ739" s="42"/>
      <c r="KA739" s="42"/>
    </row>
    <row r="740" spans="1:287" ht="12.75">
      <c r="A740" s="89"/>
      <c r="B740" s="89"/>
      <c r="J740" s="19"/>
      <c r="Q740" s="19"/>
      <c r="Y740" s="19"/>
      <c r="AF740" s="19"/>
      <c r="II740" s="42"/>
      <c r="IJ740" s="42"/>
      <c r="IK740" s="42"/>
      <c r="IL740" s="42"/>
      <c r="IM740" s="42"/>
      <c r="IN740" s="42"/>
      <c r="IO740" s="42"/>
      <c r="IP740" s="42"/>
      <c r="IQ740" s="42"/>
      <c r="IR740" s="42"/>
      <c r="IS740" s="42"/>
      <c r="IT740" s="42"/>
      <c r="IU740" s="42"/>
      <c r="IV740" s="42"/>
      <c r="IW740" s="42"/>
      <c r="IX740" s="42"/>
      <c r="IY740" s="42"/>
      <c r="IZ740" s="42"/>
      <c r="JA740" s="42"/>
      <c r="JB740" s="42"/>
      <c r="JC740" s="42"/>
      <c r="JD740" s="42"/>
      <c r="JE740" s="42"/>
      <c r="JF740" s="42"/>
      <c r="JG740" s="42"/>
      <c r="JH740" s="42"/>
      <c r="JI740" s="42"/>
      <c r="JJ740" s="42"/>
      <c r="JK740" s="42"/>
      <c r="JL740" s="42"/>
      <c r="JM740" s="42"/>
      <c r="JN740" s="42"/>
      <c r="JO740" s="42"/>
      <c r="JP740" s="42"/>
      <c r="JQ740" s="42"/>
      <c r="JR740" s="42"/>
      <c r="JS740" s="42"/>
      <c r="JT740" s="42"/>
      <c r="JU740" s="42"/>
      <c r="JV740" s="42"/>
      <c r="JW740" s="42"/>
      <c r="JX740" s="42"/>
      <c r="JY740" s="42"/>
      <c r="JZ740" s="42"/>
      <c r="KA740" s="42"/>
    </row>
    <row r="741" spans="1:287" ht="12.75">
      <c r="A741" s="89"/>
      <c r="B741" s="89"/>
      <c r="J741" s="19"/>
      <c r="Q741" s="19"/>
      <c r="Y741" s="19"/>
      <c r="AF741" s="19"/>
      <c r="II741" s="42"/>
      <c r="IJ741" s="42"/>
      <c r="IK741" s="42"/>
      <c r="IL741" s="42"/>
      <c r="IM741" s="42"/>
      <c r="IN741" s="42"/>
      <c r="IO741" s="42"/>
      <c r="IP741" s="42"/>
      <c r="IQ741" s="42"/>
      <c r="IR741" s="42"/>
      <c r="IS741" s="42"/>
      <c r="IT741" s="42"/>
      <c r="IU741" s="42"/>
      <c r="IV741" s="42"/>
      <c r="IW741" s="42"/>
      <c r="IX741" s="42"/>
      <c r="IY741" s="42"/>
      <c r="IZ741" s="42"/>
      <c r="JA741" s="42"/>
      <c r="JB741" s="42"/>
      <c r="JC741" s="42"/>
      <c r="JD741" s="42"/>
      <c r="JE741" s="42"/>
      <c r="JF741" s="42"/>
      <c r="JG741" s="42"/>
      <c r="JH741" s="42"/>
      <c r="JI741" s="42"/>
      <c r="JJ741" s="42"/>
      <c r="JK741" s="42"/>
      <c r="JL741" s="42"/>
      <c r="JM741" s="42"/>
      <c r="JN741" s="42"/>
      <c r="JO741" s="42"/>
      <c r="JP741" s="42"/>
      <c r="JQ741" s="42"/>
      <c r="JR741" s="42"/>
      <c r="JS741" s="42"/>
      <c r="JT741" s="42"/>
      <c r="JU741" s="42"/>
      <c r="JV741" s="42"/>
      <c r="JW741" s="42"/>
      <c r="JX741" s="42"/>
      <c r="JY741" s="42"/>
      <c r="JZ741" s="42"/>
      <c r="KA741" s="42"/>
    </row>
    <row r="742" spans="1:287" ht="12.75">
      <c r="A742" s="89"/>
      <c r="B742" s="89"/>
      <c r="J742" s="19"/>
      <c r="Q742" s="19"/>
      <c r="Y742" s="19"/>
      <c r="AF742" s="19"/>
      <c r="II742" s="42"/>
      <c r="IJ742" s="42"/>
      <c r="IK742" s="42"/>
      <c r="IL742" s="42"/>
      <c r="IM742" s="42"/>
      <c r="IN742" s="42"/>
      <c r="IO742" s="42"/>
      <c r="IP742" s="42"/>
      <c r="IQ742" s="42"/>
      <c r="IR742" s="42"/>
      <c r="IS742" s="42"/>
      <c r="IT742" s="42"/>
      <c r="IU742" s="42"/>
      <c r="IV742" s="42"/>
      <c r="IW742" s="42"/>
      <c r="IX742" s="42"/>
      <c r="IY742" s="42"/>
      <c r="IZ742" s="42"/>
      <c r="JA742" s="42"/>
      <c r="JB742" s="42"/>
      <c r="JC742" s="42"/>
      <c r="JD742" s="42"/>
      <c r="JE742" s="42"/>
      <c r="JF742" s="42"/>
      <c r="JG742" s="42"/>
      <c r="JH742" s="42"/>
      <c r="JI742" s="42"/>
      <c r="JJ742" s="42"/>
      <c r="JK742" s="42"/>
      <c r="JL742" s="42"/>
      <c r="JM742" s="42"/>
      <c r="JN742" s="42"/>
      <c r="JO742" s="42"/>
      <c r="JP742" s="42"/>
      <c r="JQ742" s="42"/>
      <c r="JR742" s="42"/>
      <c r="JS742" s="42"/>
      <c r="JT742" s="42"/>
      <c r="JU742" s="42"/>
      <c r="JV742" s="42"/>
      <c r="JW742" s="42"/>
      <c r="JX742" s="42"/>
      <c r="JY742" s="42"/>
      <c r="JZ742" s="42"/>
      <c r="KA742" s="42"/>
    </row>
    <row r="743" spans="1:287" ht="12.75">
      <c r="A743" s="89"/>
      <c r="B743" s="89"/>
      <c r="J743" s="19"/>
      <c r="Q743" s="19"/>
      <c r="Y743" s="19"/>
      <c r="AF743" s="19"/>
      <c r="II743" s="42"/>
      <c r="IJ743" s="42"/>
      <c r="IK743" s="42"/>
      <c r="IL743" s="42"/>
      <c r="IM743" s="42"/>
      <c r="IN743" s="42"/>
      <c r="IO743" s="42"/>
      <c r="IP743" s="42"/>
      <c r="IQ743" s="42"/>
      <c r="IR743" s="42"/>
      <c r="IS743" s="42"/>
      <c r="IT743" s="42"/>
      <c r="IU743" s="42"/>
      <c r="IV743" s="42"/>
      <c r="IW743" s="42"/>
      <c r="IX743" s="42"/>
      <c r="IY743" s="42"/>
      <c r="IZ743" s="42"/>
      <c r="JA743" s="42"/>
      <c r="JB743" s="42"/>
      <c r="JC743" s="42"/>
      <c r="JD743" s="42"/>
      <c r="JE743" s="42"/>
      <c r="JF743" s="42"/>
      <c r="JG743" s="42"/>
      <c r="JH743" s="42"/>
      <c r="JI743" s="42"/>
      <c r="JJ743" s="42"/>
      <c r="JK743" s="42"/>
      <c r="JL743" s="42"/>
      <c r="JM743" s="42"/>
      <c r="JN743" s="42"/>
      <c r="JO743" s="42"/>
      <c r="JP743" s="42"/>
      <c r="JQ743" s="42"/>
      <c r="JR743" s="42"/>
      <c r="JS743" s="42"/>
      <c r="JT743" s="42"/>
      <c r="JU743" s="42"/>
      <c r="JV743" s="42"/>
      <c r="JW743" s="42"/>
      <c r="JX743" s="42"/>
      <c r="JY743" s="42"/>
      <c r="JZ743" s="42"/>
      <c r="KA743" s="42"/>
    </row>
    <row r="744" spans="1:287" ht="12.75">
      <c r="A744" s="89"/>
      <c r="B744" s="89"/>
      <c r="J744" s="19"/>
      <c r="Q744" s="19"/>
      <c r="Y744" s="19"/>
      <c r="AF744" s="19"/>
      <c r="II744" s="42"/>
      <c r="IJ744" s="42"/>
      <c r="IK744" s="42"/>
      <c r="IL744" s="42"/>
      <c r="IM744" s="42"/>
      <c r="IN744" s="42"/>
      <c r="IO744" s="42"/>
      <c r="IP744" s="42"/>
      <c r="IQ744" s="42"/>
      <c r="IR744" s="42"/>
      <c r="IS744" s="42"/>
      <c r="IT744" s="42"/>
      <c r="IU744" s="42"/>
      <c r="IV744" s="42"/>
      <c r="IW744" s="42"/>
      <c r="IX744" s="42"/>
      <c r="IY744" s="42"/>
      <c r="IZ744" s="42"/>
      <c r="JA744" s="42"/>
      <c r="JB744" s="42"/>
      <c r="JC744" s="42"/>
      <c r="JD744" s="42"/>
      <c r="JE744" s="42"/>
      <c r="JF744" s="42"/>
      <c r="JG744" s="42"/>
      <c r="JH744" s="42"/>
      <c r="JI744" s="42"/>
      <c r="JJ744" s="42"/>
      <c r="JK744" s="42"/>
      <c r="JL744" s="42"/>
      <c r="JM744" s="42"/>
      <c r="JN744" s="42"/>
      <c r="JO744" s="42"/>
      <c r="JP744" s="42"/>
      <c r="JQ744" s="42"/>
      <c r="JR744" s="42"/>
      <c r="JS744" s="42"/>
      <c r="JT744" s="42"/>
      <c r="JU744" s="42"/>
      <c r="JV744" s="42"/>
      <c r="JW744" s="42"/>
      <c r="JX744" s="42"/>
      <c r="JY744" s="42"/>
      <c r="JZ744" s="42"/>
      <c r="KA744" s="42"/>
    </row>
    <row r="745" spans="1:287" ht="12.75">
      <c r="A745" s="89"/>
      <c r="B745" s="89"/>
      <c r="J745" s="19"/>
      <c r="Q745" s="19"/>
      <c r="Y745" s="19"/>
      <c r="AF745" s="19"/>
      <c r="II745" s="42"/>
      <c r="IJ745" s="42"/>
      <c r="IK745" s="42"/>
      <c r="IL745" s="42"/>
      <c r="IM745" s="42"/>
      <c r="IN745" s="42"/>
      <c r="IO745" s="42"/>
      <c r="IP745" s="42"/>
      <c r="IQ745" s="42"/>
      <c r="IR745" s="42"/>
      <c r="IS745" s="42"/>
      <c r="IT745" s="42"/>
      <c r="IU745" s="42"/>
      <c r="IV745" s="42"/>
      <c r="IW745" s="42"/>
      <c r="IX745" s="42"/>
      <c r="IY745" s="42"/>
      <c r="IZ745" s="42"/>
      <c r="JA745" s="42"/>
      <c r="JB745" s="42"/>
      <c r="JC745" s="42"/>
      <c r="JD745" s="42"/>
      <c r="JE745" s="42"/>
      <c r="JF745" s="42"/>
      <c r="JG745" s="42"/>
      <c r="JH745" s="42"/>
      <c r="JI745" s="42"/>
      <c r="JJ745" s="42"/>
      <c r="JK745" s="42"/>
      <c r="JL745" s="42"/>
      <c r="JM745" s="42"/>
      <c r="JN745" s="42"/>
      <c r="JO745" s="42"/>
      <c r="JP745" s="42"/>
      <c r="JQ745" s="42"/>
      <c r="JR745" s="42"/>
      <c r="JS745" s="42"/>
      <c r="JT745" s="42"/>
      <c r="JU745" s="42"/>
      <c r="JV745" s="42"/>
      <c r="JW745" s="42"/>
      <c r="JX745" s="42"/>
      <c r="JY745" s="42"/>
      <c r="JZ745" s="42"/>
      <c r="KA745" s="42"/>
    </row>
    <row r="746" spans="1:287" ht="12.75">
      <c r="A746" s="89"/>
      <c r="B746" s="89"/>
      <c r="J746" s="19"/>
      <c r="Q746" s="19"/>
      <c r="Y746" s="19"/>
      <c r="AF746" s="19"/>
      <c r="II746" s="42"/>
      <c r="IJ746" s="42"/>
      <c r="IK746" s="42"/>
      <c r="IL746" s="42"/>
      <c r="IM746" s="42"/>
      <c r="IN746" s="42"/>
      <c r="IO746" s="42"/>
      <c r="IP746" s="42"/>
      <c r="IQ746" s="42"/>
      <c r="IR746" s="42"/>
      <c r="IS746" s="42"/>
      <c r="IT746" s="42"/>
      <c r="IU746" s="42"/>
      <c r="IV746" s="42"/>
      <c r="IW746" s="42"/>
      <c r="IX746" s="42"/>
      <c r="IY746" s="42"/>
      <c r="IZ746" s="42"/>
      <c r="JA746" s="42"/>
      <c r="JB746" s="42"/>
      <c r="JC746" s="42"/>
      <c r="JD746" s="42"/>
      <c r="JE746" s="42"/>
      <c r="JF746" s="42"/>
      <c r="JG746" s="42"/>
      <c r="JH746" s="42"/>
      <c r="JI746" s="42"/>
      <c r="JJ746" s="42"/>
      <c r="JK746" s="42"/>
      <c r="JL746" s="42"/>
      <c r="JM746" s="42"/>
      <c r="JN746" s="42"/>
      <c r="JO746" s="42"/>
      <c r="JP746" s="42"/>
      <c r="JQ746" s="42"/>
      <c r="JR746" s="42"/>
      <c r="JS746" s="42"/>
      <c r="JT746" s="42"/>
      <c r="JU746" s="42"/>
      <c r="JV746" s="42"/>
      <c r="JW746" s="42"/>
      <c r="JX746" s="42"/>
      <c r="JY746" s="42"/>
      <c r="JZ746" s="42"/>
      <c r="KA746" s="42"/>
    </row>
    <row r="747" spans="1:287" ht="12.75">
      <c r="A747" s="89"/>
      <c r="B747" s="89"/>
      <c r="J747" s="19"/>
      <c r="Q747" s="19"/>
      <c r="Y747" s="19"/>
      <c r="AF747" s="19"/>
      <c r="II747" s="42"/>
      <c r="IJ747" s="42"/>
      <c r="IK747" s="42"/>
      <c r="IL747" s="42"/>
      <c r="IM747" s="42"/>
      <c r="IN747" s="42"/>
      <c r="IO747" s="42"/>
      <c r="IP747" s="42"/>
      <c r="IQ747" s="42"/>
      <c r="IR747" s="42"/>
      <c r="IS747" s="42"/>
      <c r="IT747" s="42"/>
      <c r="IU747" s="42"/>
      <c r="IV747" s="42"/>
      <c r="IW747" s="42"/>
      <c r="IX747" s="42"/>
      <c r="IY747" s="42"/>
      <c r="IZ747" s="42"/>
      <c r="JA747" s="42"/>
      <c r="JB747" s="42"/>
      <c r="JC747" s="42"/>
      <c r="JD747" s="42"/>
      <c r="JE747" s="42"/>
      <c r="JF747" s="42"/>
      <c r="JG747" s="42"/>
      <c r="JH747" s="42"/>
      <c r="JI747" s="42"/>
      <c r="JJ747" s="42"/>
      <c r="JK747" s="42"/>
      <c r="JL747" s="42"/>
      <c r="JM747" s="42"/>
      <c r="JN747" s="42"/>
      <c r="JO747" s="42"/>
      <c r="JP747" s="42"/>
      <c r="JQ747" s="42"/>
      <c r="JR747" s="42"/>
      <c r="JS747" s="42"/>
      <c r="JT747" s="42"/>
      <c r="JU747" s="42"/>
      <c r="JV747" s="42"/>
      <c r="JW747" s="42"/>
      <c r="JX747" s="42"/>
      <c r="JY747" s="42"/>
      <c r="JZ747" s="42"/>
      <c r="KA747" s="42"/>
    </row>
    <row r="748" spans="1:287" ht="12.75">
      <c r="A748" s="89"/>
      <c r="B748" s="89"/>
      <c r="J748" s="19"/>
      <c r="Q748" s="19"/>
      <c r="Y748" s="19"/>
      <c r="AF748" s="19"/>
      <c r="II748" s="42"/>
      <c r="IJ748" s="42"/>
      <c r="IK748" s="42"/>
      <c r="IL748" s="42"/>
      <c r="IM748" s="42"/>
      <c r="IN748" s="42"/>
      <c r="IO748" s="42"/>
      <c r="IP748" s="42"/>
      <c r="IQ748" s="42"/>
      <c r="IR748" s="42"/>
      <c r="IS748" s="42"/>
      <c r="IT748" s="42"/>
      <c r="IU748" s="42"/>
      <c r="IV748" s="42"/>
      <c r="IW748" s="42"/>
      <c r="IX748" s="42"/>
      <c r="IY748" s="42"/>
      <c r="IZ748" s="42"/>
      <c r="JA748" s="42"/>
      <c r="JB748" s="42"/>
      <c r="JC748" s="42"/>
      <c r="JD748" s="42"/>
      <c r="JE748" s="42"/>
      <c r="JF748" s="42"/>
      <c r="JG748" s="42"/>
      <c r="JH748" s="42"/>
      <c r="JI748" s="42"/>
      <c r="JJ748" s="42"/>
      <c r="JK748" s="42"/>
      <c r="JL748" s="42"/>
      <c r="JM748" s="42"/>
      <c r="JN748" s="42"/>
      <c r="JO748" s="42"/>
      <c r="JP748" s="42"/>
      <c r="JQ748" s="42"/>
      <c r="JR748" s="42"/>
      <c r="JS748" s="42"/>
      <c r="JT748" s="42"/>
      <c r="JU748" s="42"/>
      <c r="JV748" s="42"/>
      <c r="JW748" s="42"/>
      <c r="JX748" s="42"/>
      <c r="JY748" s="42"/>
      <c r="JZ748" s="42"/>
      <c r="KA748" s="42"/>
    </row>
    <row r="749" spans="1:287" ht="12.75">
      <c r="A749" s="89"/>
      <c r="B749" s="89"/>
      <c r="J749" s="19"/>
      <c r="Q749" s="19"/>
      <c r="Y749" s="19"/>
      <c r="AF749" s="19"/>
      <c r="II749" s="42"/>
      <c r="IJ749" s="42"/>
      <c r="IK749" s="42"/>
      <c r="IL749" s="42"/>
      <c r="IM749" s="42"/>
      <c r="IN749" s="42"/>
      <c r="IO749" s="42"/>
      <c r="IP749" s="42"/>
      <c r="IQ749" s="42"/>
      <c r="IR749" s="42"/>
      <c r="IS749" s="42"/>
      <c r="IT749" s="42"/>
      <c r="IU749" s="42"/>
      <c r="IV749" s="42"/>
      <c r="IW749" s="42"/>
      <c r="IX749" s="42"/>
      <c r="IY749" s="42"/>
      <c r="IZ749" s="42"/>
      <c r="JA749" s="42"/>
      <c r="JB749" s="42"/>
      <c r="JC749" s="42"/>
      <c r="JD749" s="42"/>
      <c r="JE749" s="42"/>
      <c r="JF749" s="42"/>
      <c r="JG749" s="42"/>
      <c r="JH749" s="42"/>
      <c r="JI749" s="42"/>
      <c r="JJ749" s="42"/>
      <c r="JK749" s="42"/>
      <c r="JL749" s="42"/>
      <c r="JM749" s="42"/>
      <c r="JN749" s="42"/>
      <c r="JO749" s="42"/>
      <c r="JP749" s="42"/>
      <c r="JQ749" s="42"/>
      <c r="JR749" s="42"/>
      <c r="JS749" s="42"/>
      <c r="JT749" s="42"/>
      <c r="JU749" s="42"/>
      <c r="JV749" s="42"/>
      <c r="JW749" s="42"/>
      <c r="JX749" s="42"/>
      <c r="JY749" s="42"/>
      <c r="JZ749" s="42"/>
      <c r="KA749" s="42"/>
    </row>
    <row r="750" spans="1:287" ht="12.75">
      <c r="A750" s="89"/>
      <c r="B750" s="89"/>
      <c r="J750" s="19"/>
      <c r="Q750" s="19"/>
      <c r="Y750" s="19"/>
      <c r="AF750" s="19"/>
      <c r="II750" s="42"/>
      <c r="IJ750" s="42"/>
      <c r="IK750" s="42"/>
      <c r="IL750" s="42"/>
      <c r="IM750" s="42"/>
      <c r="IN750" s="42"/>
      <c r="IO750" s="42"/>
      <c r="IP750" s="42"/>
      <c r="IQ750" s="42"/>
      <c r="IR750" s="42"/>
      <c r="IS750" s="42"/>
      <c r="IT750" s="42"/>
      <c r="IU750" s="42"/>
      <c r="IV750" s="42"/>
      <c r="IW750" s="42"/>
      <c r="IX750" s="42"/>
      <c r="IY750" s="42"/>
      <c r="IZ750" s="42"/>
      <c r="JA750" s="42"/>
      <c r="JB750" s="42"/>
      <c r="JC750" s="42"/>
      <c r="JD750" s="42"/>
      <c r="JE750" s="42"/>
      <c r="JF750" s="42"/>
      <c r="JG750" s="42"/>
      <c r="JH750" s="42"/>
      <c r="JI750" s="42"/>
      <c r="JJ750" s="42"/>
      <c r="JK750" s="42"/>
      <c r="JL750" s="42"/>
      <c r="JM750" s="42"/>
      <c r="JN750" s="42"/>
      <c r="JO750" s="42"/>
      <c r="JP750" s="42"/>
      <c r="JQ750" s="42"/>
      <c r="JR750" s="42"/>
      <c r="JS750" s="42"/>
      <c r="JT750" s="42"/>
      <c r="JU750" s="42"/>
      <c r="JV750" s="42"/>
      <c r="JW750" s="42"/>
      <c r="JX750" s="42"/>
      <c r="JY750" s="42"/>
      <c r="JZ750" s="42"/>
      <c r="KA750" s="42"/>
    </row>
    <row r="751" spans="1:287" ht="12.75">
      <c r="A751" s="89"/>
      <c r="B751" s="89"/>
      <c r="J751" s="19"/>
      <c r="Q751" s="19"/>
      <c r="Y751" s="19"/>
      <c r="AF751" s="19"/>
      <c r="II751" s="42"/>
      <c r="IJ751" s="42"/>
      <c r="IK751" s="42"/>
      <c r="IL751" s="42"/>
      <c r="IM751" s="42"/>
      <c r="IN751" s="42"/>
      <c r="IO751" s="42"/>
      <c r="IP751" s="42"/>
      <c r="IQ751" s="42"/>
      <c r="IR751" s="42"/>
      <c r="IS751" s="42"/>
      <c r="IT751" s="42"/>
      <c r="IU751" s="42"/>
      <c r="IV751" s="42"/>
      <c r="IW751" s="42"/>
      <c r="IX751" s="42"/>
      <c r="IY751" s="42"/>
      <c r="IZ751" s="42"/>
      <c r="JA751" s="42"/>
      <c r="JB751" s="42"/>
      <c r="JC751" s="42"/>
      <c r="JD751" s="42"/>
      <c r="JE751" s="42"/>
      <c r="JF751" s="42"/>
      <c r="JG751" s="42"/>
      <c r="JH751" s="42"/>
      <c r="JI751" s="42"/>
      <c r="JJ751" s="42"/>
      <c r="JK751" s="42"/>
      <c r="JL751" s="42"/>
      <c r="JM751" s="42"/>
      <c r="JN751" s="42"/>
      <c r="JO751" s="42"/>
      <c r="JP751" s="42"/>
      <c r="JQ751" s="42"/>
      <c r="JR751" s="42"/>
      <c r="JS751" s="42"/>
      <c r="JT751" s="42"/>
      <c r="JU751" s="42"/>
      <c r="JV751" s="42"/>
      <c r="JW751" s="42"/>
      <c r="JX751" s="42"/>
      <c r="JY751" s="42"/>
      <c r="JZ751" s="42"/>
      <c r="KA751" s="42"/>
    </row>
    <row r="752" spans="1:287" ht="12.75">
      <c r="A752" s="89"/>
      <c r="B752" s="89"/>
      <c r="J752" s="19"/>
      <c r="Q752" s="19"/>
      <c r="Y752" s="19"/>
      <c r="AF752" s="19"/>
      <c r="II752" s="42"/>
      <c r="IJ752" s="42"/>
      <c r="IK752" s="42"/>
      <c r="IL752" s="42"/>
      <c r="IM752" s="42"/>
      <c r="IN752" s="42"/>
      <c r="IO752" s="42"/>
      <c r="IP752" s="42"/>
      <c r="IQ752" s="42"/>
      <c r="IR752" s="42"/>
      <c r="IS752" s="42"/>
      <c r="IT752" s="42"/>
      <c r="IU752" s="42"/>
      <c r="IV752" s="42"/>
      <c r="IW752" s="42"/>
      <c r="IX752" s="42"/>
      <c r="IY752" s="42"/>
      <c r="IZ752" s="42"/>
      <c r="JA752" s="42"/>
      <c r="JB752" s="42"/>
      <c r="JC752" s="42"/>
      <c r="JD752" s="42"/>
      <c r="JE752" s="42"/>
      <c r="JF752" s="42"/>
      <c r="JG752" s="42"/>
      <c r="JH752" s="42"/>
      <c r="JI752" s="42"/>
      <c r="JJ752" s="42"/>
      <c r="JK752" s="42"/>
      <c r="JL752" s="42"/>
      <c r="JM752" s="42"/>
      <c r="JN752" s="42"/>
      <c r="JO752" s="42"/>
      <c r="JP752" s="42"/>
      <c r="JQ752" s="42"/>
      <c r="JR752" s="42"/>
      <c r="JS752" s="42"/>
      <c r="JT752" s="42"/>
      <c r="JU752" s="42"/>
      <c r="JV752" s="42"/>
      <c r="JW752" s="42"/>
      <c r="JX752" s="42"/>
      <c r="JY752" s="42"/>
      <c r="JZ752" s="42"/>
      <c r="KA752" s="42"/>
    </row>
    <row r="753" spans="1:287" ht="12.75">
      <c r="A753" s="89"/>
      <c r="B753" s="89"/>
      <c r="J753" s="19"/>
      <c r="Q753" s="19"/>
      <c r="Y753" s="19"/>
      <c r="AF753" s="19"/>
      <c r="II753" s="42"/>
      <c r="IJ753" s="42"/>
      <c r="IK753" s="42"/>
      <c r="IL753" s="42"/>
      <c r="IM753" s="42"/>
      <c r="IN753" s="42"/>
      <c r="IO753" s="42"/>
      <c r="IP753" s="42"/>
      <c r="IQ753" s="42"/>
      <c r="IR753" s="42"/>
      <c r="IS753" s="42"/>
      <c r="IT753" s="42"/>
      <c r="IU753" s="42"/>
      <c r="IV753" s="42"/>
      <c r="IW753" s="42"/>
      <c r="IX753" s="42"/>
      <c r="IY753" s="42"/>
      <c r="IZ753" s="42"/>
      <c r="JA753" s="42"/>
      <c r="JB753" s="42"/>
      <c r="JC753" s="42"/>
      <c r="JD753" s="42"/>
      <c r="JE753" s="42"/>
      <c r="JF753" s="42"/>
      <c r="JG753" s="42"/>
      <c r="JH753" s="42"/>
      <c r="JI753" s="42"/>
      <c r="JJ753" s="42"/>
      <c r="JK753" s="42"/>
      <c r="JL753" s="42"/>
      <c r="JM753" s="42"/>
      <c r="JN753" s="42"/>
      <c r="JO753" s="42"/>
      <c r="JP753" s="42"/>
      <c r="JQ753" s="42"/>
      <c r="JR753" s="42"/>
      <c r="JS753" s="42"/>
      <c r="JT753" s="42"/>
      <c r="JU753" s="42"/>
      <c r="JV753" s="42"/>
      <c r="JW753" s="42"/>
      <c r="JX753" s="42"/>
      <c r="JY753" s="42"/>
      <c r="JZ753" s="42"/>
      <c r="KA753" s="42"/>
    </row>
    <row r="754" spans="1:287" ht="12.75">
      <c r="A754" s="89"/>
      <c r="B754" s="89"/>
      <c r="J754" s="19"/>
      <c r="Q754" s="19"/>
      <c r="Y754" s="19"/>
      <c r="AF754" s="19"/>
      <c r="II754" s="42"/>
      <c r="IJ754" s="42"/>
      <c r="IK754" s="42"/>
      <c r="IL754" s="42"/>
      <c r="IM754" s="42"/>
      <c r="IN754" s="42"/>
      <c r="IO754" s="42"/>
      <c r="IP754" s="42"/>
      <c r="IQ754" s="42"/>
      <c r="IR754" s="42"/>
      <c r="IS754" s="42"/>
      <c r="IT754" s="42"/>
      <c r="IU754" s="42"/>
      <c r="IV754" s="42"/>
      <c r="IW754" s="42"/>
      <c r="IX754" s="42"/>
      <c r="IY754" s="42"/>
      <c r="IZ754" s="42"/>
      <c r="JA754" s="42"/>
      <c r="JB754" s="42"/>
      <c r="JC754" s="42"/>
      <c r="JD754" s="42"/>
      <c r="JE754" s="42"/>
      <c r="JF754" s="42"/>
      <c r="JG754" s="42"/>
      <c r="JH754" s="42"/>
      <c r="JI754" s="42"/>
      <c r="JJ754" s="42"/>
      <c r="JK754" s="42"/>
      <c r="JL754" s="42"/>
      <c r="JM754" s="42"/>
      <c r="JN754" s="42"/>
      <c r="JO754" s="42"/>
      <c r="JP754" s="42"/>
      <c r="JQ754" s="42"/>
      <c r="JR754" s="42"/>
      <c r="JS754" s="42"/>
      <c r="JT754" s="42"/>
      <c r="JU754" s="42"/>
      <c r="JV754" s="42"/>
      <c r="JW754" s="42"/>
      <c r="JX754" s="42"/>
      <c r="JY754" s="42"/>
      <c r="JZ754" s="42"/>
      <c r="KA754" s="42"/>
    </row>
    <row r="755" spans="1:287" ht="12.75">
      <c r="A755" s="89"/>
      <c r="B755" s="89"/>
      <c r="J755" s="19"/>
      <c r="Q755" s="19"/>
      <c r="Y755" s="19"/>
      <c r="AF755" s="19"/>
      <c r="II755" s="42"/>
      <c r="IJ755" s="42"/>
      <c r="IK755" s="42"/>
      <c r="IL755" s="42"/>
      <c r="IM755" s="42"/>
      <c r="IN755" s="42"/>
      <c r="IO755" s="42"/>
      <c r="IP755" s="42"/>
      <c r="IQ755" s="42"/>
      <c r="IR755" s="42"/>
      <c r="IS755" s="42"/>
      <c r="IT755" s="42"/>
      <c r="IU755" s="42"/>
      <c r="IV755" s="42"/>
      <c r="IW755" s="42"/>
      <c r="IX755" s="42"/>
      <c r="IY755" s="42"/>
      <c r="IZ755" s="42"/>
      <c r="JA755" s="42"/>
      <c r="JB755" s="42"/>
      <c r="JC755" s="42"/>
      <c r="JD755" s="42"/>
      <c r="JE755" s="42"/>
      <c r="JF755" s="42"/>
      <c r="JG755" s="42"/>
      <c r="JH755" s="42"/>
      <c r="JI755" s="42"/>
      <c r="JJ755" s="42"/>
      <c r="JK755" s="42"/>
      <c r="JL755" s="42"/>
      <c r="JM755" s="42"/>
      <c r="JN755" s="42"/>
      <c r="JO755" s="42"/>
      <c r="JP755" s="42"/>
      <c r="JQ755" s="42"/>
      <c r="JR755" s="42"/>
      <c r="JS755" s="42"/>
      <c r="JT755" s="42"/>
      <c r="JU755" s="42"/>
      <c r="JV755" s="42"/>
      <c r="JW755" s="42"/>
      <c r="JX755" s="42"/>
      <c r="JY755" s="42"/>
      <c r="JZ755" s="42"/>
      <c r="KA755" s="42"/>
    </row>
    <row r="756" spans="1:287" ht="12.75">
      <c r="A756" s="89"/>
      <c r="B756" s="89"/>
      <c r="J756" s="19"/>
      <c r="Q756" s="19"/>
      <c r="Y756" s="19"/>
      <c r="AF756" s="19"/>
      <c r="II756" s="42"/>
      <c r="IJ756" s="42"/>
      <c r="IK756" s="42"/>
      <c r="IL756" s="42"/>
      <c r="IM756" s="42"/>
      <c r="IN756" s="42"/>
      <c r="IO756" s="42"/>
      <c r="IP756" s="42"/>
      <c r="IQ756" s="42"/>
      <c r="IR756" s="42"/>
      <c r="IS756" s="42"/>
      <c r="IT756" s="42"/>
      <c r="IU756" s="42"/>
      <c r="IV756" s="42"/>
      <c r="IW756" s="42"/>
      <c r="IX756" s="42"/>
      <c r="IY756" s="42"/>
      <c r="IZ756" s="42"/>
      <c r="JA756" s="42"/>
      <c r="JB756" s="42"/>
      <c r="JC756" s="42"/>
      <c r="JD756" s="42"/>
      <c r="JE756" s="42"/>
      <c r="JF756" s="42"/>
      <c r="JG756" s="42"/>
      <c r="JH756" s="42"/>
      <c r="JI756" s="42"/>
      <c r="JJ756" s="42"/>
      <c r="JK756" s="42"/>
      <c r="JL756" s="42"/>
      <c r="JM756" s="42"/>
      <c r="JN756" s="42"/>
      <c r="JO756" s="42"/>
      <c r="JP756" s="42"/>
      <c r="JQ756" s="42"/>
      <c r="JR756" s="42"/>
      <c r="JS756" s="42"/>
      <c r="JT756" s="42"/>
      <c r="JU756" s="42"/>
      <c r="JV756" s="42"/>
      <c r="JW756" s="42"/>
      <c r="JX756" s="42"/>
      <c r="JY756" s="42"/>
      <c r="JZ756" s="42"/>
      <c r="KA756" s="42"/>
    </row>
    <row r="757" spans="1:287" ht="12.75">
      <c r="A757" s="89"/>
      <c r="B757" s="89"/>
      <c r="J757" s="19"/>
      <c r="Q757" s="19"/>
      <c r="Y757" s="19"/>
      <c r="AF757" s="19"/>
      <c r="II757" s="42"/>
      <c r="IJ757" s="42"/>
      <c r="IK757" s="42"/>
      <c r="IL757" s="42"/>
      <c r="IM757" s="42"/>
      <c r="IN757" s="42"/>
      <c r="IO757" s="42"/>
      <c r="IP757" s="42"/>
      <c r="IQ757" s="42"/>
      <c r="IR757" s="42"/>
      <c r="IS757" s="42"/>
      <c r="IT757" s="42"/>
      <c r="IU757" s="42"/>
      <c r="IV757" s="42"/>
      <c r="IW757" s="42"/>
      <c r="IX757" s="42"/>
      <c r="IY757" s="42"/>
      <c r="IZ757" s="42"/>
      <c r="JA757" s="42"/>
      <c r="JB757" s="42"/>
      <c r="JC757" s="42"/>
      <c r="JD757" s="42"/>
      <c r="JE757" s="42"/>
      <c r="JF757" s="42"/>
      <c r="JG757" s="42"/>
      <c r="JH757" s="42"/>
      <c r="JI757" s="42"/>
      <c r="JJ757" s="42"/>
      <c r="JK757" s="42"/>
      <c r="JL757" s="42"/>
      <c r="JM757" s="42"/>
      <c r="JN757" s="42"/>
      <c r="JO757" s="42"/>
      <c r="JP757" s="42"/>
      <c r="JQ757" s="42"/>
      <c r="JR757" s="42"/>
      <c r="JS757" s="42"/>
      <c r="JT757" s="42"/>
      <c r="JU757" s="42"/>
      <c r="JV757" s="42"/>
      <c r="JW757" s="42"/>
      <c r="JX757" s="42"/>
      <c r="JY757" s="42"/>
      <c r="JZ757" s="42"/>
      <c r="KA757" s="42"/>
    </row>
    <row r="758" spans="1:287" ht="12.75">
      <c r="A758" s="89"/>
      <c r="B758" s="89"/>
      <c r="J758" s="19"/>
      <c r="Q758" s="19"/>
      <c r="Y758" s="19"/>
      <c r="AF758" s="19"/>
      <c r="II758" s="42"/>
      <c r="IJ758" s="42"/>
      <c r="IK758" s="42"/>
      <c r="IL758" s="42"/>
      <c r="IM758" s="42"/>
      <c r="IN758" s="42"/>
      <c r="IO758" s="42"/>
      <c r="IP758" s="42"/>
      <c r="IQ758" s="42"/>
      <c r="IR758" s="42"/>
      <c r="IS758" s="42"/>
      <c r="IT758" s="42"/>
      <c r="IU758" s="42"/>
      <c r="IV758" s="42"/>
      <c r="IW758" s="42"/>
      <c r="IX758" s="42"/>
      <c r="IY758" s="42"/>
      <c r="IZ758" s="42"/>
      <c r="JA758" s="42"/>
      <c r="JB758" s="42"/>
      <c r="JC758" s="42"/>
      <c r="JD758" s="42"/>
      <c r="JE758" s="42"/>
      <c r="JF758" s="42"/>
      <c r="JG758" s="42"/>
      <c r="JH758" s="42"/>
      <c r="JI758" s="42"/>
      <c r="JJ758" s="42"/>
      <c r="JK758" s="42"/>
      <c r="JL758" s="42"/>
      <c r="JM758" s="42"/>
      <c r="JN758" s="42"/>
      <c r="JO758" s="42"/>
      <c r="JP758" s="42"/>
      <c r="JQ758" s="42"/>
      <c r="JR758" s="42"/>
      <c r="JS758" s="42"/>
      <c r="JT758" s="42"/>
      <c r="JU758" s="42"/>
      <c r="JV758" s="42"/>
      <c r="JW758" s="42"/>
      <c r="JX758" s="42"/>
      <c r="JY758" s="42"/>
      <c r="JZ758" s="42"/>
      <c r="KA758" s="42"/>
    </row>
    <row r="759" spans="1:287" ht="12.75">
      <c r="A759" s="89"/>
      <c r="B759" s="89"/>
      <c r="J759" s="19"/>
      <c r="Q759" s="19"/>
      <c r="Y759" s="19"/>
      <c r="AF759" s="19"/>
      <c r="II759" s="42"/>
      <c r="IJ759" s="42"/>
      <c r="IK759" s="42"/>
      <c r="IL759" s="42"/>
      <c r="IM759" s="42"/>
      <c r="IN759" s="42"/>
      <c r="IO759" s="42"/>
      <c r="IP759" s="42"/>
      <c r="IQ759" s="42"/>
      <c r="IR759" s="42"/>
      <c r="IS759" s="42"/>
      <c r="IT759" s="42"/>
      <c r="IU759" s="42"/>
      <c r="IV759" s="42"/>
      <c r="IW759" s="42"/>
      <c r="IX759" s="42"/>
      <c r="IY759" s="42"/>
      <c r="IZ759" s="42"/>
      <c r="JA759" s="42"/>
      <c r="JB759" s="42"/>
      <c r="JC759" s="42"/>
      <c r="JD759" s="42"/>
      <c r="JE759" s="42"/>
      <c r="JF759" s="42"/>
      <c r="JG759" s="42"/>
      <c r="JH759" s="42"/>
      <c r="JI759" s="42"/>
      <c r="JJ759" s="42"/>
      <c r="JK759" s="42"/>
      <c r="JL759" s="42"/>
      <c r="JM759" s="42"/>
      <c r="JN759" s="42"/>
      <c r="JO759" s="42"/>
      <c r="JP759" s="42"/>
      <c r="JQ759" s="42"/>
      <c r="JR759" s="42"/>
      <c r="JS759" s="42"/>
      <c r="JT759" s="42"/>
      <c r="JU759" s="42"/>
      <c r="JV759" s="42"/>
      <c r="JW759" s="42"/>
      <c r="JX759" s="42"/>
      <c r="JY759" s="42"/>
      <c r="JZ759" s="42"/>
      <c r="KA759" s="42"/>
    </row>
    <row r="760" spans="1:287" ht="12.75">
      <c r="A760" s="89"/>
      <c r="B760" s="89"/>
      <c r="J760" s="19"/>
      <c r="Q760" s="19"/>
      <c r="Y760" s="19"/>
      <c r="AF760" s="19"/>
      <c r="II760" s="42"/>
      <c r="IJ760" s="42"/>
      <c r="IK760" s="42"/>
      <c r="IL760" s="42"/>
      <c r="IM760" s="42"/>
      <c r="IN760" s="42"/>
      <c r="IO760" s="42"/>
      <c r="IP760" s="42"/>
      <c r="IQ760" s="42"/>
      <c r="IR760" s="42"/>
      <c r="IS760" s="42"/>
      <c r="IT760" s="42"/>
      <c r="IU760" s="42"/>
      <c r="IV760" s="42"/>
      <c r="IW760" s="42"/>
      <c r="IX760" s="42"/>
      <c r="IY760" s="42"/>
      <c r="IZ760" s="42"/>
      <c r="JA760" s="42"/>
      <c r="JB760" s="42"/>
      <c r="JC760" s="42"/>
      <c r="JD760" s="42"/>
      <c r="JE760" s="42"/>
      <c r="JF760" s="42"/>
      <c r="JG760" s="42"/>
      <c r="JH760" s="42"/>
      <c r="JI760" s="42"/>
      <c r="JJ760" s="42"/>
      <c r="JK760" s="42"/>
      <c r="JL760" s="42"/>
      <c r="JM760" s="42"/>
      <c r="JN760" s="42"/>
      <c r="JO760" s="42"/>
      <c r="JP760" s="42"/>
      <c r="JQ760" s="42"/>
      <c r="JR760" s="42"/>
      <c r="JS760" s="42"/>
      <c r="JT760" s="42"/>
      <c r="JU760" s="42"/>
      <c r="JV760" s="42"/>
      <c r="JW760" s="42"/>
      <c r="JX760" s="42"/>
      <c r="JY760" s="42"/>
      <c r="JZ760" s="42"/>
      <c r="KA760" s="42"/>
    </row>
    <row r="761" spans="1:287" ht="12.75">
      <c r="A761" s="89"/>
      <c r="B761" s="89"/>
      <c r="J761" s="19"/>
      <c r="Q761" s="19"/>
      <c r="Y761" s="19"/>
      <c r="AF761" s="19"/>
      <c r="II761" s="42"/>
      <c r="IJ761" s="42"/>
      <c r="IK761" s="42"/>
      <c r="IL761" s="42"/>
      <c r="IM761" s="42"/>
      <c r="IN761" s="42"/>
      <c r="IO761" s="42"/>
      <c r="IP761" s="42"/>
      <c r="IQ761" s="42"/>
      <c r="IR761" s="42"/>
      <c r="IS761" s="42"/>
      <c r="IT761" s="42"/>
      <c r="IU761" s="42"/>
      <c r="IV761" s="42"/>
      <c r="IW761" s="42"/>
      <c r="IX761" s="42"/>
      <c r="IY761" s="42"/>
      <c r="IZ761" s="42"/>
      <c r="JA761" s="42"/>
      <c r="JB761" s="42"/>
      <c r="JC761" s="42"/>
      <c r="JD761" s="42"/>
      <c r="JE761" s="42"/>
      <c r="JF761" s="42"/>
      <c r="JG761" s="42"/>
      <c r="JH761" s="42"/>
      <c r="JI761" s="42"/>
      <c r="JJ761" s="42"/>
      <c r="JK761" s="42"/>
      <c r="JL761" s="42"/>
      <c r="JM761" s="42"/>
      <c r="JN761" s="42"/>
      <c r="JO761" s="42"/>
      <c r="JP761" s="42"/>
      <c r="JQ761" s="42"/>
      <c r="JR761" s="42"/>
      <c r="JS761" s="42"/>
      <c r="JT761" s="42"/>
      <c r="JU761" s="42"/>
      <c r="JV761" s="42"/>
      <c r="JW761" s="42"/>
      <c r="JX761" s="42"/>
      <c r="JY761" s="42"/>
      <c r="JZ761" s="42"/>
      <c r="KA761" s="42"/>
    </row>
    <row r="762" spans="1:287" ht="12.75">
      <c r="A762" s="89"/>
      <c r="B762" s="89"/>
      <c r="J762" s="19"/>
      <c r="Q762" s="19"/>
      <c r="Y762" s="19"/>
      <c r="AF762" s="19"/>
      <c r="II762" s="42"/>
      <c r="IJ762" s="42"/>
      <c r="IK762" s="42"/>
      <c r="IL762" s="42"/>
      <c r="IM762" s="42"/>
      <c r="IN762" s="42"/>
      <c r="IO762" s="42"/>
      <c r="IP762" s="42"/>
      <c r="IQ762" s="42"/>
      <c r="IR762" s="42"/>
      <c r="IS762" s="42"/>
      <c r="IT762" s="42"/>
      <c r="IU762" s="42"/>
      <c r="IV762" s="42"/>
      <c r="IW762" s="42"/>
      <c r="IX762" s="42"/>
      <c r="IY762" s="42"/>
      <c r="IZ762" s="42"/>
      <c r="JA762" s="42"/>
      <c r="JB762" s="42"/>
      <c r="JC762" s="42"/>
      <c r="JD762" s="42"/>
      <c r="JE762" s="42"/>
      <c r="JF762" s="42"/>
      <c r="JG762" s="42"/>
      <c r="JH762" s="42"/>
      <c r="JI762" s="42"/>
      <c r="JJ762" s="42"/>
      <c r="JK762" s="42"/>
      <c r="JL762" s="42"/>
      <c r="JM762" s="42"/>
      <c r="JN762" s="42"/>
      <c r="JO762" s="42"/>
      <c r="JP762" s="42"/>
      <c r="JQ762" s="42"/>
      <c r="JR762" s="42"/>
      <c r="JS762" s="42"/>
      <c r="JT762" s="42"/>
      <c r="JU762" s="42"/>
      <c r="JV762" s="42"/>
      <c r="JW762" s="42"/>
      <c r="JX762" s="42"/>
      <c r="JY762" s="42"/>
      <c r="JZ762" s="42"/>
      <c r="KA762" s="42"/>
    </row>
    <row r="763" spans="1:287" ht="12.75">
      <c r="A763" s="89"/>
      <c r="B763" s="89"/>
      <c r="J763" s="19"/>
      <c r="Q763" s="19"/>
      <c r="Y763" s="19"/>
      <c r="AF763" s="19"/>
      <c r="II763" s="42"/>
      <c r="IJ763" s="42"/>
      <c r="IK763" s="42"/>
      <c r="IL763" s="42"/>
      <c r="IM763" s="42"/>
      <c r="IN763" s="42"/>
      <c r="IO763" s="42"/>
      <c r="IP763" s="42"/>
      <c r="IQ763" s="42"/>
      <c r="IR763" s="42"/>
      <c r="IS763" s="42"/>
      <c r="IT763" s="42"/>
      <c r="IU763" s="42"/>
      <c r="IV763" s="42"/>
      <c r="IW763" s="42"/>
      <c r="IX763" s="42"/>
      <c r="IY763" s="42"/>
      <c r="IZ763" s="42"/>
      <c r="JA763" s="42"/>
      <c r="JB763" s="42"/>
      <c r="JC763" s="42"/>
      <c r="JD763" s="42"/>
      <c r="JE763" s="42"/>
      <c r="JF763" s="42"/>
      <c r="JG763" s="42"/>
      <c r="JH763" s="42"/>
      <c r="JI763" s="42"/>
      <c r="JJ763" s="42"/>
      <c r="JK763" s="42"/>
      <c r="JL763" s="42"/>
      <c r="JM763" s="42"/>
      <c r="JN763" s="42"/>
      <c r="JO763" s="42"/>
      <c r="JP763" s="42"/>
      <c r="JQ763" s="42"/>
      <c r="JR763" s="42"/>
      <c r="JS763" s="42"/>
      <c r="JT763" s="42"/>
      <c r="JU763" s="42"/>
      <c r="JV763" s="42"/>
      <c r="JW763" s="42"/>
      <c r="JX763" s="42"/>
      <c r="JY763" s="42"/>
      <c r="JZ763" s="42"/>
      <c r="KA763" s="42"/>
    </row>
    <row r="764" spans="1:287" ht="12.75">
      <c r="A764" s="89"/>
      <c r="B764" s="89"/>
      <c r="J764" s="19"/>
      <c r="Q764" s="19"/>
      <c r="Y764" s="19"/>
      <c r="AF764" s="19"/>
      <c r="II764" s="42"/>
      <c r="IJ764" s="42"/>
      <c r="IK764" s="42"/>
      <c r="IL764" s="42"/>
      <c r="IM764" s="42"/>
      <c r="IN764" s="42"/>
      <c r="IO764" s="42"/>
      <c r="IP764" s="42"/>
      <c r="IQ764" s="42"/>
      <c r="IR764" s="42"/>
      <c r="IS764" s="42"/>
      <c r="IT764" s="42"/>
      <c r="IU764" s="42"/>
      <c r="IV764" s="42"/>
      <c r="IW764" s="42"/>
      <c r="IX764" s="42"/>
      <c r="IY764" s="42"/>
      <c r="IZ764" s="42"/>
      <c r="JA764" s="42"/>
      <c r="JB764" s="42"/>
      <c r="JC764" s="42"/>
      <c r="JD764" s="42"/>
      <c r="JE764" s="42"/>
      <c r="JF764" s="42"/>
      <c r="JG764" s="42"/>
      <c r="JH764" s="42"/>
      <c r="JI764" s="42"/>
      <c r="JJ764" s="42"/>
      <c r="JK764" s="42"/>
      <c r="JL764" s="42"/>
      <c r="JM764" s="42"/>
      <c r="JN764" s="42"/>
      <c r="JO764" s="42"/>
      <c r="JP764" s="42"/>
      <c r="JQ764" s="42"/>
      <c r="JR764" s="42"/>
      <c r="JS764" s="42"/>
      <c r="JT764" s="42"/>
      <c r="JU764" s="42"/>
      <c r="JV764" s="42"/>
      <c r="JW764" s="42"/>
      <c r="JX764" s="42"/>
      <c r="JY764" s="42"/>
      <c r="JZ764" s="42"/>
      <c r="KA764" s="42"/>
    </row>
    <row r="765" spans="1:287" ht="12.75">
      <c r="A765" s="89"/>
      <c r="B765" s="89"/>
      <c r="J765" s="19"/>
      <c r="Q765" s="19"/>
      <c r="Y765" s="19"/>
      <c r="AF765" s="19"/>
      <c r="II765" s="42"/>
      <c r="IJ765" s="42"/>
      <c r="IK765" s="42"/>
      <c r="IL765" s="42"/>
      <c r="IM765" s="42"/>
      <c r="IN765" s="42"/>
      <c r="IO765" s="42"/>
      <c r="IP765" s="42"/>
      <c r="IQ765" s="42"/>
      <c r="IR765" s="42"/>
      <c r="IS765" s="42"/>
      <c r="IT765" s="42"/>
      <c r="IU765" s="42"/>
      <c r="IV765" s="42"/>
      <c r="IW765" s="42"/>
      <c r="IX765" s="42"/>
      <c r="IY765" s="42"/>
      <c r="IZ765" s="42"/>
      <c r="JA765" s="42"/>
      <c r="JB765" s="42"/>
      <c r="JC765" s="42"/>
      <c r="JD765" s="42"/>
      <c r="JE765" s="42"/>
      <c r="JF765" s="42"/>
      <c r="JG765" s="42"/>
      <c r="JH765" s="42"/>
      <c r="JI765" s="42"/>
      <c r="JJ765" s="42"/>
      <c r="JK765" s="42"/>
      <c r="JL765" s="42"/>
      <c r="JM765" s="42"/>
      <c r="JN765" s="42"/>
      <c r="JO765" s="42"/>
      <c r="JP765" s="42"/>
      <c r="JQ765" s="42"/>
      <c r="JR765" s="42"/>
      <c r="JS765" s="42"/>
      <c r="JT765" s="42"/>
      <c r="JU765" s="42"/>
      <c r="JV765" s="42"/>
      <c r="JW765" s="42"/>
      <c r="JX765" s="42"/>
      <c r="JY765" s="42"/>
      <c r="JZ765" s="42"/>
      <c r="KA765" s="42"/>
    </row>
    <row r="766" spans="1:287" ht="12.75">
      <c r="A766" s="89"/>
      <c r="B766" s="89"/>
      <c r="J766" s="19"/>
      <c r="Q766" s="19"/>
      <c r="Y766" s="19"/>
      <c r="AF766" s="19"/>
      <c r="II766" s="42"/>
      <c r="IJ766" s="42"/>
      <c r="IK766" s="42"/>
      <c r="IL766" s="42"/>
      <c r="IM766" s="42"/>
      <c r="IN766" s="42"/>
      <c r="IO766" s="42"/>
      <c r="IP766" s="42"/>
      <c r="IQ766" s="42"/>
      <c r="IR766" s="42"/>
      <c r="IS766" s="42"/>
      <c r="IT766" s="42"/>
      <c r="IU766" s="42"/>
      <c r="IV766" s="42"/>
      <c r="IW766" s="42"/>
      <c r="IX766" s="42"/>
      <c r="IY766" s="42"/>
      <c r="IZ766" s="42"/>
      <c r="JA766" s="42"/>
      <c r="JB766" s="42"/>
      <c r="JC766" s="42"/>
      <c r="JD766" s="42"/>
      <c r="JE766" s="42"/>
      <c r="JF766" s="42"/>
      <c r="JG766" s="42"/>
      <c r="JH766" s="42"/>
      <c r="JI766" s="42"/>
      <c r="JJ766" s="42"/>
      <c r="JK766" s="42"/>
      <c r="JL766" s="42"/>
      <c r="JM766" s="42"/>
      <c r="JN766" s="42"/>
      <c r="JO766" s="42"/>
      <c r="JP766" s="42"/>
      <c r="JQ766" s="42"/>
      <c r="JR766" s="42"/>
      <c r="JS766" s="42"/>
      <c r="JT766" s="42"/>
      <c r="JU766" s="42"/>
      <c r="JV766" s="42"/>
      <c r="JW766" s="42"/>
      <c r="JX766" s="42"/>
      <c r="JY766" s="42"/>
      <c r="JZ766" s="42"/>
      <c r="KA766" s="42"/>
    </row>
    <row r="767" spans="1:287" ht="12.75">
      <c r="A767" s="89"/>
      <c r="B767" s="89"/>
      <c r="J767" s="19"/>
      <c r="Q767" s="19"/>
      <c r="Y767" s="19"/>
      <c r="AF767" s="19"/>
      <c r="II767" s="42"/>
      <c r="IJ767" s="42"/>
      <c r="IK767" s="42"/>
      <c r="IL767" s="42"/>
      <c r="IM767" s="42"/>
      <c r="IN767" s="42"/>
      <c r="IO767" s="42"/>
      <c r="IP767" s="42"/>
      <c r="IQ767" s="42"/>
      <c r="IR767" s="42"/>
      <c r="IS767" s="42"/>
      <c r="IT767" s="42"/>
      <c r="IU767" s="42"/>
      <c r="IV767" s="42"/>
      <c r="IW767" s="42"/>
      <c r="IX767" s="42"/>
      <c r="IY767" s="42"/>
      <c r="IZ767" s="42"/>
      <c r="JA767" s="42"/>
      <c r="JB767" s="42"/>
      <c r="JC767" s="42"/>
      <c r="JD767" s="42"/>
      <c r="JE767" s="42"/>
      <c r="JF767" s="42"/>
      <c r="JG767" s="42"/>
      <c r="JH767" s="42"/>
      <c r="JI767" s="42"/>
      <c r="JJ767" s="42"/>
      <c r="JK767" s="42"/>
      <c r="JL767" s="42"/>
      <c r="JM767" s="42"/>
      <c r="JN767" s="42"/>
      <c r="JO767" s="42"/>
      <c r="JP767" s="42"/>
      <c r="JQ767" s="42"/>
      <c r="JR767" s="42"/>
      <c r="JS767" s="42"/>
      <c r="JT767" s="42"/>
      <c r="JU767" s="42"/>
      <c r="JV767" s="42"/>
      <c r="JW767" s="42"/>
      <c r="JX767" s="42"/>
      <c r="JY767" s="42"/>
      <c r="JZ767" s="42"/>
      <c r="KA767" s="42"/>
    </row>
    <row r="768" spans="1:287" ht="12.75">
      <c r="A768" s="89"/>
      <c r="B768" s="89"/>
      <c r="J768" s="19"/>
      <c r="Q768" s="19"/>
      <c r="Y768" s="19"/>
      <c r="AF768" s="19"/>
      <c r="II768" s="42"/>
      <c r="IJ768" s="42"/>
      <c r="IK768" s="42"/>
      <c r="IL768" s="42"/>
      <c r="IM768" s="42"/>
      <c r="IN768" s="42"/>
      <c r="IO768" s="42"/>
      <c r="IP768" s="42"/>
      <c r="IQ768" s="42"/>
      <c r="IR768" s="42"/>
      <c r="IS768" s="42"/>
      <c r="IT768" s="42"/>
      <c r="IU768" s="42"/>
      <c r="IV768" s="42"/>
      <c r="IW768" s="42"/>
      <c r="IX768" s="42"/>
      <c r="IY768" s="42"/>
      <c r="IZ768" s="42"/>
      <c r="JA768" s="42"/>
      <c r="JB768" s="42"/>
      <c r="JC768" s="42"/>
      <c r="JD768" s="42"/>
      <c r="JE768" s="42"/>
      <c r="JF768" s="42"/>
      <c r="JG768" s="42"/>
      <c r="JH768" s="42"/>
      <c r="JI768" s="42"/>
      <c r="JJ768" s="42"/>
      <c r="JK768" s="42"/>
      <c r="JL768" s="42"/>
      <c r="JM768" s="42"/>
      <c r="JN768" s="42"/>
      <c r="JO768" s="42"/>
      <c r="JP768" s="42"/>
      <c r="JQ768" s="42"/>
      <c r="JR768" s="42"/>
      <c r="JS768" s="42"/>
      <c r="JT768" s="42"/>
      <c r="JU768" s="42"/>
      <c r="JV768" s="42"/>
      <c r="JW768" s="42"/>
      <c r="JX768" s="42"/>
      <c r="JY768" s="42"/>
      <c r="JZ768" s="42"/>
      <c r="KA768" s="42"/>
    </row>
    <row r="769" spans="1:287" ht="12.75">
      <c r="A769" s="89"/>
      <c r="B769" s="89"/>
      <c r="J769" s="19"/>
      <c r="Q769" s="19"/>
      <c r="Y769" s="19"/>
      <c r="AF769" s="19"/>
      <c r="II769" s="42"/>
      <c r="IJ769" s="42"/>
      <c r="IK769" s="42"/>
      <c r="IL769" s="42"/>
      <c r="IM769" s="42"/>
      <c r="IN769" s="42"/>
      <c r="IO769" s="42"/>
      <c r="IP769" s="42"/>
      <c r="IQ769" s="42"/>
      <c r="IR769" s="42"/>
      <c r="IS769" s="42"/>
      <c r="IT769" s="42"/>
      <c r="IU769" s="42"/>
      <c r="IV769" s="42"/>
      <c r="IW769" s="42"/>
      <c r="IX769" s="42"/>
      <c r="IY769" s="42"/>
      <c r="IZ769" s="42"/>
      <c r="JA769" s="42"/>
      <c r="JB769" s="42"/>
      <c r="JC769" s="42"/>
      <c r="JD769" s="42"/>
      <c r="JE769" s="42"/>
      <c r="JF769" s="42"/>
      <c r="JG769" s="42"/>
      <c r="JH769" s="42"/>
      <c r="JI769" s="42"/>
      <c r="JJ769" s="42"/>
      <c r="JK769" s="42"/>
      <c r="JL769" s="42"/>
      <c r="JM769" s="42"/>
      <c r="JN769" s="42"/>
      <c r="JO769" s="42"/>
      <c r="JP769" s="42"/>
      <c r="JQ769" s="42"/>
      <c r="JR769" s="42"/>
      <c r="JS769" s="42"/>
      <c r="JT769" s="42"/>
      <c r="JU769" s="42"/>
      <c r="JV769" s="42"/>
      <c r="JW769" s="42"/>
      <c r="JX769" s="42"/>
      <c r="JY769" s="42"/>
      <c r="JZ769" s="42"/>
      <c r="KA769" s="42"/>
    </row>
    <row r="770" spans="1:287" ht="12.75">
      <c r="A770" s="89"/>
      <c r="B770" s="89"/>
      <c r="J770" s="19"/>
      <c r="Q770" s="19"/>
      <c r="Y770" s="19"/>
      <c r="AF770" s="19"/>
      <c r="II770" s="42"/>
      <c r="IJ770" s="42"/>
      <c r="IK770" s="42"/>
      <c r="IL770" s="42"/>
      <c r="IM770" s="42"/>
      <c r="IN770" s="42"/>
      <c r="IO770" s="42"/>
      <c r="IP770" s="42"/>
      <c r="IQ770" s="42"/>
      <c r="IR770" s="42"/>
      <c r="IS770" s="42"/>
      <c r="IT770" s="42"/>
      <c r="IU770" s="42"/>
      <c r="IV770" s="42"/>
      <c r="IW770" s="42"/>
      <c r="IX770" s="42"/>
      <c r="IY770" s="42"/>
      <c r="IZ770" s="42"/>
      <c r="JA770" s="42"/>
      <c r="JB770" s="42"/>
      <c r="JC770" s="42"/>
      <c r="JD770" s="42"/>
      <c r="JE770" s="42"/>
      <c r="JF770" s="42"/>
      <c r="JG770" s="42"/>
      <c r="JH770" s="42"/>
      <c r="JI770" s="42"/>
      <c r="JJ770" s="42"/>
      <c r="JK770" s="42"/>
      <c r="JL770" s="42"/>
      <c r="JM770" s="42"/>
      <c r="JN770" s="42"/>
      <c r="JO770" s="42"/>
      <c r="JP770" s="42"/>
      <c r="JQ770" s="42"/>
      <c r="JR770" s="42"/>
      <c r="JS770" s="42"/>
      <c r="JT770" s="42"/>
      <c r="JU770" s="42"/>
      <c r="JV770" s="42"/>
      <c r="JW770" s="42"/>
      <c r="JX770" s="42"/>
      <c r="JY770" s="42"/>
      <c r="JZ770" s="42"/>
      <c r="KA770" s="42"/>
    </row>
    <row r="771" spans="1:287" ht="12.75">
      <c r="A771" s="89"/>
      <c r="B771" s="89"/>
      <c r="J771" s="19"/>
      <c r="Q771" s="19"/>
      <c r="Y771" s="19"/>
      <c r="AF771" s="19"/>
      <c r="II771" s="42"/>
      <c r="IJ771" s="42"/>
      <c r="IK771" s="42"/>
      <c r="IL771" s="42"/>
      <c r="IM771" s="42"/>
      <c r="IN771" s="42"/>
      <c r="IO771" s="42"/>
      <c r="IP771" s="42"/>
      <c r="IQ771" s="42"/>
      <c r="IR771" s="42"/>
      <c r="IS771" s="42"/>
      <c r="IT771" s="42"/>
      <c r="IU771" s="42"/>
      <c r="IV771" s="42"/>
      <c r="IW771" s="42"/>
      <c r="IX771" s="42"/>
      <c r="IY771" s="42"/>
      <c r="IZ771" s="42"/>
      <c r="JA771" s="42"/>
      <c r="JB771" s="42"/>
      <c r="JC771" s="42"/>
      <c r="JD771" s="42"/>
      <c r="JE771" s="42"/>
      <c r="JF771" s="42"/>
      <c r="JG771" s="42"/>
      <c r="JH771" s="42"/>
      <c r="JI771" s="42"/>
      <c r="JJ771" s="42"/>
      <c r="JK771" s="42"/>
      <c r="JL771" s="42"/>
      <c r="JM771" s="42"/>
      <c r="JN771" s="42"/>
      <c r="JO771" s="42"/>
      <c r="JP771" s="42"/>
      <c r="JQ771" s="42"/>
      <c r="JR771" s="42"/>
      <c r="JS771" s="42"/>
      <c r="JT771" s="42"/>
      <c r="JU771" s="42"/>
      <c r="JV771" s="42"/>
      <c r="JW771" s="42"/>
      <c r="JX771" s="42"/>
      <c r="JY771" s="42"/>
      <c r="JZ771" s="42"/>
      <c r="KA771" s="42"/>
    </row>
    <row r="772" spans="1:287" ht="12.75">
      <c r="A772" s="89"/>
      <c r="B772" s="89"/>
      <c r="J772" s="19"/>
      <c r="Q772" s="19"/>
      <c r="Y772" s="19"/>
      <c r="AF772" s="19"/>
      <c r="II772" s="42"/>
      <c r="IJ772" s="42"/>
      <c r="IK772" s="42"/>
      <c r="IL772" s="42"/>
      <c r="IM772" s="42"/>
      <c r="IN772" s="42"/>
      <c r="IO772" s="42"/>
      <c r="IP772" s="42"/>
      <c r="IQ772" s="42"/>
      <c r="IR772" s="42"/>
      <c r="IS772" s="42"/>
      <c r="IT772" s="42"/>
      <c r="IU772" s="42"/>
      <c r="IV772" s="42"/>
      <c r="IW772" s="42"/>
      <c r="IX772" s="42"/>
      <c r="IY772" s="42"/>
      <c r="IZ772" s="42"/>
      <c r="JA772" s="42"/>
      <c r="JB772" s="42"/>
      <c r="JC772" s="42"/>
      <c r="JD772" s="42"/>
      <c r="JE772" s="42"/>
      <c r="JF772" s="42"/>
      <c r="JG772" s="42"/>
      <c r="JH772" s="42"/>
      <c r="JI772" s="42"/>
      <c r="JJ772" s="42"/>
      <c r="JK772" s="42"/>
      <c r="JL772" s="42"/>
      <c r="JM772" s="42"/>
      <c r="JN772" s="42"/>
      <c r="JO772" s="42"/>
      <c r="JP772" s="42"/>
      <c r="JQ772" s="42"/>
      <c r="JR772" s="42"/>
      <c r="JS772" s="42"/>
      <c r="JT772" s="42"/>
      <c r="JU772" s="42"/>
      <c r="JV772" s="42"/>
      <c r="JW772" s="42"/>
      <c r="JX772" s="42"/>
      <c r="JY772" s="42"/>
      <c r="JZ772" s="42"/>
      <c r="KA772" s="42"/>
    </row>
    <row r="773" spans="1:287" ht="12.75">
      <c r="A773" s="89"/>
      <c r="B773" s="89"/>
      <c r="J773" s="19"/>
      <c r="Q773" s="19"/>
      <c r="Y773" s="19"/>
      <c r="AF773" s="19"/>
      <c r="II773" s="42"/>
      <c r="IJ773" s="42"/>
      <c r="IK773" s="42"/>
      <c r="IL773" s="42"/>
      <c r="IM773" s="42"/>
      <c r="IN773" s="42"/>
      <c r="IO773" s="42"/>
      <c r="IP773" s="42"/>
      <c r="IQ773" s="42"/>
      <c r="IR773" s="42"/>
      <c r="IS773" s="42"/>
      <c r="IT773" s="42"/>
      <c r="IU773" s="42"/>
      <c r="IV773" s="42"/>
      <c r="IW773" s="42"/>
      <c r="IX773" s="42"/>
      <c r="IY773" s="42"/>
      <c r="IZ773" s="42"/>
      <c r="JA773" s="42"/>
      <c r="JB773" s="42"/>
      <c r="JC773" s="42"/>
      <c r="JD773" s="42"/>
      <c r="JE773" s="42"/>
      <c r="JF773" s="42"/>
      <c r="JG773" s="42"/>
      <c r="JH773" s="42"/>
      <c r="JI773" s="42"/>
      <c r="JJ773" s="42"/>
      <c r="JK773" s="42"/>
      <c r="JL773" s="42"/>
      <c r="JM773" s="42"/>
      <c r="JN773" s="42"/>
      <c r="JO773" s="42"/>
      <c r="JP773" s="42"/>
      <c r="JQ773" s="42"/>
      <c r="JR773" s="42"/>
      <c r="JS773" s="42"/>
      <c r="JT773" s="42"/>
      <c r="JU773" s="42"/>
      <c r="JV773" s="42"/>
      <c r="JW773" s="42"/>
      <c r="JX773" s="42"/>
      <c r="JY773" s="42"/>
      <c r="JZ773" s="42"/>
      <c r="KA773" s="42"/>
    </row>
    <row r="774" spans="1:287" ht="12.75">
      <c r="A774" s="89"/>
      <c r="B774" s="89"/>
      <c r="J774" s="19"/>
      <c r="Q774" s="19"/>
      <c r="Y774" s="19"/>
      <c r="AF774" s="19"/>
      <c r="II774" s="42"/>
      <c r="IJ774" s="42"/>
      <c r="IK774" s="42"/>
      <c r="IL774" s="42"/>
      <c r="IM774" s="42"/>
      <c r="IN774" s="42"/>
      <c r="IO774" s="42"/>
      <c r="IP774" s="42"/>
      <c r="IQ774" s="42"/>
      <c r="IR774" s="42"/>
      <c r="IS774" s="42"/>
      <c r="IT774" s="42"/>
      <c r="IU774" s="42"/>
      <c r="IV774" s="42"/>
      <c r="IW774" s="42"/>
      <c r="IX774" s="42"/>
      <c r="IY774" s="42"/>
      <c r="IZ774" s="42"/>
      <c r="JA774" s="42"/>
      <c r="JB774" s="42"/>
      <c r="JC774" s="42"/>
      <c r="JD774" s="42"/>
      <c r="JE774" s="42"/>
      <c r="JF774" s="42"/>
      <c r="JG774" s="42"/>
      <c r="JH774" s="42"/>
      <c r="JI774" s="42"/>
      <c r="JJ774" s="42"/>
      <c r="JK774" s="42"/>
      <c r="JL774" s="42"/>
      <c r="JM774" s="42"/>
      <c r="JN774" s="42"/>
      <c r="JO774" s="42"/>
      <c r="JP774" s="42"/>
      <c r="JQ774" s="42"/>
      <c r="JR774" s="42"/>
      <c r="JS774" s="42"/>
      <c r="JT774" s="42"/>
      <c r="JU774" s="42"/>
      <c r="JV774" s="42"/>
      <c r="JW774" s="42"/>
      <c r="JX774" s="42"/>
      <c r="JY774" s="42"/>
      <c r="JZ774" s="42"/>
      <c r="KA774" s="42"/>
    </row>
    <row r="775" spans="1:287" ht="12.75">
      <c r="A775" s="89"/>
      <c r="B775" s="89"/>
      <c r="J775" s="19"/>
      <c r="Q775" s="19"/>
      <c r="Y775" s="19"/>
      <c r="AF775" s="19"/>
      <c r="II775" s="42"/>
      <c r="IJ775" s="42"/>
      <c r="IK775" s="42"/>
      <c r="IL775" s="42"/>
      <c r="IM775" s="42"/>
      <c r="IN775" s="42"/>
      <c r="IO775" s="42"/>
      <c r="IP775" s="42"/>
      <c r="IQ775" s="42"/>
      <c r="IR775" s="42"/>
      <c r="IS775" s="42"/>
      <c r="IT775" s="42"/>
      <c r="IU775" s="42"/>
      <c r="IV775" s="42"/>
      <c r="IW775" s="42"/>
      <c r="IX775" s="42"/>
      <c r="IY775" s="42"/>
      <c r="IZ775" s="42"/>
      <c r="JA775" s="42"/>
      <c r="JB775" s="42"/>
      <c r="JC775" s="42"/>
      <c r="JD775" s="42"/>
      <c r="JE775" s="42"/>
      <c r="JF775" s="42"/>
      <c r="JG775" s="42"/>
      <c r="JH775" s="42"/>
      <c r="JI775" s="42"/>
      <c r="JJ775" s="42"/>
      <c r="JK775" s="42"/>
      <c r="JL775" s="42"/>
      <c r="JM775" s="42"/>
      <c r="JN775" s="42"/>
      <c r="JO775" s="42"/>
      <c r="JP775" s="42"/>
      <c r="JQ775" s="42"/>
      <c r="JR775" s="42"/>
      <c r="JS775" s="42"/>
      <c r="JT775" s="42"/>
      <c r="JU775" s="42"/>
      <c r="JV775" s="42"/>
      <c r="JW775" s="42"/>
      <c r="JX775" s="42"/>
      <c r="JY775" s="42"/>
      <c r="JZ775" s="42"/>
      <c r="KA775" s="42"/>
    </row>
    <row r="776" spans="1:287" ht="12.75">
      <c r="A776" s="89"/>
      <c r="B776" s="89"/>
      <c r="J776" s="19"/>
      <c r="Q776" s="19"/>
      <c r="Y776" s="19"/>
      <c r="AF776" s="19"/>
      <c r="II776" s="42"/>
      <c r="IJ776" s="42"/>
      <c r="IK776" s="42"/>
      <c r="IL776" s="42"/>
      <c r="IM776" s="42"/>
      <c r="IN776" s="42"/>
      <c r="IO776" s="42"/>
      <c r="IP776" s="42"/>
      <c r="IQ776" s="42"/>
      <c r="IR776" s="42"/>
      <c r="IS776" s="42"/>
      <c r="IT776" s="42"/>
      <c r="IU776" s="42"/>
      <c r="IV776" s="42"/>
      <c r="IW776" s="42"/>
      <c r="IX776" s="42"/>
      <c r="IY776" s="42"/>
      <c r="IZ776" s="42"/>
      <c r="JA776" s="42"/>
      <c r="JB776" s="42"/>
      <c r="JC776" s="42"/>
      <c r="JD776" s="42"/>
      <c r="JE776" s="42"/>
      <c r="JF776" s="42"/>
      <c r="JG776" s="42"/>
      <c r="JH776" s="42"/>
      <c r="JI776" s="42"/>
      <c r="JJ776" s="42"/>
      <c r="JK776" s="42"/>
      <c r="JL776" s="42"/>
      <c r="JM776" s="42"/>
      <c r="JN776" s="42"/>
      <c r="JO776" s="42"/>
      <c r="JP776" s="42"/>
      <c r="JQ776" s="42"/>
      <c r="JR776" s="42"/>
      <c r="JS776" s="42"/>
      <c r="JT776" s="42"/>
      <c r="JU776" s="42"/>
      <c r="JV776" s="42"/>
      <c r="JW776" s="42"/>
      <c r="JX776" s="42"/>
      <c r="JY776" s="42"/>
      <c r="JZ776" s="42"/>
      <c r="KA776" s="42"/>
    </row>
    <row r="777" spans="1:287" ht="12.75">
      <c r="A777" s="89"/>
      <c r="B777" s="89"/>
      <c r="J777" s="19"/>
      <c r="Q777" s="19"/>
      <c r="Y777" s="19"/>
      <c r="AF777" s="19"/>
      <c r="II777" s="42"/>
      <c r="IJ777" s="42"/>
      <c r="IK777" s="42"/>
      <c r="IL777" s="42"/>
      <c r="IM777" s="42"/>
      <c r="IN777" s="42"/>
      <c r="IO777" s="42"/>
      <c r="IP777" s="42"/>
      <c r="IQ777" s="42"/>
      <c r="IR777" s="42"/>
      <c r="IS777" s="42"/>
      <c r="IT777" s="42"/>
      <c r="IU777" s="42"/>
      <c r="IV777" s="42"/>
      <c r="IW777" s="42"/>
      <c r="IX777" s="42"/>
      <c r="IY777" s="42"/>
      <c r="IZ777" s="42"/>
      <c r="JA777" s="42"/>
      <c r="JB777" s="42"/>
      <c r="JC777" s="42"/>
      <c r="JD777" s="42"/>
      <c r="JE777" s="42"/>
      <c r="JF777" s="42"/>
      <c r="JG777" s="42"/>
      <c r="JH777" s="42"/>
      <c r="JI777" s="42"/>
      <c r="JJ777" s="42"/>
      <c r="JK777" s="42"/>
      <c r="JL777" s="42"/>
      <c r="JM777" s="42"/>
      <c r="JN777" s="42"/>
      <c r="JO777" s="42"/>
      <c r="JP777" s="42"/>
      <c r="JQ777" s="42"/>
      <c r="JR777" s="42"/>
      <c r="JS777" s="42"/>
      <c r="JT777" s="42"/>
      <c r="JU777" s="42"/>
      <c r="JV777" s="42"/>
      <c r="JW777" s="42"/>
      <c r="JX777" s="42"/>
      <c r="JY777" s="42"/>
      <c r="JZ777" s="42"/>
      <c r="KA777" s="42"/>
    </row>
    <row r="778" spans="1:287" ht="12.75">
      <c r="A778" s="89"/>
      <c r="B778" s="89"/>
      <c r="J778" s="19"/>
      <c r="Q778" s="19"/>
      <c r="Y778" s="19"/>
      <c r="AF778" s="19"/>
      <c r="II778" s="42"/>
      <c r="IJ778" s="42"/>
      <c r="IK778" s="42"/>
      <c r="IL778" s="42"/>
      <c r="IM778" s="42"/>
      <c r="IN778" s="42"/>
      <c r="IO778" s="42"/>
      <c r="IP778" s="42"/>
      <c r="IQ778" s="42"/>
      <c r="IR778" s="42"/>
      <c r="IS778" s="42"/>
      <c r="IT778" s="42"/>
      <c r="IU778" s="42"/>
      <c r="IV778" s="42"/>
      <c r="IW778" s="42"/>
      <c r="IX778" s="42"/>
      <c r="IY778" s="42"/>
      <c r="IZ778" s="42"/>
      <c r="JA778" s="42"/>
      <c r="JB778" s="42"/>
      <c r="JC778" s="42"/>
      <c r="JD778" s="42"/>
      <c r="JE778" s="42"/>
      <c r="JF778" s="42"/>
      <c r="JG778" s="42"/>
      <c r="JH778" s="42"/>
      <c r="JI778" s="42"/>
      <c r="JJ778" s="42"/>
      <c r="JK778" s="42"/>
      <c r="JL778" s="42"/>
      <c r="JM778" s="42"/>
      <c r="JN778" s="42"/>
      <c r="JO778" s="42"/>
      <c r="JP778" s="42"/>
      <c r="JQ778" s="42"/>
      <c r="JR778" s="42"/>
      <c r="JS778" s="42"/>
      <c r="JT778" s="42"/>
      <c r="JU778" s="42"/>
      <c r="JV778" s="42"/>
      <c r="JW778" s="42"/>
      <c r="JX778" s="42"/>
      <c r="JY778" s="42"/>
      <c r="JZ778" s="42"/>
      <c r="KA778" s="42"/>
    </row>
    <row r="779" spans="1:287" ht="12.75">
      <c r="A779" s="89"/>
      <c r="B779" s="89"/>
      <c r="J779" s="19"/>
      <c r="Q779" s="19"/>
      <c r="Y779" s="19"/>
      <c r="AF779" s="19"/>
      <c r="II779" s="42"/>
      <c r="IJ779" s="42"/>
      <c r="IK779" s="42"/>
      <c r="IL779" s="42"/>
      <c r="IM779" s="42"/>
      <c r="IN779" s="42"/>
      <c r="IO779" s="42"/>
      <c r="IP779" s="42"/>
      <c r="IQ779" s="42"/>
      <c r="IR779" s="42"/>
      <c r="IS779" s="42"/>
      <c r="IT779" s="42"/>
      <c r="IU779" s="42"/>
      <c r="IV779" s="42"/>
      <c r="IW779" s="42"/>
      <c r="IX779" s="42"/>
      <c r="IY779" s="42"/>
      <c r="IZ779" s="42"/>
      <c r="JA779" s="42"/>
      <c r="JB779" s="42"/>
      <c r="JC779" s="42"/>
      <c r="JD779" s="42"/>
      <c r="JE779" s="42"/>
      <c r="JF779" s="42"/>
      <c r="JG779" s="42"/>
      <c r="JH779" s="42"/>
      <c r="JI779" s="42"/>
      <c r="JJ779" s="42"/>
      <c r="JK779" s="42"/>
      <c r="JL779" s="42"/>
      <c r="JM779" s="42"/>
      <c r="JN779" s="42"/>
      <c r="JO779" s="42"/>
      <c r="JP779" s="42"/>
      <c r="JQ779" s="42"/>
      <c r="JR779" s="42"/>
      <c r="JS779" s="42"/>
      <c r="JT779" s="42"/>
      <c r="JU779" s="42"/>
      <c r="JV779" s="42"/>
      <c r="JW779" s="42"/>
      <c r="JX779" s="42"/>
      <c r="JY779" s="42"/>
      <c r="JZ779" s="42"/>
      <c r="KA779" s="42"/>
    </row>
    <row r="780" spans="1:287" ht="12.75">
      <c r="A780" s="89"/>
      <c r="B780" s="89"/>
      <c r="J780" s="19"/>
      <c r="Q780" s="19"/>
      <c r="Y780" s="19"/>
      <c r="AF780" s="19"/>
      <c r="II780" s="42"/>
      <c r="IJ780" s="42"/>
      <c r="IK780" s="42"/>
      <c r="IL780" s="42"/>
      <c r="IM780" s="42"/>
      <c r="IN780" s="42"/>
      <c r="IO780" s="42"/>
      <c r="IP780" s="42"/>
      <c r="IQ780" s="42"/>
      <c r="IR780" s="42"/>
      <c r="IS780" s="42"/>
      <c r="IT780" s="42"/>
      <c r="IU780" s="42"/>
      <c r="IV780" s="42"/>
      <c r="IW780" s="42"/>
      <c r="IX780" s="42"/>
      <c r="IY780" s="42"/>
      <c r="IZ780" s="42"/>
      <c r="JA780" s="42"/>
      <c r="JB780" s="42"/>
      <c r="JC780" s="42"/>
      <c r="JD780" s="42"/>
      <c r="JE780" s="42"/>
      <c r="JF780" s="42"/>
      <c r="JG780" s="42"/>
      <c r="JH780" s="42"/>
      <c r="JI780" s="42"/>
      <c r="JJ780" s="42"/>
      <c r="JK780" s="42"/>
      <c r="JL780" s="42"/>
      <c r="JM780" s="42"/>
      <c r="JN780" s="42"/>
      <c r="JO780" s="42"/>
      <c r="JP780" s="42"/>
      <c r="JQ780" s="42"/>
      <c r="JR780" s="42"/>
      <c r="JS780" s="42"/>
      <c r="JT780" s="42"/>
      <c r="JU780" s="42"/>
      <c r="JV780" s="42"/>
      <c r="JW780" s="42"/>
      <c r="JX780" s="42"/>
      <c r="JY780" s="42"/>
      <c r="JZ780" s="42"/>
      <c r="KA780" s="42"/>
    </row>
    <row r="781" spans="1:287" ht="12.75">
      <c r="A781" s="89"/>
      <c r="B781" s="89"/>
      <c r="J781" s="19"/>
      <c r="Q781" s="19"/>
      <c r="Y781" s="19"/>
      <c r="AF781" s="19"/>
      <c r="II781" s="42"/>
      <c r="IJ781" s="42"/>
      <c r="IK781" s="42"/>
      <c r="IL781" s="42"/>
      <c r="IM781" s="42"/>
      <c r="IN781" s="42"/>
      <c r="IO781" s="42"/>
      <c r="IP781" s="42"/>
      <c r="IQ781" s="42"/>
      <c r="IR781" s="42"/>
      <c r="IS781" s="42"/>
      <c r="IT781" s="42"/>
      <c r="IU781" s="42"/>
      <c r="IV781" s="42"/>
      <c r="IW781" s="42"/>
      <c r="IX781" s="42"/>
      <c r="IY781" s="42"/>
      <c r="IZ781" s="42"/>
      <c r="JA781" s="42"/>
      <c r="JB781" s="42"/>
      <c r="JC781" s="42"/>
      <c r="JD781" s="42"/>
      <c r="JE781" s="42"/>
      <c r="JF781" s="42"/>
      <c r="JG781" s="42"/>
      <c r="JH781" s="42"/>
      <c r="JI781" s="42"/>
      <c r="JJ781" s="42"/>
      <c r="JK781" s="42"/>
      <c r="JL781" s="42"/>
      <c r="JM781" s="42"/>
      <c r="JN781" s="42"/>
      <c r="JO781" s="42"/>
      <c r="JP781" s="42"/>
      <c r="JQ781" s="42"/>
      <c r="JR781" s="42"/>
      <c r="JS781" s="42"/>
      <c r="JT781" s="42"/>
      <c r="JU781" s="42"/>
      <c r="JV781" s="42"/>
      <c r="JW781" s="42"/>
      <c r="JX781" s="42"/>
      <c r="JY781" s="42"/>
      <c r="JZ781" s="42"/>
      <c r="KA781" s="42"/>
    </row>
    <row r="782" spans="1:287" ht="12.75">
      <c r="A782" s="89"/>
      <c r="B782" s="89"/>
      <c r="J782" s="19"/>
      <c r="Q782" s="19"/>
      <c r="Y782" s="19"/>
      <c r="AF782" s="19"/>
      <c r="II782" s="42"/>
      <c r="IJ782" s="42"/>
      <c r="IK782" s="42"/>
      <c r="IL782" s="42"/>
      <c r="IM782" s="42"/>
      <c r="IN782" s="42"/>
      <c r="IO782" s="42"/>
      <c r="IP782" s="42"/>
      <c r="IQ782" s="42"/>
      <c r="IR782" s="42"/>
      <c r="IS782" s="42"/>
      <c r="IT782" s="42"/>
      <c r="IU782" s="42"/>
      <c r="IV782" s="42"/>
      <c r="IW782" s="42"/>
      <c r="IX782" s="42"/>
      <c r="IY782" s="42"/>
      <c r="IZ782" s="42"/>
      <c r="JA782" s="42"/>
      <c r="JB782" s="42"/>
      <c r="JC782" s="42"/>
      <c r="JD782" s="42"/>
      <c r="JE782" s="42"/>
      <c r="JF782" s="42"/>
      <c r="JG782" s="42"/>
      <c r="JH782" s="42"/>
      <c r="JI782" s="42"/>
      <c r="JJ782" s="42"/>
      <c r="JK782" s="42"/>
      <c r="JL782" s="42"/>
      <c r="JM782" s="42"/>
      <c r="JN782" s="42"/>
      <c r="JO782" s="42"/>
      <c r="JP782" s="42"/>
      <c r="JQ782" s="42"/>
      <c r="JR782" s="42"/>
      <c r="JS782" s="42"/>
      <c r="JT782" s="42"/>
      <c r="JU782" s="42"/>
      <c r="JV782" s="42"/>
      <c r="JW782" s="42"/>
      <c r="JX782" s="42"/>
      <c r="JY782" s="42"/>
      <c r="JZ782" s="42"/>
      <c r="KA782" s="42"/>
    </row>
    <row r="783" spans="1:287" ht="12.75">
      <c r="A783" s="89"/>
      <c r="B783" s="89"/>
      <c r="J783" s="19"/>
      <c r="Q783" s="19"/>
      <c r="Y783" s="19"/>
      <c r="AF783" s="19"/>
      <c r="II783" s="42"/>
      <c r="IJ783" s="42"/>
      <c r="IK783" s="42"/>
      <c r="IL783" s="42"/>
      <c r="IM783" s="42"/>
      <c r="IN783" s="42"/>
      <c r="IO783" s="42"/>
      <c r="IP783" s="42"/>
      <c r="IQ783" s="42"/>
      <c r="IR783" s="42"/>
      <c r="IS783" s="42"/>
      <c r="IT783" s="42"/>
      <c r="IU783" s="42"/>
      <c r="IV783" s="42"/>
      <c r="IW783" s="42"/>
      <c r="IX783" s="42"/>
      <c r="IY783" s="42"/>
      <c r="IZ783" s="42"/>
      <c r="JA783" s="42"/>
      <c r="JB783" s="42"/>
      <c r="JC783" s="42"/>
      <c r="JD783" s="42"/>
      <c r="JE783" s="42"/>
      <c r="JF783" s="42"/>
      <c r="JG783" s="42"/>
      <c r="JH783" s="42"/>
      <c r="JI783" s="42"/>
      <c r="JJ783" s="42"/>
      <c r="JK783" s="42"/>
      <c r="JL783" s="42"/>
      <c r="JM783" s="42"/>
      <c r="JN783" s="42"/>
      <c r="JO783" s="42"/>
      <c r="JP783" s="42"/>
      <c r="JQ783" s="42"/>
      <c r="JR783" s="42"/>
      <c r="JS783" s="42"/>
      <c r="JT783" s="42"/>
      <c r="JU783" s="42"/>
      <c r="JV783" s="42"/>
      <c r="JW783" s="42"/>
      <c r="JX783" s="42"/>
      <c r="JY783" s="42"/>
      <c r="JZ783" s="42"/>
      <c r="KA783" s="42"/>
    </row>
    <row r="784" spans="1:287" ht="12.75">
      <c r="A784" s="89"/>
      <c r="B784" s="89"/>
      <c r="J784" s="19"/>
      <c r="Q784" s="19"/>
      <c r="Y784" s="19"/>
      <c r="AF784" s="19"/>
      <c r="II784" s="42"/>
      <c r="IJ784" s="42"/>
      <c r="IK784" s="42"/>
      <c r="IL784" s="42"/>
      <c r="IM784" s="42"/>
      <c r="IN784" s="42"/>
      <c r="IO784" s="42"/>
      <c r="IP784" s="42"/>
      <c r="IQ784" s="42"/>
      <c r="IR784" s="42"/>
      <c r="IS784" s="42"/>
      <c r="IT784" s="42"/>
      <c r="IU784" s="42"/>
      <c r="IV784" s="42"/>
      <c r="IW784" s="42"/>
      <c r="IX784" s="42"/>
      <c r="IY784" s="42"/>
      <c r="IZ784" s="42"/>
      <c r="JA784" s="42"/>
      <c r="JB784" s="42"/>
      <c r="JC784" s="42"/>
      <c r="JD784" s="42"/>
      <c r="JE784" s="42"/>
      <c r="JF784" s="42"/>
      <c r="JG784" s="42"/>
      <c r="JH784" s="42"/>
      <c r="JI784" s="42"/>
      <c r="JJ784" s="42"/>
      <c r="JK784" s="42"/>
      <c r="JL784" s="42"/>
      <c r="JM784" s="42"/>
      <c r="JN784" s="42"/>
      <c r="JO784" s="42"/>
      <c r="JP784" s="42"/>
      <c r="JQ784" s="42"/>
      <c r="JR784" s="42"/>
      <c r="JS784" s="42"/>
      <c r="JT784" s="42"/>
      <c r="JU784" s="42"/>
      <c r="JV784" s="42"/>
      <c r="JW784" s="42"/>
      <c r="JX784" s="42"/>
      <c r="JY784" s="42"/>
      <c r="JZ784" s="42"/>
      <c r="KA784" s="42"/>
    </row>
    <row r="785" spans="1:287" ht="12.75">
      <c r="A785" s="89"/>
      <c r="B785" s="89"/>
      <c r="J785" s="19"/>
      <c r="Q785" s="19"/>
      <c r="Y785" s="19"/>
      <c r="AF785" s="19"/>
      <c r="II785" s="42"/>
      <c r="IJ785" s="42"/>
      <c r="IK785" s="42"/>
      <c r="IL785" s="42"/>
      <c r="IM785" s="42"/>
      <c r="IN785" s="42"/>
      <c r="IO785" s="42"/>
      <c r="IP785" s="42"/>
      <c r="IQ785" s="42"/>
      <c r="IR785" s="42"/>
      <c r="IS785" s="42"/>
      <c r="IT785" s="42"/>
      <c r="IU785" s="42"/>
      <c r="IV785" s="42"/>
      <c r="IW785" s="42"/>
      <c r="IX785" s="42"/>
      <c r="IY785" s="42"/>
      <c r="IZ785" s="42"/>
      <c r="JA785" s="42"/>
      <c r="JB785" s="42"/>
      <c r="JC785" s="42"/>
      <c r="JD785" s="42"/>
      <c r="JE785" s="42"/>
      <c r="JF785" s="42"/>
      <c r="JG785" s="42"/>
      <c r="JH785" s="42"/>
      <c r="JI785" s="42"/>
      <c r="JJ785" s="42"/>
      <c r="JK785" s="42"/>
      <c r="JL785" s="42"/>
      <c r="JM785" s="42"/>
      <c r="JN785" s="42"/>
      <c r="JO785" s="42"/>
      <c r="JP785" s="42"/>
      <c r="JQ785" s="42"/>
      <c r="JR785" s="42"/>
      <c r="JS785" s="42"/>
      <c r="JT785" s="42"/>
      <c r="JU785" s="42"/>
      <c r="JV785" s="42"/>
      <c r="JW785" s="42"/>
      <c r="JX785" s="42"/>
      <c r="JY785" s="42"/>
      <c r="JZ785" s="42"/>
      <c r="KA785" s="42"/>
    </row>
    <row r="786" spans="1:287" ht="12.75">
      <c r="A786" s="89"/>
      <c r="B786" s="89"/>
      <c r="J786" s="19"/>
      <c r="Q786" s="19"/>
      <c r="Y786" s="19"/>
      <c r="AF786" s="19"/>
      <c r="II786" s="42"/>
      <c r="IJ786" s="42"/>
      <c r="IK786" s="42"/>
      <c r="IL786" s="42"/>
      <c r="IM786" s="42"/>
      <c r="IN786" s="42"/>
      <c r="IO786" s="42"/>
      <c r="IP786" s="42"/>
      <c r="IQ786" s="42"/>
      <c r="IR786" s="42"/>
      <c r="IS786" s="42"/>
      <c r="IT786" s="42"/>
      <c r="IU786" s="42"/>
      <c r="IV786" s="42"/>
      <c r="IW786" s="42"/>
      <c r="IX786" s="42"/>
      <c r="IY786" s="42"/>
      <c r="IZ786" s="42"/>
      <c r="JA786" s="42"/>
      <c r="JB786" s="42"/>
      <c r="JC786" s="42"/>
      <c r="JD786" s="42"/>
      <c r="JE786" s="42"/>
      <c r="JF786" s="42"/>
      <c r="JG786" s="42"/>
      <c r="JH786" s="42"/>
      <c r="JI786" s="42"/>
      <c r="JJ786" s="42"/>
      <c r="JK786" s="42"/>
      <c r="JL786" s="42"/>
      <c r="JM786" s="42"/>
      <c r="JN786" s="42"/>
      <c r="JO786" s="42"/>
      <c r="JP786" s="42"/>
      <c r="JQ786" s="42"/>
      <c r="JR786" s="42"/>
      <c r="JS786" s="42"/>
      <c r="JT786" s="42"/>
      <c r="JU786" s="42"/>
      <c r="JV786" s="42"/>
      <c r="JW786" s="42"/>
      <c r="JX786" s="42"/>
      <c r="JY786" s="42"/>
      <c r="JZ786" s="42"/>
      <c r="KA786" s="42"/>
    </row>
    <row r="787" spans="1:287" ht="12.75">
      <c r="A787" s="89"/>
      <c r="B787" s="89"/>
      <c r="J787" s="19"/>
      <c r="Q787" s="19"/>
      <c r="Y787" s="19"/>
      <c r="AF787" s="19"/>
      <c r="II787" s="42"/>
      <c r="IJ787" s="42"/>
      <c r="IK787" s="42"/>
      <c r="IL787" s="42"/>
      <c r="IM787" s="42"/>
      <c r="IN787" s="42"/>
      <c r="IO787" s="42"/>
      <c r="IP787" s="42"/>
      <c r="IQ787" s="42"/>
      <c r="IR787" s="42"/>
      <c r="IS787" s="42"/>
      <c r="IT787" s="42"/>
      <c r="IU787" s="42"/>
      <c r="IV787" s="42"/>
      <c r="IW787" s="42"/>
      <c r="IX787" s="42"/>
      <c r="IY787" s="42"/>
      <c r="IZ787" s="42"/>
      <c r="JA787" s="42"/>
      <c r="JB787" s="42"/>
      <c r="JC787" s="42"/>
      <c r="JD787" s="42"/>
      <c r="JE787" s="42"/>
      <c r="JF787" s="42"/>
      <c r="JG787" s="42"/>
      <c r="JH787" s="42"/>
      <c r="JI787" s="42"/>
      <c r="JJ787" s="42"/>
      <c r="JK787" s="42"/>
      <c r="JL787" s="42"/>
      <c r="JM787" s="42"/>
      <c r="JN787" s="42"/>
      <c r="JO787" s="42"/>
      <c r="JP787" s="42"/>
      <c r="JQ787" s="42"/>
      <c r="JR787" s="42"/>
      <c r="JS787" s="42"/>
      <c r="JT787" s="42"/>
      <c r="JU787" s="42"/>
      <c r="JV787" s="42"/>
      <c r="JW787" s="42"/>
      <c r="JX787" s="42"/>
      <c r="JY787" s="42"/>
      <c r="JZ787" s="42"/>
      <c r="KA787" s="42"/>
    </row>
    <row r="788" spans="1:287" ht="12.75">
      <c r="A788" s="89"/>
      <c r="B788" s="89"/>
      <c r="J788" s="19"/>
      <c r="Q788" s="19"/>
      <c r="Y788" s="19"/>
      <c r="AF788" s="19"/>
      <c r="II788" s="42"/>
      <c r="IJ788" s="42"/>
      <c r="IK788" s="42"/>
      <c r="IL788" s="42"/>
      <c r="IM788" s="42"/>
      <c r="IN788" s="42"/>
      <c r="IO788" s="42"/>
      <c r="IP788" s="42"/>
      <c r="IQ788" s="42"/>
      <c r="IR788" s="42"/>
      <c r="IS788" s="42"/>
      <c r="IT788" s="42"/>
      <c r="IU788" s="42"/>
      <c r="IV788" s="42"/>
      <c r="IW788" s="42"/>
      <c r="IX788" s="42"/>
      <c r="IY788" s="42"/>
      <c r="IZ788" s="42"/>
      <c r="JA788" s="42"/>
      <c r="JB788" s="42"/>
      <c r="JC788" s="42"/>
      <c r="JD788" s="42"/>
      <c r="JE788" s="42"/>
      <c r="JF788" s="42"/>
      <c r="JG788" s="42"/>
      <c r="JH788" s="42"/>
      <c r="JI788" s="42"/>
      <c r="JJ788" s="42"/>
      <c r="JK788" s="42"/>
      <c r="JL788" s="42"/>
      <c r="JM788" s="42"/>
      <c r="JN788" s="42"/>
      <c r="JO788" s="42"/>
      <c r="JP788" s="42"/>
      <c r="JQ788" s="42"/>
      <c r="JR788" s="42"/>
      <c r="JS788" s="42"/>
      <c r="JT788" s="42"/>
      <c r="JU788" s="42"/>
      <c r="JV788" s="42"/>
      <c r="JW788" s="42"/>
      <c r="JX788" s="42"/>
      <c r="JY788" s="42"/>
      <c r="JZ788" s="42"/>
      <c r="KA788" s="42"/>
    </row>
    <row r="789" spans="1:287" ht="12.75">
      <c r="A789" s="89"/>
      <c r="B789" s="89"/>
      <c r="J789" s="19"/>
      <c r="Q789" s="19"/>
      <c r="Y789" s="19"/>
      <c r="AF789" s="19"/>
      <c r="II789" s="42"/>
      <c r="IJ789" s="42"/>
      <c r="IK789" s="42"/>
      <c r="IL789" s="42"/>
      <c r="IM789" s="42"/>
      <c r="IN789" s="42"/>
      <c r="IO789" s="42"/>
      <c r="IP789" s="42"/>
      <c r="IQ789" s="42"/>
      <c r="IR789" s="42"/>
      <c r="IS789" s="42"/>
      <c r="IT789" s="42"/>
      <c r="IU789" s="42"/>
      <c r="IV789" s="42"/>
      <c r="IW789" s="42"/>
      <c r="IX789" s="42"/>
      <c r="IY789" s="42"/>
      <c r="IZ789" s="42"/>
      <c r="JA789" s="42"/>
      <c r="JB789" s="42"/>
      <c r="JC789" s="42"/>
      <c r="JD789" s="42"/>
      <c r="JE789" s="42"/>
      <c r="JF789" s="42"/>
      <c r="JG789" s="42"/>
      <c r="JH789" s="42"/>
      <c r="JI789" s="42"/>
      <c r="JJ789" s="42"/>
      <c r="JK789" s="42"/>
      <c r="JL789" s="42"/>
      <c r="JM789" s="42"/>
      <c r="JN789" s="42"/>
      <c r="JO789" s="42"/>
      <c r="JP789" s="42"/>
      <c r="JQ789" s="42"/>
      <c r="JR789" s="42"/>
      <c r="JS789" s="42"/>
      <c r="JT789" s="42"/>
      <c r="JU789" s="42"/>
      <c r="JV789" s="42"/>
      <c r="JW789" s="42"/>
      <c r="JX789" s="42"/>
      <c r="JY789" s="42"/>
      <c r="JZ789" s="42"/>
      <c r="KA789" s="42"/>
    </row>
    <row r="790" spans="1:287" ht="12.75">
      <c r="A790" s="89"/>
      <c r="B790" s="89"/>
      <c r="J790" s="19"/>
      <c r="Q790" s="19"/>
      <c r="Y790" s="19"/>
      <c r="AF790" s="19"/>
      <c r="II790" s="42"/>
      <c r="IJ790" s="42"/>
      <c r="IK790" s="42"/>
      <c r="IL790" s="42"/>
      <c r="IM790" s="42"/>
      <c r="IN790" s="42"/>
      <c r="IO790" s="42"/>
      <c r="IP790" s="42"/>
      <c r="IQ790" s="42"/>
      <c r="IR790" s="42"/>
      <c r="IS790" s="42"/>
      <c r="IT790" s="42"/>
      <c r="IU790" s="42"/>
      <c r="IV790" s="42"/>
      <c r="IW790" s="42"/>
      <c r="IX790" s="42"/>
      <c r="IY790" s="42"/>
      <c r="IZ790" s="42"/>
      <c r="JA790" s="42"/>
      <c r="JB790" s="42"/>
      <c r="JC790" s="42"/>
      <c r="JD790" s="42"/>
      <c r="JE790" s="42"/>
      <c r="JF790" s="42"/>
      <c r="JG790" s="42"/>
      <c r="JH790" s="42"/>
      <c r="JI790" s="42"/>
      <c r="JJ790" s="42"/>
      <c r="JK790" s="42"/>
      <c r="JL790" s="42"/>
      <c r="JM790" s="42"/>
      <c r="JN790" s="42"/>
      <c r="JO790" s="42"/>
      <c r="JP790" s="42"/>
      <c r="JQ790" s="42"/>
      <c r="JR790" s="42"/>
      <c r="JS790" s="42"/>
      <c r="JT790" s="42"/>
      <c r="JU790" s="42"/>
      <c r="JV790" s="42"/>
      <c r="JW790" s="42"/>
      <c r="JX790" s="42"/>
      <c r="JY790" s="42"/>
      <c r="JZ790" s="42"/>
      <c r="KA790" s="42"/>
    </row>
    <row r="791" spans="1:287" ht="12.75">
      <c r="A791" s="89"/>
      <c r="B791" s="89"/>
      <c r="J791" s="19"/>
      <c r="Q791" s="19"/>
      <c r="Y791" s="19"/>
      <c r="AF791" s="19"/>
      <c r="II791" s="42"/>
      <c r="IJ791" s="42"/>
      <c r="IK791" s="42"/>
      <c r="IL791" s="42"/>
      <c r="IM791" s="42"/>
      <c r="IN791" s="42"/>
      <c r="IO791" s="42"/>
      <c r="IP791" s="42"/>
      <c r="IQ791" s="42"/>
      <c r="IR791" s="42"/>
      <c r="IS791" s="42"/>
      <c r="IT791" s="42"/>
      <c r="IU791" s="42"/>
      <c r="IV791" s="42"/>
      <c r="IW791" s="42"/>
      <c r="IX791" s="42"/>
      <c r="IY791" s="42"/>
      <c r="IZ791" s="42"/>
      <c r="JA791" s="42"/>
      <c r="JB791" s="42"/>
      <c r="JC791" s="42"/>
      <c r="JD791" s="42"/>
      <c r="JE791" s="42"/>
      <c r="JF791" s="42"/>
      <c r="JG791" s="42"/>
      <c r="JH791" s="42"/>
      <c r="JI791" s="42"/>
      <c r="JJ791" s="42"/>
      <c r="JK791" s="42"/>
      <c r="JL791" s="42"/>
      <c r="JM791" s="42"/>
      <c r="JN791" s="42"/>
      <c r="JO791" s="42"/>
      <c r="JP791" s="42"/>
      <c r="JQ791" s="42"/>
      <c r="JR791" s="42"/>
      <c r="JS791" s="42"/>
      <c r="JT791" s="42"/>
      <c r="JU791" s="42"/>
      <c r="JV791" s="42"/>
      <c r="JW791" s="42"/>
      <c r="JX791" s="42"/>
      <c r="JY791" s="42"/>
      <c r="JZ791" s="42"/>
      <c r="KA791" s="42"/>
    </row>
    <row r="792" spans="1:287" ht="12.75">
      <c r="A792" s="89"/>
      <c r="B792" s="89"/>
      <c r="J792" s="19"/>
      <c r="Q792" s="19"/>
      <c r="Y792" s="19"/>
      <c r="AF792" s="19"/>
      <c r="II792" s="42"/>
      <c r="IJ792" s="42"/>
      <c r="IK792" s="42"/>
      <c r="IL792" s="42"/>
      <c r="IM792" s="42"/>
      <c r="IN792" s="42"/>
      <c r="IO792" s="42"/>
      <c r="IP792" s="42"/>
      <c r="IQ792" s="42"/>
      <c r="IR792" s="42"/>
      <c r="IS792" s="42"/>
      <c r="IT792" s="42"/>
      <c r="IU792" s="42"/>
      <c r="IV792" s="42"/>
      <c r="IW792" s="42"/>
      <c r="IX792" s="42"/>
      <c r="IY792" s="42"/>
      <c r="IZ792" s="42"/>
      <c r="JA792" s="42"/>
      <c r="JB792" s="42"/>
      <c r="JC792" s="42"/>
      <c r="JD792" s="42"/>
      <c r="JE792" s="42"/>
      <c r="JF792" s="42"/>
      <c r="JG792" s="42"/>
      <c r="JH792" s="42"/>
      <c r="JI792" s="42"/>
      <c r="JJ792" s="42"/>
      <c r="JK792" s="42"/>
      <c r="JL792" s="42"/>
      <c r="JM792" s="42"/>
      <c r="JN792" s="42"/>
      <c r="JO792" s="42"/>
      <c r="JP792" s="42"/>
      <c r="JQ792" s="42"/>
      <c r="JR792" s="42"/>
      <c r="JS792" s="42"/>
      <c r="JT792" s="42"/>
      <c r="JU792" s="42"/>
      <c r="JV792" s="42"/>
      <c r="JW792" s="42"/>
      <c r="JX792" s="42"/>
      <c r="JY792" s="42"/>
      <c r="JZ792" s="42"/>
      <c r="KA792" s="42"/>
    </row>
    <row r="793" spans="1:287" ht="12.75">
      <c r="A793" s="89"/>
      <c r="B793" s="89"/>
      <c r="J793" s="19"/>
      <c r="Q793" s="19"/>
      <c r="Y793" s="19"/>
      <c r="AF793" s="19"/>
      <c r="II793" s="42"/>
      <c r="IJ793" s="42"/>
      <c r="IK793" s="42"/>
      <c r="IL793" s="42"/>
      <c r="IM793" s="42"/>
      <c r="IN793" s="42"/>
      <c r="IO793" s="42"/>
      <c r="IP793" s="42"/>
      <c r="IQ793" s="42"/>
      <c r="IR793" s="42"/>
      <c r="IS793" s="42"/>
      <c r="IT793" s="42"/>
      <c r="IU793" s="42"/>
      <c r="IV793" s="42"/>
      <c r="IW793" s="42"/>
      <c r="IX793" s="42"/>
      <c r="IY793" s="42"/>
      <c r="IZ793" s="42"/>
      <c r="JA793" s="42"/>
      <c r="JB793" s="42"/>
      <c r="JC793" s="42"/>
      <c r="JD793" s="42"/>
      <c r="JE793" s="42"/>
      <c r="JF793" s="42"/>
      <c r="JG793" s="42"/>
      <c r="JH793" s="42"/>
      <c r="JI793" s="42"/>
      <c r="JJ793" s="42"/>
      <c r="JK793" s="42"/>
      <c r="JL793" s="42"/>
      <c r="JM793" s="42"/>
      <c r="JN793" s="42"/>
      <c r="JO793" s="42"/>
      <c r="JP793" s="42"/>
      <c r="JQ793" s="42"/>
      <c r="JR793" s="42"/>
      <c r="JS793" s="42"/>
      <c r="JT793" s="42"/>
      <c r="JU793" s="42"/>
      <c r="JV793" s="42"/>
      <c r="JW793" s="42"/>
      <c r="JX793" s="42"/>
      <c r="JY793" s="42"/>
      <c r="JZ793" s="42"/>
      <c r="KA793" s="42"/>
    </row>
    <row r="794" spans="1:287" ht="12.75">
      <c r="A794" s="89"/>
      <c r="B794" s="89"/>
      <c r="J794" s="19"/>
      <c r="Q794" s="19"/>
      <c r="Y794" s="19"/>
      <c r="AF794" s="19"/>
      <c r="II794" s="42"/>
      <c r="IJ794" s="42"/>
      <c r="IK794" s="42"/>
      <c r="IL794" s="42"/>
      <c r="IM794" s="42"/>
      <c r="IN794" s="42"/>
      <c r="IO794" s="42"/>
      <c r="IP794" s="42"/>
      <c r="IQ794" s="42"/>
      <c r="IR794" s="42"/>
      <c r="IS794" s="42"/>
      <c r="IT794" s="42"/>
      <c r="IU794" s="42"/>
      <c r="IV794" s="42"/>
      <c r="IW794" s="42"/>
      <c r="IX794" s="42"/>
      <c r="IY794" s="42"/>
      <c r="IZ794" s="42"/>
      <c r="JA794" s="42"/>
      <c r="JB794" s="42"/>
      <c r="JC794" s="42"/>
      <c r="JD794" s="42"/>
      <c r="JE794" s="42"/>
      <c r="JF794" s="42"/>
      <c r="JG794" s="42"/>
      <c r="JH794" s="42"/>
      <c r="JI794" s="42"/>
      <c r="JJ794" s="42"/>
      <c r="JK794" s="42"/>
      <c r="JL794" s="42"/>
      <c r="JM794" s="42"/>
      <c r="JN794" s="42"/>
      <c r="JO794" s="42"/>
      <c r="JP794" s="42"/>
      <c r="JQ794" s="42"/>
      <c r="JR794" s="42"/>
      <c r="JS794" s="42"/>
      <c r="JT794" s="42"/>
      <c r="JU794" s="42"/>
      <c r="JV794" s="42"/>
      <c r="JW794" s="42"/>
      <c r="JX794" s="42"/>
      <c r="JY794" s="42"/>
      <c r="JZ794" s="42"/>
      <c r="KA794" s="42"/>
    </row>
    <row r="795" spans="1:287" ht="12.75">
      <c r="A795" s="89"/>
      <c r="B795" s="89"/>
      <c r="J795" s="19"/>
      <c r="Q795" s="19"/>
      <c r="Y795" s="19"/>
      <c r="AF795" s="19"/>
      <c r="II795" s="42"/>
      <c r="IJ795" s="42"/>
      <c r="IK795" s="42"/>
      <c r="IL795" s="42"/>
      <c r="IM795" s="42"/>
      <c r="IN795" s="42"/>
      <c r="IO795" s="42"/>
      <c r="IP795" s="42"/>
      <c r="IQ795" s="42"/>
      <c r="IR795" s="42"/>
      <c r="IS795" s="42"/>
      <c r="IT795" s="42"/>
      <c r="IU795" s="42"/>
      <c r="IV795" s="42"/>
      <c r="IW795" s="42"/>
      <c r="IX795" s="42"/>
      <c r="IY795" s="42"/>
      <c r="IZ795" s="42"/>
      <c r="JA795" s="42"/>
      <c r="JB795" s="42"/>
      <c r="JC795" s="42"/>
      <c r="JD795" s="42"/>
      <c r="JE795" s="42"/>
      <c r="JF795" s="42"/>
      <c r="JG795" s="42"/>
      <c r="JH795" s="42"/>
      <c r="JI795" s="42"/>
      <c r="JJ795" s="42"/>
      <c r="JK795" s="42"/>
      <c r="JL795" s="42"/>
      <c r="JM795" s="42"/>
      <c r="JN795" s="42"/>
      <c r="JO795" s="42"/>
      <c r="JP795" s="42"/>
      <c r="JQ795" s="42"/>
      <c r="JR795" s="42"/>
      <c r="JS795" s="42"/>
      <c r="JT795" s="42"/>
      <c r="JU795" s="42"/>
      <c r="JV795" s="42"/>
      <c r="JW795" s="42"/>
      <c r="JX795" s="42"/>
      <c r="JY795" s="42"/>
      <c r="JZ795" s="42"/>
      <c r="KA795" s="42"/>
    </row>
    <row r="796" spans="1:287" ht="12.75">
      <c r="A796" s="89"/>
      <c r="B796" s="89"/>
      <c r="J796" s="19"/>
      <c r="Q796" s="19"/>
      <c r="Y796" s="19"/>
      <c r="AF796" s="19"/>
      <c r="II796" s="42"/>
      <c r="IJ796" s="42"/>
      <c r="IK796" s="42"/>
      <c r="IL796" s="42"/>
      <c r="IM796" s="42"/>
      <c r="IN796" s="42"/>
      <c r="IO796" s="42"/>
      <c r="IP796" s="42"/>
      <c r="IQ796" s="42"/>
      <c r="IR796" s="42"/>
      <c r="IS796" s="42"/>
      <c r="IT796" s="42"/>
      <c r="IU796" s="42"/>
      <c r="IV796" s="42"/>
      <c r="IW796" s="42"/>
      <c r="IX796" s="42"/>
      <c r="IY796" s="42"/>
      <c r="IZ796" s="42"/>
      <c r="JA796" s="42"/>
      <c r="JB796" s="42"/>
      <c r="JC796" s="42"/>
      <c r="JD796" s="42"/>
      <c r="JE796" s="42"/>
      <c r="JF796" s="42"/>
      <c r="JG796" s="42"/>
      <c r="JH796" s="42"/>
      <c r="JI796" s="42"/>
      <c r="JJ796" s="42"/>
      <c r="JK796" s="42"/>
      <c r="JL796" s="42"/>
      <c r="JM796" s="42"/>
      <c r="JN796" s="42"/>
      <c r="JO796" s="42"/>
      <c r="JP796" s="42"/>
      <c r="JQ796" s="42"/>
      <c r="JR796" s="42"/>
      <c r="JS796" s="42"/>
      <c r="JT796" s="42"/>
      <c r="JU796" s="42"/>
      <c r="JV796" s="42"/>
      <c r="JW796" s="42"/>
      <c r="JX796" s="42"/>
      <c r="JY796" s="42"/>
      <c r="JZ796" s="42"/>
      <c r="KA796" s="42"/>
    </row>
    <row r="797" spans="1:287" ht="12.75">
      <c r="A797" s="89"/>
      <c r="B797" s="89"/>
      <c r="J797" s="19"/>
      <c r="Q797" s="19"/>
      <c r="Y797" s="19"/>
      <c r="AF797" s="19"/>
      <c r="II797" s="42"/>
      <c r="IJ797" s="42"/>
      <c r="IK797" s="42"/>
      <c r="IL797" s="42"/>
      <c r="IM797" s="42"/>
      <c r="IN797" s="42"/>
      <c r="IO797" s="42"/>
      <c r="IP797" s="42"/>
      <c r="IQ797" s="42"/>
      <c r="IR797" s="42"/>
      <c r="IS797" s="42"/>
      <c r="IT797" s="42"/>
      <c r="IU797" s="42"/>
      <c r="IV797" s="42"/>
      <c r="IW797" s="42"/>
      <c r="IX797" s="42"/>
      <c r="IY797" s="42"/>
      <c r="IZ797" s="42"/>
      <c r="JA797" s="42"/>
      <c r="JB797" s="42"/>
      <c r="JC797" s="42"/>
      <c r="JD797" s="42"/>
      <c r="JE797" s="42"/>
      <c r="JF797" s="42"/>
      <c r="JG797" s="42"/>
      <c r="JH797" s="42"/>
      <c r="JI797" s="42"/>
      <c r="JJ797" s="42"/>
      <c r="JK797" s="42"/>
      <c r="JL797" s="42"/>
      <c r="JM797" s="42"/>
      <c r="JN797" s="42"/>
      <c r="JO797" s="42"/>
      <c r="JP797" s="42"/>
      <c r="JQ797" s="42"/>
      <c r="JR797" s="42"/>
      <c r="JS797" s="42"/>
      <c r="JT797" s="42"/>
      <c r="JU797" s="42"/>
      <c r="JV797" s="42"/>
      <c r="JW797" s="42"/>
      <c r="JX797" s="42"/>
      <c r="JY797" s="42"/>
      <c r="JZ797" s="42"/>
      <c r="KA797" s="42"/>
    </row>
    <row r="798" spans="1:287" ht="12.75">
      <c r="A798" s="89"/>
      <c r="B798" s="89"/>
      <c r="J798" s="19"/>
      <c r="Q798" s="19"/>
      <c r="Y798" s="19"/>
      <c r="AF798" s="19"/>
      <c r="II798" s="42"/>
      <c r="IJ798" s="42"/>
      <c r="IK798" s="42"/>
      <c r="IL798" s="42"/>
      <c r="IM798" s="42"/>
      <c r="IN798" s="42"/>
      <c r="IO798" s="42"/>
      <c r="IP798" s="42"/>
      <c r="IQ798" s="42"/>
      <c r="IR798" s="42"/>
      <c r="IS798" s="42"/>
      <c r="IT798" s="42"/>
      <c r="IU798" s="42"/>
      <c r="IV798" s="42"/>
      <c r="IW798" s="42"/>
      <c r="IX798" s="42"/>
      <c r="IY798" s="42"/>
      <c r="IZ798" s="42"/>
      <c r="JA798" s="42"/>
      <c r="JB798" s="42"/>
      <c r="JC798" s="42"/>
      <c r="JD798" s="42"/>
      <c r="JE798" s="42"/>
      <c r="JF798" s="42"/>
      <c r="JG798" s="42"/>
      <c r="JH798" s="42"/>
      <c r="JI798" s="42"/>
      <c r="JJ798" s="42"/>
      <c r="JK798" s="42"/>
      <c r="JL798" s="42"/>
      <c r="JM798" s="42"/>
      <c r="JN798" s="42"/>
      <c r="JO798" s="42"/>
      <c r="JP798" s="42"/>
      <c r="JQ798" s="42"/>
      <c r="JR798" s="42"/>
      <c r="JS798" s="42"/>
      <c r="JT798" s="42"/>
      <c r="JU798" s="42"/>
      <c r="JV798" s="42"/>
      <c r="JW798" s="42"/>
      <c r="JX798" s="42"/>
      <c r="JY798" s="42"/>
      <c r="JZ798" s="42"/>
      <c r="KA798" s="42"/>
    </row>
    <row r="799" spans="1:287" ht="12.75">
      <c r="A799" s="89"/>
      <c r="B799" s="89"/>
      <c r="J799" s="19"/>
      <c r="Q799" s="19"/>
      <c r="Y799" s="19"/>
      <c r="AF799" s="19"/>
      <c r="II799" s="42"/>
      <c r="IJ799" s="42"/>
      <c r="IK799" s="42"/>
      <c r="IL799" s="42"/>
      <c r="IM799" s="42"/>
      <c r="IN799" s="42"/>
      <c r="IO799" s="42"/>
      <c r="IP799" s="42"/>
      <c r="IQ799" s="42"/>
      <c r="IR799" s="42"/>
      <c r="IS799" s="42"/>
      <c r="IT799" s="42"/>
      <c r="IU799" s="42"/>
      <c r="IV799" s="42"/>
      <c r="IW799" s="42"/>
      <c r="IX799" s="42"/>
      <c r="IY799" s="42"/>
      <c r="IZ799" s="42"/>
      <c r="JA799" s="42"/>
      <c r="JB799" s="42"/>
      <c r="JC799" s="42"/>
      <c r="JD799" s="42"/>
      <c r="JE799" s="42"/>
      <c r="JF799" s="42"/>
      <c r="JG799" s="42"/>
      <c r="JH799" s="42"/>
      <c r="JI799" s="42"/>
      <c r="JJ799" s="42"/>
      <c r="JK799" s="42"/>
      <c r="JL799" s="42"/>
      <c r="JM799" s="42"/>
      <c r="JN799" s="42"/>
      <c r="JO799" s="42"/>
      <c r="JP799" s="42"/>
      <c r="JQ799" s="42"/>
      <c r="JR799" s="42"/>
      <c r="JS799" s="42"/>
      <c r="JT799" s="42"/>
      <c r="JU799" s="42"/>
      <c r="JV799" s="42"/>
      <c r="JW799" s="42"/>
      <c r="JX799" s="42"/>
      <c r="JY799" s="42"/>
      <c r="JZ799" s="42"/>
      <c r="KA799" s="42"/>
    </row>
    <row r="800" spans="1:287" ht="12.75">
      <c r="A800" s="89"/>
      <c r="B800" s="89"/>
      <c r="J800" s="19"/>
      <c r="Q800" s="19"/>
      <c r="Y800" s="19"/>
      <c r="AF800" s="19"/>
      <c r="II800" s="42"/>
      <c r="IJ800" s="42"/>
      <c r="IK800" s="42"/>
      <c r="IL800" s="42"/>
      <c r="IM800" s="42"/>
      <c r="IN800" s="42"/>
      <c r="IO800" s="42"/>
      <c r="IP800" s="42"/>
      <c r="IQ800" s="42"/>
      <c r="IR800" s="42"/>
      <c r="IS800" s="42"/>
      <c r="IT800" s="42"/>
      <c r="IU800" s="42"/>
      <c r="IV800" s="42"/>
      <c r="IW800" s="42"/>
      <c r="IX800" s="42"/>
      <c r="IY800" s="42"/>
      <c r="IZ800" s="42"/>
      <c r="JA800" s="42"/>
      <c r="JB800" s="42"/>
      <c r="JC800" s="42"/>
      <c r="JD800" s="42"/>
      <c r="JE800" s="42"/>
      <c r="JF800" s="42"/>
      <c r="JG800" s="42"/>
      <c r="JH800" s="42"/>
      <c r="JI800" s="42"/>
      <c r="JJ800" s="42"/>
      <c r="JK800" s="42"/>
      <c r="JL800" s="42"/>
      <c r="JM800" s="42"/>
      <c r="JN800" s="42"/>
      <c r="JO800" s="42"/>
      <c r="JP800" s="42"/>
      <c r="JQ800" s="42"/>
      <c r="JR800" s="42"/>
      <c r="JS800" s="42"/>
      <c r="JT800" s="42"/>
      <c r="JU800" s="42"/>
      <c r="JV800" s="42"/>
      <c r="JW800" s="42"/>
      <c r="JX800" s="42"/>
      <c r="JY800" s="42"/>
      <c r="JZ800" s="42"/>
      <c r="KA800" s="42"/>
    </row>
    <row r="801" spans="1:287" ht="12.75">
      <c r="A801" s="89"/>
      <c r="B801" s="89"/>
      <c r="J801" s="19"/>
      <c r="Q801" s="19"/>
      <c r="Y801" s="19"/>
      <c r="AF801" s="19"/>
      <c r="II801" s="42"/>
      <c r="IJ801" s="42"/>
      <c r="IK801" s="42"/>
      <c r="IL801" s="42"/>
      <c r="IM801" s="42"/>
      <c r="IN801" s="42"/>
      <c r="IO801" s="42"/>
      <c r="IP801" s="42"/>
      <c r="IQ801" s="42"/>
      <c r="IR801" s="42"/>
      <c r="IS801" s="42"/>
      <c r="IT801" s="42"/>
      <c r="IU801" s="42"/>
      <c r="IV801" s="42"/>
      <c r="IW801" s="42"/>
      <c r="IX801" s="42"/>
      <c r="IY801" s="42"/>
      <c r="IZ801" s="42"/>
      <c r="JA801" s="42"/>
      <c r="JB801" s="42"/>
      <c r="JC801" s="42"/>
      <c r="JD801" s="42"/>
      <c r="JE801" s="42"/>
      <c r="JF801" s="42"/>
      <c r="JG801" s="42"/>
      <c r="JH801" s="42"/>
      <c r="JI801" s="42"/>
      <c r="JJ801" s="42"/>
      <c r="JK801" s="42"/>
      <c r="JL801" s="42"/>
      <c r="JM801" s="42"/>
      <c r="JN801" s="42"/>
      <c r="JO801" s="42"/>
      <c r="JP801" s="42"/>
      <c r="JQ801" s="42"/>
      <c r="JR801" s="42"/>
      <c r="JS801" s="42"/>
      <c r="JT801" s="42"/>
      <c r="JU801" s="42"/>
      <c r="JV801" s="42"/>
      <c r="JW801" s="42"/>
      <c r="JX801" s="42"/>
      <c r="JY801" s="42"/>
      <c r="JZ801" s="42"/>
      <c r="KA801" s="42"/>
    </row>
    <row r="802" spans="1:287" ht="12.75">
      <c r="A802" s="89"/>
      <c r="B802" s="89"/>
      <c r="J802" s="19"/>
      <c r="Q802" s="19"/>
      <c r="Y802" s="19"/>
      <c r="AF802" s="19"/>
      <c r="II802" s="42"/>
      <c r="IJ802" s="42"/>
      <c r="IK802" s="42"/>
      <c r="IL802" s="42"/>
      <c r="IM802" s="42"/>
      <c r="IN802" s="42"/>
      <c r="IO802" s="42"/>
      <c r="IP802" s="42"/>
      <c r="IQ802" s="42"/>
      <c r="IR802" s="42"/>
      <c r="IS802" s="42"/>
      <c r="IT802" s="42"/>
      <c r="IU802" s="42"/>
      <c r="IV802" s="42"/>
      <c r="IW802" s="42"/>
      <c r="IX802" s="42"/>
      <c r="IY802" s="42"/>
      <c r="IZ802" s="42"/>
      <c r="JA802" s="42"/>
      <c r="JB802" s="42"/>
      <c r="JC802" s="42"/>
      <c r="JD802" s="42"/>
      <c r="JE802" s="42"/>
      <c r="JF802" s="42"/>
      <c r="JG802" s="42"/>
      <c r="JH802" s="42"/>
      <c r="JI802" s="42"/>
      <c r="JJ802" s="42"/>
      <c r="JK802" s="42"/>
      <c r="JL802" s="42"/>
      <c r="JM802" s="42"/>
      <c r="JN802" s="42"/>
      <c r="JO802" s="42"/>
      <c r="JP802" s="42"/>
      <c r="JQ802" s="42"/>
      <c r="JR802" s="42"/>
      <c r="JS802" s="42"/>
      <c r="JT802" s="42"/>
      <c r="JU802" s="42"/>
      <c r="JV802" s="42"/>
      <c r="JW802" s="42"/>
      <c r="JX802" s="42"/>
      <c r="JY802" s="42"/>
      <c r="JZ802" s="42"/>
      <c r="KA802" s="42"/>
    </row>
    <row r="803" spans="1:287" ht="12.75">
      <c r="A803" s="89"/>
      <c r="B803" s="89"/>
      <c r="J803" s="19"/>
      <c r="Q803" s="19"/>
      <c r="Y803" s="19"/>
      <c r="AF803" s="19"/>
      <c r="II803" s="42"/>
      <c r="IJ803" s="42"/>
      <c r="IK803" s="42"/>
      <c r="IL803" s="42"/>
      <c r="IM803" s="42"/>
      <c r="IN803" s="42"/>
      <c r="IO803" s="42"/>
      <c r="IP803" s="42"/>
      <c r="IQ803" s="42"/>
      <c r="IR803" s="42"/>
      <c r="IS803" s="42"/>
      <c r="IT803" s="42"/>
      <c r="IU803" s="42"/>
      <c r="IV803" s="42"/>
      <c r="IW803" s="42"/>
      <c r="IX803" s="42"/>
      <c r="IY803" s="42"/>
      <c r="IZ803" s="42"/>
      <c r="JA803" s="42"/>
      <c r="JB803" s="42"/>
      <c r="JC803" s="42"/>
      <c r="JD803" s="42"/>
      <c r="JE803" s="42"/>
      <c r="JF803" s="42"/>
      <c r="JG803" s="42"/>
      <c r="JH803" s="42"/>
      <c r="JI803" s="42"/>
      <c r="JJ803" s="42"/>
      <c r="JK803" s="42"/>
      <c r="JL803" s="42"/>
      <c r="JM803" s="42"/>
      <c r="JN803" s="42"/>
      <c r="JO803" s="42"/>
      <c r="JP803" s="42"/>
      <c r="JQ803" s="42"/>
      <c r="JR803" s="42"/>
      <c r="JS803" s="42"/>
      <c r="JT803" s="42"/>
      <c r="JU803" s="42"/>
      <c r="JV803" s="42"/>
      <c r="JW803" s="42"/>
      <c r="JX803" s="42"/>
      <c r="JY803" s="42"/>
      <c r="JZ803" s="42"/>
      <c r="KA803" s="42"/>
    </row>
    <row r="804" spans="1:287" ht="12.75">
      <c r="A804" s="89"/>
      <c r="B804" s="89"/>
      <c r="J804" s="19"/>
      <c r="Q804" s="19"/>
      <c r="Y804" s="19"/>
      <c r="AF804" s="19"/>
      <c r="II804" s="42"/>
      <c r="IJ804" s="42"/>
      <c r="IK804" s="42"/>
      <c r="IL804" s="42"/>
      <c r="IM804" s="42"/>
      <c r="IN804" s="42"/>
      <c r="IO804" s="42"/>
      <c r="IP804" s="42"/>
      <c r="IQ804" s="42"/>
      <c r="IR804" s="42"/>
      <c r="IS804" s="42"/>
      <c r="IT804" s="42"/>
      <c r="IU804" s="42"/>
      <c r="IV804" s="42"/>
      <c r="IW804" s="42"/>
      <c r="IX804" s="42"/>
      <c r="IY804" s="42"/>
      <c r="IZ804" s="42"/>
      <c r="JA804" s="42"/>
      <c r="JB804" s="42"/>
      <c r="JC804" s="42"/>
      <c r="JD804" s="42"/>
      <c r="JE804" s="42"/>
      <c r="JF804" s="42"/>
      <c r="JG804" s="42"/>
      <c r="JH804" s="42"/>
      <c r="JI804" s="42"/>
      <c r="JJ804" s="42"/>
      <c r="JK804" s="42"/>
      <c r="JL804" s="42"/>
      <c r="JM804" s="42"/>
      <c r="JN804" s="42"/>
      <c r="JO804" s="42"/>
      <c r="JP804" s="42"/>
      <c r="JQ804" s="42"/>
      <c r="JR804" s="42"/>
      <c r="JS804" s="42"/>
      <c r="JT804" s="42"/>
      <c r="JU804" s="42"/>
      <c r="JV804" s="42"/>
      <c r="JW804" s="42"/>
      <c r="JX804" s="42"/>
      <c r="JY804" s="42"/>
      <c r="JZ804" s="42"/>
      <c r="KA804" s="42"/>
    </row>
    <row r="805" spans="1:287" ht="12.75">
      <c r="A805" s="89"/>
      <c r="B805" s="89"/>
      <c r="J805" s="19"/>
      <c r="Q805" s="19"/>
      <c r="Y805" s="19"/>
      <c r="AF805" s="19"/>
      <c r="II805" s="42"/>
      <c r="IJ805" s="42"/>
      <c r="IK805" s="42"/>
      <c r="IL805" s="42"/>
      <c r="IM805" s="42"/>
      <c r="IN805" s="42"/>
      <c r="IO805" s="42"/>
      <c r="IP805" s="42"/>
      <c r="IQ805" s="42"/>
      <c r="IR805" s="42"/>
      <c r="IS805" s="42"/>
      <c r="IT805" s="42"/>
      <c r="IU805" s="42"/>
      <c r="IV805" s="42"/>
      <c r="IW805" s="42"/>
      <c r="IX805" s="42"/>
      <c r="IY805" s="42"/>
      <c r="IZ805" s="42"/>
      <c r="JA805" s="42"/>
      <c r="JB805" s="42"/>
      <c r="JC805" s="42"/>
      <c r="JD805" s="42"/>
      <c r="JE805" s="42"/>
      <c r="JF805" s="42"/>
      <c r="JG805" s="42"/>
      <c r="JH805" s="42"/>
      <c r="JI805" s="42"/>
      <c r="JJ805" s="42"/>
      <c r="JK805" s="42"/>
      <c r="JL805" s="42"/>
      <c r="JM805" s="42"/>
      <c r="JN805" s="42"/>
      <c r="JO805" s="42"/>
      <c r="JP805" s="42"/>
      <c r="JQ805" s="42"/>
      <c r="JR805" s="42"/>
      <c r="JS805" s="42"/>
      <c r="JT805" s="42"/>
      <c r="JU805" s="42"/>
      <c r="JV805" s="42"/>
      <c r="JW805" s="42"/>
      <c r="JX805" s="42"/>
      <c r="JY805" s="42"/>
      <c r="JZ805" s="42"/>
      <c r="KA805" s="42"/>
    </row>
    <row r="806" spans="1:287" ht="12.75">
      <c r="A806" s="89"/>
      <c r="B806" s="89"/>
      <c r="J806" s="19"/>
      <c r="Q806" s="19"/>
      <c r="Y806" s="19"/>
      <c r="AF806" s="19"/>
      <c r="II806" s="42"/>
      <c r="IJ806" s="42"/>
      <c r="IK806" s="42"/>
      <c r="IL806" s="42"/>
      <c r="IM806" s="42"/>
      <c r="IN806" s="42"/>
      <c r="IO806" s="42"/>
      <c r="IP806" s="42"/>
      <c r="IQ806" s="42"/>
      <c r="IR806" s="42"/>
      <c r="IS806" s="42"/>
      <c r="IT806" s="42"/>
      <c r="IU806" s="42"/>
      <c r="IV806" s="42"/>
      <c r="IW806" s="42"/>
      <c r="IX806" s="42"/>
      <c r="IY806" s="42"/>
      <c r="IZ806" s="42"/>
      <c r="JA806" s="42"/>
      <c r="JB806" s="42"/>
      <c r="JC806" s="42"/>
      <c r="JD806" s="42"/>
      <c r="JE806" s="42"/>
      <c r="JF806" s="42"/>
      <c r="JG806" s="42"/>
      <c r="JH806" s="42"/>
      <c r="JI806" s="42"/>
      <c r="JJ806" s="42"/>
      <c r="JK806" s="42"/>
      <c r="JL806" s="42"/>
      <c r="JM806" s="42"/>
      <c r="JN806" s="42"/>
      <c r="JO806" s="42"/>
      <c r="JP806" s="42"/>
      <c r="JQ806" s="42"/>
      <c r="JR806" s="42"/>
      <c r="JS806" s="42"/>
      <c r="JT806" s="42"/>
      <c r="JU806" s="42"/>
      <c r="JV806" s="42"/>
      <c r="JW806" s="42"/>
      <c r="JX806" s="42"/>
      <c r="JY806" s="42"/>
      <c r="JZ806" s="42"/>
      <c r="KA806" s="42"/>
    </row>
    <row r="807" spans="1:287" ht="12.75">
      <c r="A807" s="89"/>
      <c r="B807" s="89"/>
      <c r="J807" s="19"/>
      <c r="Q807" s="19"/>
      <c r="Y807" s="19"/>
      <c r="AF807" s="19"/>
      <c r="II807" s="42"/>
      <c r="IJ807" s="42"/>
      <c r="IK807" s="42"/>
      <c r="IL807" s="42"/>
      <c r="IM807" s="42"/>
      <c r="IN807" s="42"/>
      <c r="IO807" s="42"/>
      <c r="IP807" s="42"/>
      <c r="IQ807" s="42"/>
      <c r="IR807" s="42"/>
      <c r="IS807" s="42"/>
      <c r="IT807" s="42"/>
      <c r="IU807" s="42"/>
      <c r="IV807" s="42"/>
      <c r="IW807" s="42"/>
      <c r="IX807" s="42"/>
      <c r="IY807" s="42"/>
      <c r="IZ807" s="42"/>
      <c r="JA807" s="42"/>
      <c r="JB807" s="42"/>
      <c r="JC807" s="42"/>
      <c r="JD807" s="42"/>
      <c r="JE807" s="42"/>
      <c r="JF807" s="42"/>
      <c r="JG807" s="42"/>
      <c r="JH807" s="42"/>
      <c r="JI807" s="42"/>
      <c r="JJ807" s="42"/>
      <c r="JK807" s="42"/>
      <c r="JL807" s="42"/>
      <c r="JM807" s="42"/>
      <c r="JN807" s="42"/>
      <c r="JO807" s="42"/>
      <c r="JP807" s="42"/>
      <c r="JQ807" s="42"/>
      <c r="JR807" s="42"/>
      <c r="JS807" s="42"/>
      <c r="JT807" s="42"/>
      <c r="JU807" s="42"/>
      <c r="JV807" s="42"/>
      <c r="JW807" s="42"/>
      <c r="JX807" s="42"/>
      <c r="JY807" s="42"/>
      <c r="JZ807" s="42"/>
      <c r="KA807" s="42"/>
    </row>
    <row r="808" spans="1:287" ht="12.75">
      <c r="A808" s="89"/>
      <c r="B808" s="89"/>
      <c r="J808" s="19"/>
      <c r="Q808" s="19"/>
      <c r="Y808" s="19"/>
      <c r="AF808" s="19"/>
      <c r="II808" s="42"/>
      <c r="IJ808" s="42"/>
      <c r="IK808" s="42"/>
      <c r="IL808" s="42"/>
      <c r="IM808" s="42"/>
      <c r="IN808" s="42"/>
      <c r="IO808" s="42"/>
      <c r="IP808" s="42"/>
      <c r="IQ808" s="42"/>
      <c r="IR808" s="42"/>
      <c r="IS808" s="42"/>
      <c r="IT808" s="42"/>
      <c r="IU808" s="42"/>
      <c r="IV808" s="42"/>
      <c r="IW808" s="42"/>
      <c r="IX808" s="42"/>
      <c r="IY808" s="42"/>
      <c r="IZ808" s="42"/>
      <c r="JA808" s="42"/>
      <c r="JB808" s="42"/>
      <c r="JC808" s="42"/>
      <c r="JD808" s="42"/>
      <c r="JE808" s="42"/>
      <c r="JF808" s="42"/>
      <c r="JG808" s="42"/>
      <c r="JH808" s="42"/>
      <c r="JI808" s="42"/>
      <c r="JJ808" s="42"/>
      <c r="JK808" s="42"/>
      <c r="JL808" s="42"/>
      <c r="JM808" s="42"/>
      <c r="JN808" s="42"/>
      <c r="JO808" s="42"/>
      <c r="JP808" s="42"/>
      <c r="JQ808" s="42"/>
      <c r="JR808" s="42"/>
      <c r="JS808" s="42"/>
      <c r="JT808" s="42"/>
      <c r="JU808" s="42"/>
      <c r="JV808" s="42"/>
      <c r="JW808" s="42"/>
      <c r="JX808" s="42"/>
      <c r="JY808" s="42"/>
      <c r="JZ808" s="42"/>
      <c r="KA808" s="42"/>
    </row>
    <row r="809" spans="1:287" ht="12.75">
      <c r="A809" s="89"/>
      <c r="B809" s="89"/>
      <c r="J809" s="19"/>
      <c r="Q809" s="19"/>
      <c r="Y809" s="19"/>
      <c r="AF809" s="19"/>
      <c r="II809" s="42"/>
      <c r="IJ809" s="42"/>
      <c r="IK809" s="42"/>
      <c r="IL809" s="42"/>
      <c r="IM809" s="42"/>
      <c r="IN809" s="42"/>
      <c r="IO809" s="42"/>
      <c r="IP809" s="42"/>
      <c r="IQ809" s="42"/>
      <c r="IR809" s="42"/>
      <c r="IS809" s="42"/>
      <c r="IT809" s="42"/>
      <c r="IU809" s="42"/>
      <c r="IV809" s="42"/>
      <c r="IW809" s="42"/>
      <c r="IX809" s="42"/>
      <c r="IY809" s="42"/>
      <c r="IZ809" s="42"/>
      <c r="JA809" s="42"/>
      <c r="JB809" s="42"/>
      <c r="JC809" s="42"/>
      <c r="JD809" s="42"/>
      <c r="JE809" s="42"/>
      <c r="JF809" s="42"/>
      <c r="JG809" s="42"/>
      <c r="JH809" s="42"/>
      <c r="JI809" s="42"/>
      <c r="JJ809" s="42"/>
      <c r="JK809" s="42"/>
      <c r="JL809" s="42"/>
      <c r="JM809" s="42"/>
      <c r="JN809" s="42"/>
      <c r="JO809" s="42"/>
      <c r="JP809" s="42"/>
      <c r="JQ809" s="42"/>
      <c r="JR809" s="42"/>
      <c r="JS809" s="42"/>
      <c r="JT809" s="42"/>
      <c r="JU809" s="42"/>
      <c r="JV809" s="42"/>
      <c r="JW809" s="42"/>
      <c r="JX809" s="42"/>
      <c r="JY809" s="42"/>
      <c r="JZ809" s="42"/>
      <c r="KA809" s="42"/>
    </row>
    <row r="810" spans="1:287" ht="12.75">
      <c r="A810" s="89"/>
      <c r="B810" s="89"/>
      <c r="J810" s="19"/>
      <c r="Q810" s="19"/>
      <c r="Y810" s="19"/>
      <c r="AF810" s="19"/>
      <c r="II810" s="42"/>
      <c r="IJ810" s="42"/>
      <c r="IK810" s="42"/>
      <c r="IL810" s="42"/>
      <c r="IM810" s="42"/>
      <c r="IN810" s="42"/>
      <c r="IO810" s="42"/>
      <c r="IP810" s="42"/>
      <c r="IQ810" s="42"/>
      <c r="IR810" s="42"/>
      <c r="IS810" s="42"/>
      <c r="IT810" s="42"/>
      <c r="IU810" s="42"/>
      <c r="IV810" s="42"/>
      <c r="IW810" s="42"/>
      <c r="IX810" s="42"/>
      <c r="IY810" s="42"/>
      <c r="IZ810" s="42"/>
      <c r="JA810" s="42"/>
      <c r="JB810" s="42"/>
      <c r="JC810" s="42"/>
      <c r="JD810" s="42"/>
      <c r="JE810" s="42"/>
      <c r="JF810" s="42"/>
      <c r="JG810" s="42"/>
      <c r="JH810" s="42"/>
      <c r="JI810" s="42"/>
      <c r="JJ810" s="42"/>
      <c r="JK810" s="42"/>
      <c r="JL810" s="42"/>
      <c r="JM810" s="42"/>
      <c r="JN810" s="42"/>
      <c r="JO810" s="42"/>
      <c r="JP810" s="42"/>
      <c r="JQ810" s="42"/>
      <c r="JR810" s="42"/>
      <c r="JS810" s="42"/>
      <c r="JT810" s="42"/>
      <c r="JU810" s="42"/>
      <c r="JV810" s="42"/>
      <c r="JW810" s="42"/>
      <c r="JX810" s="42"/>
      <c r="JY810" s="42"/>
      <c r="JZ810" s="42"/>
      <c r="KA810" s="42"/>
    </row>
    <row r="811" spans="1:287" ht="12.75">
      <c r="A811" s="89"/>
      <c r="B811" s="89"/>
      <c r="J811" s="19"/>
      <c r="Q811" s="19"/>
      <c r="Y811" s="19"/>
      <c r="AF811" s="19"/>
      <c r="II811" s="42"/>
      <c r="IJ811" s="42"/>
      <c r="IK811" s="42"/>
      <c r="IL811" s="42"/>
      <c r="IM811" s="42"/>
      <c r="IN811" s="42"/>
      <c r="IO811" s="42"/>
      <c r="IP811" s="42"/>
      <c r="IQ811" s="42"/>
      <c r="IR811" s="42"/>
      <c r="IS811" s="42"/>
      <c r="IT811" s="42"/>
      <c r="IU811" s="42"/>
      <c r="IV811" s="42"/>
      <c r="IW811" s="42"/>
      <c r="IX811" s="42"/>
      <c r="IY811" s="42"/>
      <c r="IZ811" s="42"/>
      <c r="JA811" s="42"/>
      <c r="JB811" s="42"/>
      <c r="JC811" s="42"/>
      <c r="JD811" s="42"/>
      <c r="JE811" s="42"/>
      <c r="JF811" s="42"/>
      <c r="JG811" s="42"/>
      <c r="JH811" s="42"/>
      <c r="JI811" s="42"/>
      <c r="JJ811" s="42"/>
      <c r="JK811" s="42"/>
      <c r="JL811" s="42"/>
      <c r="JM811" s="42"/>
      <c r="JN811" s="42"/>
      <c r="JO811" s="42"/>
      <c r="JP811" s="42"/>
      <c r="JQ811" s="42"/>
      <c r="JR811" s="42"/>
      <c r="JS811" s="42"/>
      <c r="JT811" s="42"/>
      <c r="JU811" s="42"/>
      <c r="JV811" s="42"/>
      <c r="JW811" s="42"/>
      <c r="JX811" s="42"/>
      <c r="JY811" s="42"/>
      <c r="JZ811" s="42"/>
      <c r="KA811" s="42"/>
    </row>
    <row r="812" spans="1:287" ht="12.75">
      <c r="A812" s="89"/>
      <c r="B812" s="89"/>
      <c r="J812" s="19"/>
      <c r="Q812" s="19"/>
      <c r="Y812" s="19"/>
      <c r="AF812" s="19"/>
      <c r="II812" s="42"/>
      <c r="IJ812" s="42"/>
      <c r="IK812" s="42"/>
      <c r="IL812" s="42"/>
      <c r="IM812" s="42"/>
      <c r="IN812" s="42"/>
      <c r="IO812" s="42"/>
      <c r="IP812" s="42"/>
      <c r="IQ812" s="42"/>
      <c r="IR812" s="42"/>
      <c r="IS812" s="42"/>
      <c r="IT812" s="42"/>
      <c r="IU812" s="42"/>
      <c r="IV812" s="42"/>
      <c r="IW812" s="42"/>
      <c r="IX812" s="42"/>
      <c r="IY812" s="42"/>
      <c r="IZ812" s="42"/>
      <c r="JA812" s="42"/>
      <c r="JB812" s="42"/>
      <c r="JC812" s="42"/>
      <c r="JD812" s="42"/>
      <c r="JE812" s="42"/>
      <c r="JF812" s="42"/>
      <c r="JG812" s="42"/>
      <c r="JH812" s="42"/>
      <c r="JI812" s="42"/>
      <c r="JJ812" s="42"/>
      <c r="JK812" s="42"/>
      <c r="JL812" s="42"/>
      <c r="JM812" s="42"/>
      <c r="JN812" s="42"/>
      <c r="JO812" s="42"/>
      <c r="JP812" s="42"/>
      <c r="JQ812" s="42"/>
      <c r="JR812" s="42"/>
      <c r="JS812" s="42"/>
      <c r="JT812" s="42"/>
      <c r="JU812" s="42"/>
      <c r="JV812" s="42"/>
      <c r="JW812" s="42"/>
      <c r="JX812" s="42"/>
      <c r="JY812" s="42"/>
      <c r="JZ812" s="42"/>
      <c r="KA812" s="42"/>
    </row>
    <row r="813" spans="1:287" ht="12.75">
      <c r="A813" s="89"/>
      <c r="B813" s="89"/>
      <c r="J813" s="19"/>
      <c r="Q813" s="19"/>
      <c r="Y813" s="19"/>
      <c r="AF813" s="19"/>
      <c r="II813" s="42"/>
      <c r="IJ813" s="42"/>
      <c r="IK813" s="42"/>
      <c r="IL813" s="42"/>
      <c r="IM813" s="42"/>
      <c r="IN813" s="42"/>
      <c r="IO813" s="42"/>
      <c r="IP813" s="42"/>
      <c r="IQ813" s="42"/>
      <c r="IR813" s="42"/>
      <c r="IS813" s="42"/>
      <c r="IT813" s="42"/>
      <c r="IU813" s="42"/>
      <c r="IV813" s="42"/>
      <c r="IW813" s="42"/>
      <c r="IX813" s="42"/>
      <c r="IY813" s="42"/>
      <c r="IZ813" s="42"/>
      <c r="JA813" s="42"/>
      <c r="JB813" s="42"/>
      <c r="JC813" s="42"/>
      <c r="JD813" s="42"/>
      <c r="JE813" s="42"/>
      <c r="JF813" s="42"/>
      <c r="JG813" s="42"/>
      <c r="JH813" s="42"/>
      <c r="JI813" s="42"/>
      <c r="JJ813" s="42"/>
      <c r="JK813" s="42"/>
      <c r="JL813" s="42"/>
      <c r="JM813" s="42"/>
      <c r="JN813" s="42"/>
      <c r="JO813" s="42"/>
      <c r="JP813" s="42"/>
      <c r="JQ813" s="42"/>
      <c r="JR813" s="42"/>
      <c r="JS813" s="42"/>
      <c r="JT813" s="42"/>
      <c r="JU813" s="42"/>
      <c r="JV813" s="42"/>
      <c r="JW813" s="42"/>
      <c r="JX813" s="42"/>
      <c r="JY813" s="42"/>
      <c r="JZ813" s="42"/>
      <c r="KA813" s="42"/>
    </row>
    <row r="814" spans="1:287" ht="12.75">
      <c r="A814" s="89"/>
      <c r="B814" s="89"/>
      <c r="J814" s="19"/>
      <c r="Q814" s="19"/>
      <c r="Y814" s="19"/>
      <c r="AF814" s="19"/>
      <c r="II814" s="42"/>
      <c r="IJ814" s="42"/>
      <c r="IK814" s="42"/>
      <c r="IL814" s="42"/>
      <c r="IM814" s="42"/>
      <c r="IN814" s="42"/>
      <c r="IO814" s="42"/>
      <c r="IP814" s="42"/>
      <c r="IQ814" s="42"/>
      <c r="IR814" s="42"/>
      <c r="IS814" s="42"/>
      <c r="IT814" s="42"/>
      <c r="IU814" s="42"/>
      <c r="IV814" s="42"/>
      <c r="IW814" s="42"/>
      <c r="IX814" s="42"/>
      <c r="IY814" s="42"/>
      <c r="IZ814" s="42"/>
      <c r="JA814" s="42"/>
      <c r="JB814" s="42"/>
      <c r="JC814" s="42"/>
      <c r="JD814" s="42"/>
      <c r="JE814" s="42"/>
      <c r="JF814" s="42"/>
      <c r="JG814" s="42"/>
      <c r="JH814" s="42"/>
      <c r="JI814" s="42"/>
      <c r="JJ814" s="42"/>
      <c r="JK814" s="42"/>
      <c r="JL814" s="42"/>
      <c r="JM814" s="42"/>
      <c r="JN814" s="42"/>
      <c r="JO814" s="42"/>
      <c r="JP814" s="42"/>
      <c r="JQ814" s="42"/>
      <c r="JR814" s="42"/>
      <c r="JS814" s="42"/>
      <c r="JT814" s="42"/>
      <c r="JU814" s="42"/>
      <c r="JV814" s="42"/>
      <c r="JW814" s="42"/>
      <c r="JX814" s="42"/>
      <c r="JY814" s="42"/>
      <c r="JZ814" s="42"/>
      <c r="KA814" s="42"/>
    </row>
    <row r="815" spans="1:287" ht="12.75">
      <c r="A815" s="89"/>
      <c r="B815" s="89"/>
      <c r="J815" s="19"/>
      <c r="Q815" s="19"/>
      <c r="Y815" s="19"/>
      <c r="AF815" s="19"/>
      <c r="II815" s="42"/>
      <c r="IJ815" s="42"/>
      <c r="IK815" s="42"/>
      <c r="IL815" s="42"/>
      <c r="IM815" s="42"/>
      <c r="IN815" s="42"/>
      <c r="IO815" s="42"/>
      <c r="IP815" s="42"/>
      <c r="IQ815" s="42"/>
      <c r="IR815" s="42"/>
      <c r="IS815" s="42"/>
      <c r="IT815" s="42"/>
      <c r="IU815" s="42"/>
      <c r="IV815" s="42"/>
      <c r="IW815" s="42"/>
      <c r="IX815" s="42"/>
      <c r="IY815" s="42"/>
      <c r="IZ815" s="42"/>
      <c r="JA815" s="42"/>
      <c r="JB815" s="42"/>
      <c r="JC815" s="42"/>
      <c r="JD815" s="42"/>
      <c r="JE815" s="42"/>
      <c r="JF815" s="42"/>
      <c r="JG815" s="42"/>
      <c r="JH815" s="42"/>
      <c r="JI815" s="42"/>
      <c r="JJ815" s="42"/>
      <c r="JK815" s="42"/>
      <c r="JL815" s="42"/>
      <c r="JM815" s="42"/>
      <c r="JN815" s="42"/>
      <c r="JO815" s="42"/>
      <c r="JP815" s="42"/>
      <c r="JQ815" s="42"/>
      <c r="JR815" s="42"/>
      <c r="JS815" s="42"/>
      <c r="JT815" s="42"/>
      <c r="JU815" s="42"/>
      <c r="JV815" s="42"/>
      <c r="JW815" s="42"/>
      <c r="JX815" s="42"/>
      <c r="JY815" s="42"/>
      <c r="JZ815" s="42"/>
      <c r="KA815" s="42"/>
    </row>
    <row r="816" spans="1:287" ht="12.75">
      <c r="A816" s="89"/>
      <c r="B816" s="89"/>
      <c r="J816" s="19"/>
      <c r="Q816" s="19"/>
      <c r="Y816" s="19"/>
      <c r="AF816" s="19"/>
      <c r="II816" s="42"/>
      <c r="IJ816" s="42"/>
      <c r="IK816" s="42"/>
      <c r="IL816" s="42"/>
      <c r="IM816" s="42"/>
      <c r="IN816" s="42"/>
      <c r="IO816" s="42"/>
      <c r="IP816" s="42"/>
      <c r="IQ816" s="42"/>
      <c r="IR816" s="42"/>
      <c r="IS816" s="42"/>
      <c r="IT816" s="42"/>
      <c r="IU816" s="42"/>
      <c r="IV816" s="42"/>
      <c r="IW816" s="42"/>
      <c r="IX816" s="42"/>
      <c r="IY816" s="42"/>
      <c r="IZ816" s="42"/>
      <c r="JA816" s="42"/>
      <c r="JB816" s="42"/>
      <c r="JC816" s="42"/>
      <c r="JD816" s="42"/>
      <c r="JE816" s="42"/>
      <c r="JF816" s="42"/>
      <c r="JG816" s="42"/>
      <c r="JH816" s="42"/>
      <c r="JI816" s="42"/>
      <c r="JJ816" s="42"/>
      <c r="JK816" s="42"/>
      <c r="JL816" s="42"/>
      <c r="JM816" s="42"/>
      <c r="JN816" s="42"/>
      <c r="JO816" s="42"/>
      <c r="JP816" s="42"/>
      <c r="JQ816" s="42"/>
      <c r="JR816" s="42"/>
      <c r="JS816" s="42"/>
      <c r="JT816" s="42"/>
      <c r="JU816" s="42"/>
      <c r="JV816" s="42"/>
      <c r="JW816" s="42"/>
      <c r="JX816" s="42"/>
      <c r="JY816" s="42"/>
      <c r="JZ816" s="42"/>
      <c r="KA816" s="42"/>
    </row>
    <row r="817" spans="1:287" ht="12.75">
      <c r="A817" s="89"/>
      <c r="B817" s="89"/>
      <c r="J817" s="19"/>
      <c r="Q817" s="19"/>
      <c r="Y817" s="19"/>
      <c r="AF817" s="19"/>
      <c r="II817" s="42"/>
      <c r="IJ817" s="42"/>
      <c r="IK817" s="42"/>
      <c r="IL817" s="42"/>
      <c r="IM817" s="42"/>
      <c r="IN817" s="42"/>
      <c r="IO817" s="42"/>
      <c r="IP817" s="42"/>
      <c r="IQ817" s="42"/>
      <c r="IR817" s="42"/>
      <c r="IS817" s="42"/>
      <c r="IT817" s="42"/>
      <c r="IU817" s="42"/>
      <c r="IV817" s="42"/>
      <c r="IW817" s="42"/>
      <c r="IX817" s="42"/>
      <c r="IY817" s="42"/>
      <c r="IZ817" s="42"/>
      <c r="JA817" s="42"/>
      <c r="JB817" s="42"/>
      <c r="JC817" s="42"/>
      <c r="JD817" s="42"/>
      <c r="JE817" s="42"/>
      <c r="JF817" s="42"/>
      <c r="JG817" s="42"/>
      <c r="JH817" s="42"/>
      <c r="JI817" s="42"/>
      <c r="JJ817" s="42"/>
      <c r="JK817" s="42"/>
      <c r="JL817" s="42"/>
      <c r="JM817" s="42"/>
      <c r="JN817" s="42"/>
      <c r="JO817" s="42"/>
      <c r="JP817" s="42"/>
      <c r="JQ817" s="42"/>
      <c r="JR817" s="42"/>
      <c r="JS817" s="42"/>
      <c r="JT817" s="42"/>
      <c r="JU817" s="42"/>
      <c r="JV817" s="42"/>
      <c r="JW817" s="42"/>
      <c r="JX817" s="42"/>
      <c r="JY817" s="42"/>
      <c r="JZ817" s="42"/>
      <c r="KA817" s="42"/>
    </row>
    <row r="818" spans="1:287" ht="12.75">
      <c r="A818" s="89"/>
      <c r="B818" s="89"/>
      <c r="J818" s="19"/>
      <c r="Q818" s="19"/>
      <c r="Y818" s="19"/>
      <c r="AF818" s="19"/>
      <c r="II818" s="42"/>
      <c r="IJ818" s="42"/>
      <c r="IK818" s="42"/>
      <c r="IL818" s="42"/>
      <c r="IM818" s="42"/>
      <c r="IN818" s="42"/>
      <c r="IO818" s="42"/>
      <c r="IP818" s="42"/>
      <c r="IQ818" s="42"/>
      <c r="IR818" s="42"/>
      <c r="IS818" s="42"/>
      <c r="IT818" s="42"/>
      <c r="IU818" s="42"/>
      <c r="IV818" s="42"/>
      <c r="IW818" s="42"/>
      <c r="IX818" s="42"/>
      <c r="IY818" s="42"/>
      <c r="IZ818" s="42"/>
      <c r="JA818" s="42"/>
      <c r="JB818" s="42"/>
      <c r="JC818" s="42"/>
      <c r="JD818" s="42"/>
      <c r="JE818" s="42"/>
      <c r="JF818" s="42"/>
      <c r="JG818" s="42"/>
      <c r="JH818" s="42"/>
      <c r="JI818" s="42"/>
      <c r="JJ818" s="42"/>
      <c r="JK818" s="42"/>
      <c r="JL818" s="42"/>
      <c r="JM818" s="42"/>
      <c r="JN818" s="42"/>
      <c r="JO818" s="42"/>
      <c r="JP818" s="42"/>
      <c r="JQ818" s="42"/>
      <c r="JR818" s="42"/>
      <c r="JS818" s="42"/>
      <c r="JT818" s="42"/>
      <c r="JU818" s="42"/>
      <c r="JV818" s="42"/>
      <c r="JW818" s="42"/>
      <c r="JX818" s="42"/>
      <c r="JY818" s="42"/>
      <c r="JZ818" s="42"/>
      <c r="KA818" s="42"/>
    </row>
    <row r="819" spans="1:287" ht="12.75">
      <c r="A819" s="89"/>
      <c r="B819" s="89"/>
      <c r="J819" s="19"/>
      <c r="Q819" s="19"/>
      <c r="Y819" s="19"/>
      <c r="AF819" s="19"/>
      <c r="II819" s="42"/>
      <c r="IJ819" s="42"/>
      <c r="IK819" s="42"/>
      <c r="IL819" s="42"/>
      <c r="IM819" s="42"/>
      <c r="IN819" s="42"/>
      <c r="IO819" s="42"/>
      <c r="IP819" s="42"/>
      <c r="IQ819" s="42"/>
      <c r="IR819" s="42"/>
      <c r="IS819" s="42"/>
      <c r="IT819" s="42"/>
      <c r="IU819" s="42"/>
      <c r="IV819" s="42"/>
      <c r="IW819" s="42"/>
      <c r="IX819" s="42"/>
      <c r="IY819" s="42"/>
      <c r="IZ819" s="42"/>
      <c r="JA819" s="42"/>
      <c r="JB819" s="42"/>
      <c r="JC819" s="42"/>
      <c r="JD819" s="42"/>
      <c r="JE819" s="42"/>
      <c r="JF819" s="42"/>
      <c r="JG819" s="42"/>
      <c r="JH819" s="42"/>
      <c r="JI819" s="42"/>
      <c r="JJ819" s="42"/>
      <c r="JK819" s="42"/>
      <c r="JL819" s="42"/>
      <c r="JM819" s="42"/>
      <c r="JN819" s="42"/>
      <c r="JO819" s="42"/>
      <c r="JP819" s="42"/>
      <c r="JQ819" s="42"/>
      <c r="JR819" s="42"/>
      <c r="JS819" s="42"/>
      <c r="JT819" s="42"/>
      <c r="JU819" s="42"/>
      <c r="JV819" s="42"/>
      <c r="JW819" s="42"/>
      <c r="JX819" s="42"/>
      <c r="JY819" s="42"/>
      <c r="JZ819" s="42"/>
      <c r="KA819" s="42"/>
    </row>
    <row r="820" spans="1:287" ht="12.75">
      <c r="A820" s="89"/>
      <c r="B820" s="89"/>
      <c r="J820" s="19"/>
      <c r="Q820" s="19"/>
      <c r="Y820" s="19"/>
      <c r="AF820" s="19"/>
      <c r="II820" s="42"/>
      <c r="IJ820" s="42"/>
      <c r="IK820" s="42"/>
      <c r="IL820" s="42"/>
      <c r="IM820" s="42"/>
      <c r="IN820" s="42"/>
      <c r="IO820" s="42"/>
      <c r="IP820" s="42"/>
      <c r="IQ820" s="42"/>
      <c r="IR820" s="42"/>
      <c r="IS820" s="42"/>
      <c r="IT820" s="42"/>
      <c r="IU820" s="42"/>
      <c r="IV820" s="42"/>
      <c r="IW820" s="42"/>
      <c r="IX820" s="42"/>
      <c r="IY820" s="42"/>
      <c r="IZ820" s="42"/>
      <c r="JA820" s="42"/>
      <c r="JB820" s="42"/>
      <c r="JC820" s="42"/>
      <c r="JD820" s="42"/>
      <c r="JE820" s="42"/>
      <c r="JF820" s="42"/>
      <c r="JG820" s="42"/>
      <c r="JH820" s="42"/>
      <c r="JI820" s="42"/>
      <c r="JJ820" s="42"/>
      <c r="JK820" s="42"/>
      <c r="JL820" s="42"/>
      <c r="JM820" s="42"/>
      <c r="JN820" s="42"/>
      <c r="JO820" s="42"/>
      <c r="JP820" s="42"/>
      <c r="JQ820" s="42"/>
      <c r="JR820" s="42"/>
      <c r="JS820" s="42"/>
      <c r="JT820" s="42"/>
      <c r="JU820" s="42"/>
      <c r="JV820" s="42"/>
      <c r="JW820" s="42"/>
      <c r="JX820" s="42"/>
      <c r="JY820" s="42"/>
      <c r="JZ820" s="42"/>
      <c r="KA820" s="42"/>
    </row>
    <row r="821" spans="1:287" ht="12.75">
      <c r="A821" s="89"/>
      <c r="B821" s="89"/>
      <c r="J821" s="19"/>
      <c r="Q821" s="19"/>
      <c r="Y821" s="19"/>
      <c r="AF821" s="19"/>
      <c r="II821" s="42"/>
      <c r="IJ821" s="42"/>
      <c r="IK821" s="42"/>
      <c r="IL821" s="42"/>
      <c r="IM821" s="42"/>
      <c r="IN821" s="42"/>
      <c r="IO821" s="42"/>
      <c r="IP821" s="42"/>
      <c r="IQ821" s="42"/>
      <c r="IR821" s="42"/>
      <c r="IS821" s="42"/>
      <c r="IT821" s="42"/>
      <c r="IU821" s="42"/>
      <c r="IV821" s="42"/>
      <c r="IW821" s="42"/>
      <c r="IX821" s="42"/>
      <c r="IY821" s="42"/>
      <c r="IZ821" s="42"/>
      <c r="JA821" s="42"/>
      <c r="JB821" s="42"/>
      <c r="JC821" s="42"/>
      <c r="JD821" s="42"/>
      <c r="JE821" s="42"/>
      <c r="JF821" s="42"/>
      <c r="JG821" s="42"/>
      <c r="JH821" s="42"/>
      <c r="JI821" s="42"/>
      <c r="JJ821" s="42"/>
      <c r="JK821" s="42"/>
      <c r="JL821" s="42"/>
      <c r="JM821" s="42"/>
      <c r="JN821" s="42"/>
      <c r="JO821" s="42"/>
      <c r="JP821" s="42"/>
      <c r="JQ821" s="42"/>
      <c r="JR821" s="42"/>
      <c r="JS821" s="42"/>
      <c r="JT821" s="42"/>
      <c r="JU821" s="42"/>
      <c r="JV821" s="42"/>
      <c r="JW821" s="42"/>
      <c r="JX821" s="42"/>
      <c r="JY821" s="42"/>
      <c r="JZ821" s="42"/>
      <c r="KA821" s="42"/>
    </row>
    <row r="822" spans="1:287" ht="12.75">
      <c r="A822" s="89"/>
      <c r="B822" s="89"/>
      <c r="J822" s="19"/>
      <c r="Q822" s="19"/>
      <c r="Y822" s="19"/>
      <c r="AF822" s="19"/>
      <c r="II822" s="42"/>
      <c r="IJ822" s="42"/>
      <c r="IK822" s="42"/>
      <c r="IL822" s="42"/>
      <c r="IM822" s="42"/>
      <c r="IN822" s="42"/>
      <c r="IO822" s="42"/>
      <c r="IP822" s="42"/>
      <c r="IQ822" s="42"/>
      <c r="IR822" s="42"/>
      <c r="IS822" s="42"/>
      <c r="IT822" s="42"/>
      <c r="IU822" s="42"/>
      <c r="IV822" s="42"/>
      <c r="IW822" s="42"/>
      <c r="IX822" s="42"/>
      <c r="IY822" s="42"/>
      <c r="IZ822" s="42"/>
      <c r="JA822" s="42"/>
      <c r="JB822" s="42"/>
      <c r="JC822" s="42"/>
      <c r="JD822" s="42"/>
      <c r="JE822" s="42"/>
      <c r="JF822" s="42"/>
      <c r="JG822" s="42"/>
      <c r="JH822" s="42"/>
      <c r="JI822" s="42"/>
      <c r="JJ822" s="42"/>
      <c r="JK822" s="42"/>
      <c r="JL822" s="42"/>
      <c r="JM822" s="42"/>
      <c r="JN822" s="42"/>
      <c r="JO822" s="42"/>
      <c r="JP822" s="42"/>
      <c r="JQ822" s="42"/>
      <c r="JR822" s="42"/>
      <c r="JS822" s="42"/>
      <c r="JT822" s="42"/>
      <c r="JU822" s="42"/>
      <c r="JV822" s="42"/>
      <c r="JW822" s="42"/>
      <c r="JX822" s="42"/>
      <c r="JY822" s="42"/>
      <c r="JZ822" s="42"/>
      <c r="KA822" s="42"/>
    </row>
    <row r="823" spans="1:287" ht="12.75">
      <c r="A823" s="89"/>
      <c r="B823" s="89"/>
      <c r="J823" s="19"/>
      <c r="Q823" s="19"/>
      <c r="Y823" s="19"/>
      <c r="AF823" s="19"/>
      <c r="II823" s="42"/>
      <c r="IJ823" s="42"/>
      <c r="IK823" s="42"/>
      <c r="IL823" s="42"/>
      <c r="IM823" s="42"/>
      <c r="IN823" s="42"/>
      <c r="IO823" s="42"/>
      <c r="IP823" s="42"/>
      <c r="IQ823" s="42"/>
      <c r="IR823" s="42"/>
      <c r="IS823" s="42"/>
      <c r="IT823" s="42"/>
      <c r="IU823" s="42"/>
      <c r="IV823" s="42"/>
      <c r="IW823" s="42"/>
      <c r="IX823" s="42"/>
      <c r="IY823" s="42"/>
      <c r="IZ823" s="42"/>
      <c r="JA823" s="42"/>
      <c r="JB823" s="42"/>
      <c r="JC823" s="42"/>
      <c r="JD823" s="42"/>
      <c r="JE823" s="42"/>
      <c r="JF823" s="42"/>
      <c r="JG823" s="42"/>
      <c r="JH823" s="42"/>
      <c r="JI823" s="42"/>
      <c r="JJ823" s="42"/>
      <c r="JK823" s="42"/>
      <c r="JL823" s="42"/>
      <c r="JM823" s="42"/>
      <c r="JN823" s="42"/>
      <c r="JO823" s="42"/>
      <c r="JP823" s="42"/>
      <c r="JQ823" s="42"/>
      <c r="JR823" s="42"/>
      <c r="JS823" s="42"/>
      <c r="JT823" s="42"/>
      <c r="JU823" s="42"/>
      <c r="JV823" s="42"/>
      <c r="JW823" s="42"/>
      <c r="JX823" s="42"/>
      <c r="JY823" s="42"/>
      <c r="JZ823" s="42"/>
      <c r="KA823" s="42"/>
    </row>
    <row r="824" spans="1:287" ht="12.75">
      <c r="A824" s="89"/>
      <c r="B824" s="89"/>
      <c r="J824" s="19"/>
      <c r="Q824" s="19"/>
      <c r="Y824" s="19"/>
      <c r="AF824" s="19"/>
      <c r="II824" s="42"/>
      <c r="IJ824" s="42"/>
      <c r="IK824" s="42"/>
      <c r="IL824" s="42"/>
      <c r="IM824" s="42"/>
      <c r="IN824" s="42"/>
      <c r="IO824" s="42"/>
      <c r="IP824" s="42"/>
      <c r="IQ824" s="42"/>
      <c r="IR824" s="42"/>
      <c r="IS824" s="42"/>
      <c r="IT824" s="42"/>
      <c r="IU824" s="42"/>
      <c r="IV824" s="42"/>
      <c r="IW824" s="42"/>
      <c r="IX824" s="42"/>
      <c r="IY824" s="42"/>
      <c r="IZ824" s="42"/>
      <c r="JA824" s="42"/>
      <c r="JB824" s="42"/>
      <c r="JC824" s="42"/>
      <c r="JD824" s="42"/>
      <c r="JE824" s="42"/>
      <c r="JF824" s="42"/>
      <c r="JG824" s="42"/>
      <c r="JH824" s="42"/>
      <c r="JI824" s="42"/>
      <c r="JJ824" s="42"/>
      <c r="JK824" s="42"/>
      <c r="JL824" s="42"/>
      <c r="JM824" s="42"/>
      <c r="JN824" s="42"/>
      <c r="JO824" s="42"/>
      <c r="JP824" s="42"/>
      <c r="JQ824" s="42"/>
      <c r="JR824" s="42"/>
      <c r="JS824" s="42"/>
      <c r="JT824" s="42"/>
      <c r="JU824" s="42"/>
      <c r="JV824" s="42"/>
      <c r="JW824" s="42"/>
      <c r="JX824" s="42"/>
      <c r="JY824" s="42"/>
      <c r="JZ824" s="42"/>
      <c r="KA824" s="42"/>
    </row>
    <row r="825" spans="1:287" ht="12.75">
      <c r="A825" s="89"/>
      <c r="B825" s="89"/>
      <c r="J825" s="19"/>
      <c r="Q825" s="19"/>
      <c r="Y825" s="19"/>
      <c r="AF825" s="19"/>
      <c r="II825" s="42"/>
      <c r="IJ825" s="42"/>
      <c r="IK825" s="42"/>
      <c r="IL825" s="42"/>
      <c r="IM825" s="42"/>
      <c r="IN825" s="42"/>
      <c r="IO825" s="42"/>
      <c r="IP825" s="42"/>
      <c r="IQ825" s="42"/>
      <c r="IR825" s="42"/>
      <c r="IS825" s="42"/>
      <c r="IT825" s="42"/>
      <c r="IU825" s="42"/>
      <c r="IV825" s="42"/>
      <c r="IW825" s="42"/>
      <c r="IX825" s="42"/>
      <c r="IY825" s="42"/>
      <c r="IZ825" s="42"/>
      <c r="JA825" s="42"/>
      <c r="JB825" s="42"/>
      <c r="JC825" s="42"/>
      <c r="JD825" s="42"/>
      <c r="JE825" s="42"/>
      <c r="JF825" s="42"/>
      <c r="JG825" s="42"/>
      <c r="JH825" s="42"/>
      <c r="JI825" s="42"/>
      <c r="JJ825" s="42"/>
      <c r="JK825" s="42"/>
      <c r="JL825" s="42"/>
      <c r="JM825" s="42"/>
      <c r="JN825" s="42"/>
      <c r="JO825" s="42"/>
      <c r="JP825" s="42"/>
      <c r="JQ825" s="42"/>
      <c r="JR825" s="42"/>
      <c r="JS825" s="42"/>
      <c r="JT825" s="42"/>
      <c r="JU825" s="42"/>
      <c r="JV825" s="42"/>
      <c r="JW825" s="42"/>
      <c r="JX825" s="42"/>
      <c r="JY825" s="42"/>
      <c r="JZ825" s="42"/>
      <c r="KA825" s="42"/>
    </row>
    <row r="826" spans="1:287" ht="12.75">
      <c r="A826" s="89"/>
      <c r="B826" s="89"/>
      <c r="J826" s="19"/>
      <c r="Q826" s="19"/>
      <c r="Y826" s="19"/>
      <c r="AF826" s="19"/>
      <c r="II826" s="42"/>
      <c r="IJ826" s="42"/>
      <c r="IK826" s="42"/>
      <c r="IL826" s="42"/>
      <c r="IM826" s="42"/>
      <c r="IN826" s="42"/>
      <c r="IO826" s="42"/>
      <c r="IP826" s="42"/>
      <c r="IQ826" s="42"/>
      <c r="IR826" s="42"/>
      <c r="IS826" s="42"/>
      <c r="IT826" s="42"/>
      <c r="IU826" s="42"/>
      <c r="IV826" s="42"/>
      <c r="IW826" s="42"/>
      <c r="IX826" s="42"/>
      <c r="IY826" s="42"/>
      <c r="IZ826" s="42"/>
      <c r="JA826" s="42"/>
      <c r="JB826" s="42"/>
      <c r="JC826" s="42"/>
      <c r="JD826" s="42"/>
      <c r="JE826" s="42"/>
      <c r="JF826" s="42"/>
      <c r="JG826" s="42"/>
      <c r="JH826" s="42"/>
      <c r="JI826" s="42"/>
      <c r="JJ826" s="42"/>
      <c r="JK826" s="42"/>
      <c r="JL826" s="42"/>
      <c r="JM826" s="42"/>
      <c r="JN826" s="42"/>
      <c r="JO826" s="42"/>
      <c r="JP826" s="42"/>
      <c r="JQ826" s="42"/>
      <c r="JR826" s="42"/>
      <c r="JS826" s="42"/>
      <c r="JT826" s="42"/>
      <c r="JU826" s="42"/>
      <c r="JV826" s="42"/>
      <c r="JW826" s="42"/>
      <c r="JX826" s="42"/>
      <c r="JY826" s="42"/>
      <c r="JZ826" s="42"/>
      <c r="KA826" s="42"/>
    </row>
    <row r="827" spans="1:287" ht="12.75">
      <c r="A827" s="89"/>
      <c r="B827" s="89"/>
      <c r="J827" s="19"/>
      <c r="Q827" s="19"/>
      <c r="Y827" s="19"/>
      <c r="AF827" s="19"/>
      <c r="II827" s="42"/>
      <c r="IJ827" s="42"/>
      <c r="IK827" s="42"/>
      <c r="IL827" s="42"/>
      <c r="IM827" s="42"/>
      <c r="IN827" s="42"/>
      <c r="IO827" s="42"/>
      <c r="IP827" s="42"/>
      <c r="IQ827" s="42"/>
      <c r="IR827" s="42"/>
      <c r="IS827" s="42"/>
      <c r="IT827" s="42"/>
      <c r="IU827" s="42"/>
      <c r="IV827" s="42"/>
      <c r="IW827" s="42"/>
      <c r="IX827" s="42"/>
      <c r="IY827" s="42"/>
      <c r="IZ827" s="42"/>
      <c r="JA827" s="42"/>
      <c r="JB827" s="42"/>
      <c r="JC827" s="42"/>
      <c r="JD827" s="42"/>
      <c r="JE827" s="42"/>
      <c r="JF827" s="42"/>
      <c r="JG827" s="42"/>
      <c r="JH827" s="42"/>
      <c r="JI827" s="42"/>
      <c r="JJ827" s="42"/>
      <c r="JK827" s="42"/>
      <c r="JL827" s="42"/>
      <c r="JM827" s="42"/>
      <c r="JN827" s="42"/>
      <c r="JO827" s="42"/>
      <c r="JP827" s="42"/>
      <c r="JQ827" s="42"/>
      <c r="JR827" s="42"/>
      <c r="JS827" s="42"/>
      <c r="JT827" s="42"/>
      <c r="JU827" s="42"/>
      <c r="JV827" s="42"/>
      <c r="JW827" s="42"/>
      <c r="JX827" s="42"/>
      <c r="JY827" s="42"/>
      <c r="JZ827" s="42"/>
      <c r="KA827" s="42"/>
    </row>
    <row r="828" spans="1:287" ht="12.75">
      <c r="A828" s="89"/>
      <c r="B828" s="89"/>
      <c r="J828" s="19"/>
      <c r="Q828" s="19"/>
      <c r="Y828" s="19"/>
      <c r="AF828" s="19"/>
      <c r="II828" s="42"/>
      <c r="IJ828" s="42"/>
      <c r="IK828" s="42"/>
      <c r="IL828" s="42"/>
      <c r="IM828" s="42"/>
      <c r="IN828" s="42"/>
      <c r="IO828" s="42"/>
      <c r="IP828" s="42"/>
      <c r="IQ828" s="42"/>
      <c r="IR828" s="42"/>
      <c r="IS828" s="42"/>
      <c r="IT828" s="42"/>
      <c r="IU828" s="42"/>
      <c r="IV828" s="42"/>
      <c r="IW828" s="42"/>
      <c r="IX828" s="42"/>
      <c r="IY828" s="42"/>
      <c r="IZ828" s="42"/>
      <c r="JA828" s="42"/>
      <c r="JB828" s="42"/>
      <c r="JC828" s="42"/>
      <c r="JD828" s="42"/>
      <c r="JE828" s="42"/>
      <c r="JF828" s="42"/>
      <c r="JG828" s="42"/>
      <c r="JH828" s="42"/>
      <c r="JI828" s="42"/>
      <c r="JJ828" s="42"/>
      <c r="JK828" s="42"/>
      <c r="JL828" s="42"/>
      <c r="JM828" s="42"/>
      <c r="JN828" s="42"/>
      <c r="JO828" s="42"/>
      <c r="JP828" s="42"/>
      <c r="JQ828" s="42"/>
      <c r="JR828" s="42"/>
      <c r="JS828" s="42"/>
      <c r="JT828" s="42"/>
      <c r="JU828" s="42"/>
      <c r="JV828" s="42"/>
      <c r="JW828" s="42"/>
      <c r="JX828" s="42"/>
      <c r="JY828" s="42"/>
      <c r="JZ828" s="42"/>
      <c r="KA828" s="42"/>
    </row>
    <row r="829" spans="1:287" ht="12.75">
      <c r="A829" s="89"/>
      <c r="B829" s="89"/>
      <c r="J829" s="19"/>
      <c r="Q829" s="19"/>
      <c r="Y829" s="19"/>
      <c r="AF829" s="19"/>
      <c r="II829" s="42"/>
      <c r="IJ829" s="42"/>
      <c r="IK829" s="42"/>
      <c r="IL829" s="42"/>
      <c r="IM829" s="42"/>
      <c r="IN829" s="42"/>
      <c r="IO829" s="42"/>
      <c r="IP829" s="42"/>
      <c r="IQ829" s="42"/>
      <c r="IR829" s="42"/>
      <c r="IS829" s="42"/>
      <c r="IT829" s="42"/>
      <c r="IU829" s="42"/>
      <c r="IV829" s="42"/>
      <c r="IW829" s="42"/>
      <c r="IX829" s="42"/>
      <c r="IY829" s="42"/>
      <c r="IZ829" s="42"/>
      <c r="JA829" s="42"/>
      <c r="JB829" s="42"/>
      <c r="JC829" s="42"/>
      <c r="JD829" s="42"/>
      <c r="JE829" s="42"/>
      <c r="JF829" s="42"/>
      <c r="JG829" s="42"/>
      <c r="JH829" s="42"/>
      <c r="JI829" s="42"/>
      <c r="JJ829" s="42"/>
      <c r="JK829" s="42"/>
      <c r="JL829" s="42"/>
      <c r="JM829" s="42"/>
      <c r="JN829" s="42"/>
      <c r="JO829" s="42"/>
      <c r="JP829" s="42"/>
      <c r="JQ829" s="42"/>
      <c r="JR829" s="42"/>
      <c r="JS829" s="42"/>
      <c r="JT829" s="42"/>
      <c r="JU829" s="42"/>
      <c r="JV829" s="42"/>
      <c r="JW829" s="42"/>
      <c r="JX829" s="42"/>
      <c r="JY829" s="42"/>
      <c r="JZ829" s="42"/>
      <c r="KA829" s="42"/>
    </row>
    <row r="830" spans="1:287" ht="12.75">
      <c r="A830" s="89"/>
      <c r="B830" s="89"/>
      <c r="J830" s="19"/>
      <c r="Q830" s="19"/>
      <c r="Y830" s="19"/>
      <c r="AF830" s="19"/>
      <c r="II830" s="42"/>
      <c r="IJ830" s="42"/>
      <c r="IK830" s="42"/>
      <c r="IL830" s="42"/>
      <c r="IM830" s="42"/>
      <c r="IN830" s="42"/>
      <c r="IO830" s="42"/>
      <c r="IP830" s="42"/>
      <c r="IQ830" s="42"/>
      <c r="IR830" s="42"/>
      <c r="IS830" s="42"/>
      <c r="IT830" s="42"/>
      <c r="IU830" s="42"/>
      <c r="IV830" s="42"/>
      <c r="IW830" s="42"/>
      <c r="IX830" s="42"/>
      <c r="IY830" s="42"/>
      <c r="IZ830" s="42"/>
      <c r="JA830" s="42"/>
      <c r="JB830" s="42"/>
      <c r="JC830" s="42"/>
      <c r="JD830" s="42"/>
      <c r="JE830" s="42"/>
      <c r="JF830" s="42"/>
      <c r="JG830" s="42"/>
      <c r="JH830" s="42"/>
      <c r="JI830" s="42"/>
      <c r="JJ830" s="42"/>
      <c r="JK830" s="42"/>
      <c r="JL830" s="42"/>
      <c r="JM830" s="42"/>
      <c r="JN830" s="42"/>
      <c r="JO830" s="42"/>
      <c r="JP830" s="42"/>
      <c r="JQ830" s="42"/>
      <c r="JR830" s="42"/>
      <c r="JS830" s="42"/>
      <c r="JT830" s="42"/>
      <c r="JU830" s="42"/>
      <c r="JV830" s="42"/>
      <c r="JW830" s="42"/>
      <c r="JX830" s="42"/>
      <c r="JY830" s="42"/>
      <c r="JZ830" s="42"/>
      <c r="KA830" s="42"/>
    </row>
    <row r="831" spans="1:287" ht="12.75">
      <c r="A831" s="89"/>
      <c r="B831" s="89"/>
      <c r="J831" s="19"/>
      <c r="Q831" s="19"/>
      <c r="Y831" s="19"/>
      <c r="AF831" s="19"/>
      <c r="II831" s="42"/>
      <c r="IJ831" s="42"/>
      <c r="IK831" s="42"/>
      <c r="IL831" s="42"/>
      <c r="IM831" s="42"/>
      <c r="IN831" s="42"/>
      <c r="IO831" s="42"/>
      <c r="IP831" s="42"/>
      <c r="IQ831" s="42"/>
      <c r="IR831" s="42"/>
      <c r="IS831" s="42"/>
      <c r="IT831" s="42"/>
      <c r="IU831" s="42"/>
      <c r="IV831" s="42"/>
      <c r="IW831" s="42"/>
      <c r="IX831" s="42"/>
      <c r="IY831" s="42"/>
      <c r="IZ831" s="42"/>
      <c r="JA831" s="42"/>
      <c r="JB831" s="42"/>
      <c r="JC831" s="42"/>
      <c r="JD831" s="42"/>
      <c r="JE831" s="42"/>
      <c r="JF831" s="42"/>
      <c r="JG831" s="42"/>
      <c r="JH831" s="42"/>
      <c r="JI831" s="42"/>
      <c r="JJ831" s="42"/>
      <c r="JK831" s="42"/>
      <c r="JL831" s="42"/>
      <c r="JM831" s="42"/>
      <c r="JN831" s="42"/>
      <c r="JO831" s="42"/>
      <c r="JP831" s="42"/>
      <c r="JQ831" s="42"/>
      <c r="JR831" s="42"/>
      <c r="JS831" s="42"/>
      <c r="JT831" s="42"/>
      <c r="JU831" s="42"/>
      <c r="JV831" s="42"/>
      <c r="JW831" s="42"/>
      <c r="JX831" s="42"/>
      <c r="JY831" s="42"/>
      <c r="JZ831" s="42"/>
      <c r="KA831" s="42"/>
    </row>
    <row r="832" spans="1:287" ht="12.75">
      <c r="A832" s="89"/>
      <c r="B832" s="89"/>
      <c r="J832" s="19"/>
      <c r="Q832" s="19"/>
      <c r="Y832" s="19"/>
      <c r="AF832" s="19"/>
      <c r="II832" s="42"/>
      <c r="IJ832" s="42"/>
      <c r="IK832" s="42"/>
      <c r="IL832" s="42"/>
      <c r="IM832" s="42"/>
      <c r="IN832" s="42"/>
      <c r="IO832" s="42"/>
      <c r="IP832" s="42"/>
      <c r="IQ832" s="42"/>
      <c r="IR832" s="42"/>
      <c r="IS832" s="42"/>
      <c r="IT832" s="42"/>
      <c r="IU832" s="42"/>
      <c r="IV832" s="42"/>
      <c r="IW832" s="42"/>
      <c r="IX832" s="42"/>
      <c r="IY832" s="42"/>
      <c r="IZ832" s="42"/>
      <c r="JA832" s="42"/>
      <c r="JB832" s="42"/>
      <c r="JC832" s="42"/>
      <c r="JD832" s="42"/>
      <c r="JE832" s="42"/>
      <c r="JF832" s="42"/>
      <c r="JG832" s="42"/>
      <c r="JH832" s="42"/>
      <c r="JI832" s="42"/>
      <c r="JJ832" s="42"/>
      <c r="JK832" s="42"/>
      <c r="JL832" s="42"/>
      <c r="JM832" s="42"/>
      <c r="JN832" s="42"/>
      <c r="JO832" s="42"/>
      <c r="JP832" s="42"/>
      <c r="JQ832" s="42"/>
      <c r="JR832" s="42"/>
      <c r="JS832" s="42"/>
      <c r="JT832" s="42"/>
      <c r="JU832" s="42"/>
      <c r="JV832" s="42"/>
      <c r="JW832" s="42"/>
      <c r="JX832" s="42"/>
      <c r="JY832" s="42"/>
      <c r="JZ832" s="42"/>
      <c r="KA832" s="42"/>
    </row>
    <row r="833" spans="1:287" ht="12.75">
      <c r="A833" s="89"/>
      <c r="B833" s="89"/>
      <c r="J833" s="19"/>
      <c r="Q833" s="19"/>
      <c r="Y833" s="19"/>
      <c r="AF833" s="19"/>
      <c r="II833" s="42"/>
      <c r="IJ833" s="42"/>
      <c r="IK833" s="42"/>
      <c r="IL833" s="42"/>
      <c r="IM833" s="42"/>
      <c r="IN833" s="42"/>
      <c r="IO833" s="42"/>
      <c r="IP833" s="42"/>
      <c r="IQ833" s="42"/>
      <c r="IR833" s="42"/>
      <c r="IS833" s="42"/>
      <c r="IT833" s="42"/>
      <c r="IU833" s="42"/>
      <c r="IV833" s="42"/>
      <c r="IW833" s="42"/>
      <c r="IX833" s="42"/>
      <c r="IY833" s="42"/>
      <c r="IZ833" s="42"/>
      <c r="JA833" s="42"/>
      <c r="JB833" s="42"/>
      <c r="JC833" s="42"/>
      <c r="JD833" s="42"/>
      <c r="JE833" s="42"/>
      <c r="JF833" s="42"/>
      <c r="JG833" s="42"/>
      <c r="JH833" s="42"/>
      <c r="JI833" s="42"/>
      <c r="JJ833" s="42"/>
      <c r="JK833" s="42"/>
      <c r="JL833" s="42"/>
      <c r="JM833" s="42"/>
      <c r="JN833" s="42"/>
      <c r="JO833" s="42"/>
      <c r="JP833" s="42"/>
      <c r="JQ833" s="42"/>
      <c r="JR833" s="42"/>
      <c r="JS833" s="42"/>
      <c r="JT833" s="42"/>
      <c r="JU833" s="42"/>
      <c r="JV833" s="42"/>
      <c r="JW833" s="42"/>
      <c r="JX833" s="42"/>
      <c r="JY833" s="42"/>
      <c r="JZ833" s="42"/>
      <c r="KA833" s="42"/>
    </row>
    <row r="834" spans="1:287" ht="12.75">
      <c r="A834" s="89"/>
      <c r="B834" s="89"/>
      <c r="J834" s="19"/>
      <c r="Q834" s="19"/>
      <c r="Y834" s="19"/>
      <c r="AF834" s="19"/>
      <c r="II834" s="42"/>
      <c r="IJ834" s="42"/>
      <c r="IK834" s="42"/>
      <c r="IL834" s="42"/>
      <c r="IM834" s="42"/>
      <c r="IN834" s="42"/>
      <c r="IO834" s="42"/>
      <c r="IP834" s="42"/>
      <c r="IQ834" s="42"/>
      <c r="IR834" s="42"/>
      <c r="IS834" s="42"/>
      <c r="IT834" s="42"/>
      <c r="IU834" s="42"/>
      <c r="IV834" s="42"/>
      <c r="IW834" s="42"/>
      <c r="IX834" s="42"/>
      <c r="IY834" s="42"/>
      <c r="IZ834" s="42"/>
      <c r="JA834" s="42"/>
      <c r="JB834" s="42"/>
      <c r="JC834" s="42"/>
      <c r="JD834" s="42"/>
      <c r="JE834" s="42"/>
      <c r="JF834" s="42"/>
      <c r="JG834" s="42"/>
      <c r="JH834" s="42"/>
      <c r="JI834" s="42"/>
      <c r="JJ834" s="42"/>
      <c r="JK834" s="42"/>
      <c r="JL834" s="42"/>
      <c r="JM834" s="42"/>
      <c r="JN834" s="42"/>
      <c r="JO834" s="42"/>
      <c r="JP834" s="42"/>
      <c r="JQ834" s="42"/>
      <c r="JR834" s="42"/>
      <c r="JS834" s="42"/>
      <c r="JT834" s="42"/>
      <c r="JU834" s="42"/>
      <c r="JV834" s="42"/>
      <c r="JW834" s="42"/>
      <c r="JX834" s="42"/>
      <c r="JY834" s="42"/>
      <c r="JZ834" s="42"/>
      <c r="KA834" s="42"/>
    </row>
    <row r="835" spans="1:287" ht="12.75">
      <c r="A835" s="89"/>
      <c r="B835" s="89"/>
      <c r="J835" s="19"/>
      <c r="Q835" s="19"/>
      <c r="Y835" s="19"/>
      <c r="AF835" s="19"/>
      <c r="II835" s="42"/>
      <c r="IJ835" s="42"/>
      <c r="IK835" s="42"/>
      <c r="IL835" s="42"/>
      <c r="IM835" s="42"/>
      <c r="IN835" s="42"/>
      <c r="IO835" s="42"/>
      <c r="IP835" s="42"/>
      <c r="IQ835" s="42"/>
      <c r="IR835" s="42"/>
      <c r="IS835" s="42"/>
      <c r="IT835" s="42"/>
      <c r="IU835" s="42"/>
      <c r="IV835" s="42"/>
      <c r="IW835" s="42"/>
      <c r="IX835" s="42"/>
      <c r="IY835" s="42"/>
      <c r="IZ835" s="42"/>
      <c r="JA835" s="42"/>
      <c r="JB835" s="42"/>
      <c r="JC835" s="42"/>
      <c r="JD835" s="42"/>
      <c r="JE835" s="42"/>
      <c r="JF835" s="42"/>
      <c r="JG835" s="42"/>
      <c r="JH835" s="42"/>
      <c r="JI835" s="42"/>
      <c r="JJ835" s="42"/>
      <c r="JK835" s="42"/>
      <c r="JL835" s="42"/>
      <c r="JM835" s="42"/>
      <c r="JN835" s="42"/>
      <c r="JO835" s="42"/>
      <c r="JP835" s="42"/>
      <c r="JQ835" s="42"/>
      <c r="JR835" s="42"/>
      <c r="JS835" s="42"/>
      <c r="JT835" s="42"/>
      <c r="JU835" s="42"/>
      <c r="JV835" s="42"/>
      <c r="JW835" s="42"/>
      <c r="JX835" s="42"/>
      <c r="JY835" s="42"/>
      <c r="JZ835" s="42"/>
      <c r="KA835" s="42"/>
    </row>
    <row r="836" spans="1:287" ht="12.75">
      <c r="A836" s="89"/>
      <c r="B836" s="89"/>
      <c r="J836" s="19"/>
      <c r="Q836" s="19"/>
      <c r="Y836" s="19"/>
      <c r="AF836" s="19"/>
      <c r="II836" s="42"/>
      <c r="IJ836" s="42"/>
      <c r="IK836" s="42"/>
      <c r="IL836" s="42"/>
      <c r="IM836" s="42"/>
      <c r="IN836" s="42"/>
      <c r="IO836" s="42"/>
      <c r="IP836" s="42"/>
      <c r="IQ836" s="42"/>
      <c r="IR836" s="42"/>
      <c r="IS836" s="42"/>
      <c r="IT836" s="42"/>
      <c r="IU836" s="42"/>
      <c r="IV836" s="42"/>
      <c r="IW836" s="42"/>
      <c r="IX836" s="42"/>
      <c r="IY836" s="42"/>
      <c r="IZ836" s="42"/>
      <c r="JA836" s="42"/>
      <c r="JB836" s="42"/>
      <c r="JC836" s="42"/>
      <c r="JD836" s="42"/>
      <c r="JE836" s="42"/>
      <c r="JF836" s="42"/>
      <c r="JG836" s="42"/>
      <c r="JH836" s="42"/>
      <c r="JI836" s="42"/>
      <c r="JJ836" s="42"/>
      <c r="JK836" s="42"/>
      <c r="JL836" s="42"/>
      <c r="JM836" s="42"/>
      <c r="JN836" s="42"/>
      <c r="JO836" s="42"/>
      <c r="JP836" s="42"/>
      <c r="JQ836" s="42"/>
      <c r="JR836" s="42"/>
      <c r="JS836" s="42"/>
      <c r="JT836" s="42"/>
      <c r="JU836" s="42"/>
      <c r="JV836" s="42"/>
      <c r="JW836" s="42"/>
      <c r="JX836" s="42"/>
      <c r="JY836" s="42"/>
      <c r="JZ836" s="42"/>
      <c r="KA836" s="42"/>
    </row>
    <row r="837" spans="1:287" ht="12.75">
      <c r="A837" s="89"/>
      <c r="B837" s="89"/>
      <c r="J837" s="19"/>
      <c r="Q837" s="19"/>
      <c r="Y837" s="19"/>
      <c r="AF837" s="19"/>
      <c r="II837" s="42"/>
      <c r="IJ837" s="42"/>
      <c r="IK837" s="42"/>
      <c r="IL837" s="42"/>
      <c r="IM837" s="42"/>
      <c r="IN837" s="42"/>
      <c r="IO837" s="42"/>
      <c r="IP837" s="42"/>
      <c r="IQ837" s="42"/>
      <c r="IR837" s="42"/>
      <c r="IS837" s="42"/>
      <c r="IT837" s="42"/>
      <c r="IU837" s="42"/>
      <c r="IV837" s="42"/>
      <c r="IW837" s="42"/>
      <c r="IX837" s="42"/>
      <c r="IY837" s="42"/>
      <c r="IZ837" s="42"/>
      <c r="JA837" s="42"/>
      <c r="JB837" s="42"/>
      <c r="JC837" s="42"/>
      <c r="JD837" s="42"/>
      <c r="JE837" s="42"/>
      <c r="JF837" s="42"/>
      <c r="JG837" s="42"/>
      <c r="JH837" s="42"/>
      <c r="JI837" s="42"/>
      <c r="JJ837" s="42"/>
      <c r="JK837" s="42"/>
      <c r="JL837" s="42"/>
      <c r="JM837" s="42"/>
      <c r="JN837" s="42"/>
      <c r="JO837" s="42"/>
      <c r="JP837" s="42"/>
      <c r="JQ837" s="42"/>
      <c r="JR837" s="42"/>
      <c r="JS837" s="42"/>
      <c r="JT837" s="42"/>
      <c r="JU837" s="42"/>
      <c r="JV837" s="42"/>
      <c r="JW837" s="42"/>
      <c r="JX837" s="42"/>
      <c r="JY837" s="42"/>
      <c r="JZ837" s="42"/>
      <c r="KA837" s="42"/>
    </row>
    <row r="838" spans="1:287" ht="12.75">
      <c r="A838" s="89"/>
      <c r="B838" s="89"/>
      <c r="J838" s="19"/>
      <c r="Q838" s="19"/>
      <c r="Y838" s="19"/>
      <c r="AF838" s="19"/>
      <c r="II838" s="42"/>
      <c r="IJ838" s="42"/>
      <c r="IK838" s="42"/>
      <c r="IL838" s="42"/>
      <c r="IM838" s="42"/>
      <c r="IN838" s="42"/>
      <c r="IO838" s="42"/>
      <c r="IP838" s="42"/>
      <c r="IQ838" s="42"/>
      <c r="IR838" s="42"/>
      <c r="IS838" s="42"/>
      <c r="IT838" s="42"/>
      <c r="IU838" s="42"/>
      <c r="IV838" s="42"/>
      <c r="IW838" s="42"/>
      <c r="IX838" s="42"/>
      <c r="IY838" s="42"/>
      <c r="IZ838" s="42"/>
      <c r="JA838" s="42"/>
      <c r="JB838" s="42"/>
      <c r="JC838" s="42"/>
      <c r="JD838" s="42"/>
      <c r="JE838" s="42"/>
      <c r="JF838" s="42"/>
      <c r="JG838" s="42"/>
      <c r="JH838" s="42"/>
      <c r="JI838" s="42"/>
      <c r="JJ838" s="42"/>
      <c r="JK838" s="42"/>
      <c r="JL838" s="42"/>
      <c r="JM838" s="42"/>
      <c r="JN838" s="42"/>
      <c r="JO838" s="42"/>
      <c r="JP838" s="42"/>
      <c r="JQ838" s="42"/>
      <c r="JR838" s="42"/>
      <c r="JS838" s="42"/>
      <c r="JT838" s="42"/>
      <c r="JU838" s="42"/>
      <c r="JV838" s="42"/>
      <c r="JW838" s="42"/>
      <c r="JX838" s="42"/>
      <c r="JY838" s="42"/>
      <c r="JZ838" s="42"/>
      <c r="KA838" s="42"/>
    </row>
    <row r="839" spans="1:287" ht="12.75">
      <c r="A839" s="89"/>
      <c r="B839" s="89"/>
      <c r="J839" s="19"/>
      <c r="Q839" s="19"/>
      <c r="Y839" s="19"/>
      <c r="AF839" s="19"/>
      <c r="II839" s="42"/>
      <c r="IJ839" s="42"/>
      <c r="IK839" s="42"/>
      <c r="IL839" s="42"/>
      <c r="IM839" s="42"/>
      <c r="IN839" s="42"/>
      <c r="IO839" s="42"/>
      <c r="IP839" s="42"/>
      <c r="IQ839" s="42"/>
      <c r="IR839" s="42"/>
      <c r="IS839" s="42"/>
      <c r="IT839" s="42"/>
      <c r="IU839" s="42"/>
      <c r="IV839" s="42"/>
      <c r="IW839" s="42"/>
      <c r="IX839" s="42"/>
      <c r="IY839" s="42"/>
      <c r="IZ839" s="42"/>
      <c r="JA839" s="42"/>
      <c r="JB839" s="42"/>
      <c r="JC839" s="42"/>
      <c r="JD839" s="42"/>
      <c r="JE839" s="42"/>
      <c r="JF839" s="42"/>
      <c r="JG839" s="42"/>
      <c r="JH839" s="42"/>
      <c r="JI839" s="42"/>
      <c r="JJ839" s="42"/>
      <c r="JK839" s="42"/>
      <c r="JL839" s="42"/>
      <c r="JM839" s="42"/>
      <c r="JN839" s="42"/>
      <c r="JO839" s="42"/>
      <c r="JP839" s="42"/>
      <c r="JQ839" s="42"/>
      <c r="JR839" s="42"/>
      <c r="JS839" s="42"/>
      <c r="JT839" s="42"/>
      <c r="JU839" s="42"/>
      <c r="JV839" s="42"/>
      <c r="JW839" s="42"/>
      <c r="JX839" s="42"/>
      <c r="JY839" s="42"/>
      <c r="JZ839" s="42"/>
      <c r="KA839" s="42"/>
    </row>
    <row r="840" spans="1:287" ht="12.75">
      <c r="A840" s="89"/>
      <c r="B840" s="89"/>
      <c r="J840" s="19"/>
      <c r="Q840" s="19"/>
      <c r="Y840" s="19"/>
      <c r="AF840" s="19"/>
      <c r="II840" s="42"/>
      <c r="IJ840" s="42"/>
      <c r="IK840" s="42"/>
      <c r="IL840" s="42"/>
      <c r="IM840" s="42"/>
      <c r="IN840" s="42"/>
      <c r="IO840" s="42"/>
      <c r="IP840" s="42"/>
      <c r="IQ840" s="42"/>
      <c r="IR840" s="42"/>
      <c r="IS840" s="42"/>
      <c r="IT840" s="42"/>
      <c r="IU840" s="42"/>
      <c r="IV840" s="42"/>
      <c r="IW840" s="42"/>
      <c r="IX840" s="42"/>
      <c r="IY840" s="42"/>
      <c r="IZ840" s="42"/>
      <c r="JA840" s="42"/>
      <c r="JB840" s="42"/>
      <c r="JC840" s="42"/>
      <c r="JD840" s="42"/>
      <c r="JE840" s="42"/>
      <c r="JF840" s="42"/>
      <c r="JG840" s="42"/>
      <c r="JH840" s="42"/>
      <c r="JI840" s="42"/>
      <c r="JJ840" s="42"/>
      <c r="JK840" s="42"/>
      <c r="JL840" s="42"/>
      <c r="JM840" s="42"/>
      <c r="JN840" s="42"/>
      <c r="JO840" s="42"/>
      <c r="JP840" s="42"/>
      <c r="JQ840" s="42"/>
      <c r="JR840" s="42"/>
      <c r="JS840" s="42"/>
      <c r="JT840" s="42"/>
      <c r="JU840" s="42"/>
      <c r="JV840" s="42"/>
      <c r="JW840" s="42"/>
      <c r="JX840" s="42"/>
      <c r="JY840" s="42"/>
      <c r="JZ840" s="42"/>
      <c r="KA840" s="42"/>
    </row>
    <row r="841" spans="1:287" ht="12.75">
      <c r="A841" s="89"/>
      <c r="B841" s="89"/>
      <c r="J841" s="19"/>
      <c r="Q841" s="19"/>
      <c r="Y841" s="19"/>
      <c r="AF841" s="19"/>
      <c r="II841" s="42"/>
      <c r="IJ841" s="42"/>
      <c r="IK841" s="42"/>
      <c r="IL841" s="42"/>
      <c r="IM841" s="42"/>
      <c r="IN841" s="42"/>
      <c r="IO841" s="42"/>
      <c r="IP841" s="42"/>
      <c r="IQ841" s="42"/>
      <c r="IR841" s="42"/>
      <c r="IS841" s="42"/>
      <c r="IT841" s="42"/>
      <c r="IU841" s="42"/>
      <c r="IV841" s="42"/>
      <c r="IW841" s="42"/>
      <c r="IX841" s="42"/>
      <c r="IY841" s="42"/>
      <c r="IZ841" s="42"/>
      <c r="JA841" s="42"/>
      <c r="JB841" s="42"/>
      <c r="JC841" s="42"/>
      <c r="JD841" s="42"/>
      <c r="JE841" s="42"/>
      <c r="JF841" s="42"/>
      <c r="JG841" s="42"/>
      <c r="JH841" s="42"/>
      <c r="JI841" s="42"/>
      <c r="JJ841" s="42"/>
      <c r="JK841" s="42"/>
      <c r="JL841" s="42"/>
      <c r="JM841" s="42"/>
      <c r="JN841" s="42"/>
      <c r="JO841" s="42"/>
      <c r="JP841" s="42"/>
      <c r="JQ841" s="42"/>
      <c r="JR841" s="42"/>
      <c r="JS841" s="42"/>
      <c r="JT841" s="42"/>
      <c r="JU841" s="42"/>
      <c r="JV841" s="42"/>
      <c r="JW841" s="42"/>
      <c r="JX841" s="42"/>
      <c r="JY841" s="42"/>
      <c r="JZ841" s="42"/>
      <c r="KA841" s="42"/>
    </row>
    <row r="842" spans="1:287" ht="12.75">
      <c r="A842" s="89"/>
      <c r="B842" s="89"/>
      <c r="J842" s="19"/>
      <c r="Q842" s="19"/>
      <c r="Y842" s="19"/>
      <c r="AF842" s="19"/>
      <c r="II842" s="42"/>
      <c r="IJ842" s="42"/>
      <c r="IK842" s="42"/>
      <c r="IL842" s="42"/>
      <c r="IM842" s="42"/>
      <c r="IN842" s="42"/>
      <c r="IO842" s="42"/>
      <c r="IP842" s="42"/>
      <c r="IQ842" s="42"/>
      <c r="IR842" s="42"/>
      <c r="IS842" s="42"/>
      <c r="IT842" s="42"/>
      <c r="IU842" s="42"/>
      <c r="IV842" s="42"/>
      <c r="IW842" s="42"/>
      <c r="IX842" s="42"/>
      <c r="IY842" s="42"/>
      <c r="IZ842" s="42"/>
      <c r="JA842" s="42"/>
      <c r="JB842" s="42"/>
      <c r="JC842" s="42"/>
      <c r="JD842" s="42"/>
      <c r="JE842" s="42"/>
      <c r="JF842" s="42"/>
      <c r="JG842" s="42"/>
      <c r="JH842" s="42"/>
      <c r="JI842" s="42"/>
      <c r="JJ842" s="42"/>
      <c r="JK842" s="42"/>
      <c r="JL842" s="42"/>
      <c r="JM842" s="42"/>
      <c r="JN842" s="42"/>
      <c r="JO842" s="42"/>
      <c r="JP842" s="42"/>
      <c r="JQ842" s="42"/>
      <c r="JR842" s="42"/>
      <c r="JS842" s="42"/>
      <c r="JT842" s="42"/>
      <c r="JU842" s="42"/>
      <c r="JV842" s="42"/>
      <c r="JW842" s="42"/>
      <c r="JX842" s="42"/>
      <c r="JY842" s="42"/>
      <c r="JZ842" s="42"/>
      <c r="KA842" s="42"/>
    </row>
    <row r="843" spans="1:287" ht="12.75">
      <c r="A843" s="89"/>
      <c r="B843" s="89"/>
      <c r="J843" s="19"/>
      <c r="Q843" s="19"/>
      <c r="Y843" s="19"/>
      <c r="AF843" s="19"/>
      <c r="II843" s="42"/>
      <c r="IJ843" s="42"/>
      <c r="IK843" s="42"/>
      <c r="IL843" s="42"/>
      <c r="IM843" s="42"/>
      <c r="IN843" s="42"/>
      <c r="IO843" s="42"/>
      <c r="IP843" s="42"/>
      <c r="IQ843" s="42"/>
      <c r="IR843" s="42"/>
      <c r="IS843" s="42"/>
      <c r="IT843" s="42"/>
      <c r="IU843" s="42"/>
      <c r="IV843" s="42"/>
      <c r="IW843" s="42"/>
      <c r="IX843" s="42"/>
      <c r="IY843" s="42"/>
      <c r="IZ843" s="42"/>
      <c r="JA843" s="42"/>
      <c r="JB843" s="42"/>
      <c r="JC843" s="42"/>
      <c r="JD843" s="42"/>
      <c r="JE843" s="42"/>
      <c r="JF843" s="42"/>
      <c r="JG843" s="42"/>
      <c r="JH843" s="42"/>
      <c r="JI843" s="42"/>
      <c r="JJ843" s="42"/>
      <c r="JK843" s="42"/>
      <c r="JL843" s="42"/>
      <c r="JM843" s="42"/>
      <c r="JN843" s="42"/>
      <c r="JO843" s="42"/>
      <c r="JP843" s="42"/>
      <c r="JQ843" s="42"/>
      <c r="JR843" s="42"/>
      <c r="JS843" s="42"/>
      <c r="JT843" s="42"/>
      <c r="JU843" s="42"/>
      <c r="JV843" s="42"/>
      <c r="JW843" s="42"/>
      <c r="JX843" s="42"/>
      <c r="JY843" s="42"/>
      <c r="JZ843" s="42"/>
      <c r="KA843" s="42"/>
    </row>
    <row r="844" spans="1:287" ht="12.75">
      <c r="A844" s="89"/>
      <c r="B844" s="89"/>
      <c r="J844" s="19"/>
      <c r="Q844" s="19"/>
      <c r="Y844" s="19"/>
      <c r="AF844" s="19"/>
      <c r="II844" s="42"/>
      <c r="IJ844" s="42"/>
      <c r="IK844" s="42"/>
      <c r="IL844" s="42"/>
      <c r="IM844" s="42"/>
      <c r="IN844" s="42"/>
      <c r="IO844" s="42"/>
      <c r="IP844" s="42"/>
      <c r="IQ844" s="42"/>
      <c r="IR844" s="42"/>
      <c r="IS844" s="42"/>
      <c r="IT844" s="42"/>
      <c r="IU844" s="42"/>
      <c r="IV844" s="42"/>
      <c r="IW844" s="42"/>
      <c r="IX844" s="42"/>
      <c r="IY844" s="42"/>
      <c r="IZ844" s="42"/>
      <c r="JA844" s="42"/>
      <c r="JB844" s="42"/>
      <c r="JC844" s="42"/>
      <c r="JD844" s="42"/>
      <c r="JE844" s="42"/>
      <c r="JF844" s="42"/>
      <c r="JG844" s="42"/>
      <c r="JH844" s="42"/>
      <c r="JI844" s="42"/>
      <c r="JJ844" s="42"/>
      <c r="JK844" s="42"/>
      <c r="JL844" s="42"/>
      <c r="JM844" s="42"/>
      <c r="JN844" s="42"/>
      <c r="JO844" s="42"/>
      <c r="JP844" s="42"/>
      <c r="JQ844" s="42"/>
      <c r="JR844" s="42"/>
      <c r="JS844" s="42"/>
      <c r="JT844" s="42"/>
      <c r="JU844" s="42"/>
      <c r="JV844" s="42"/>
      <c r="JW844" s="42"/>
      <c r="JX844" s="42"/>
      <c r="JY844" s="42"/>
      <c r="JZ844" s="42"/>
      <c r="KA844" s="42"/>
    </row>
    <row r="845" spans="1:287" ht="12.75">
      <c r="A845" s="89"/>
      <c r="B845" s="89"/>
      <c r="J845" s="19"/>
      <c r="Q845" s="19"/>
      <c r="Y845" s="19"/>
      <c r="AF845" s="19"/>
      <c r="II845" s="42"/>
      <c r="IJ845" s="42"/>
      <c r="IK845" s="42"/>
      <c r="IL845" s="42"/>
      <c r="IM845" s="42"/>
      <c r="IN845" s="42"/>
      <c r="IO845" s="42"/>
      <c r="IP845" s="42"/>
      <c r="IQ845" s="42"/>
      <c r="IR845" s="42"/>
      <c r="IS845" s="42"/>
      <c r="IT845" s="42"/>
      <c r="IU845" s="42"/>
      <c r="IV845" s="42"/>
      <c r="IW845" s="42"/>
      <c r="IX845" s="42"/>
      <c r="IY845" s="42"/>
      <c r="IZ845" s="42"/>
      <c r="JA845" s="42"/>
      <c r="JB845" s="42"/>
      <c r="JC845" s="42"/>
      <c r="JD845" s="42"/>
      <c r="JE845" s="42"/>
      <c r="JF845" s="42"/>
      <c r="JG845" s="42"/>
      <c r="JH845" s="42"/>
      <c r="JI845" s="42"/>
      <c r="JJ845" s="42"/>
      <c r="JK845" s="42"/>
      <c r="JL845" s="42"/>
      <c r="JM845" s="42"/>
      <c r="JN845" s="42"/>
      <c r="JO845" s="42"/>
      <c r="JP845" s="42"/>
      <c r="JQ845" s="42"/>
      <c r="JR845" s="42"/>
      <c r="JS845" s="42"/>
      <c r="JT845" s="42"/>
      <c r="JU845" s="42"/>
      <c r="JV845" s="42"/>
      <c r="JW845" s="42"/>
      <c r="JX845" s="42"/>
      <c r="JY845" s="42"/>
      <c r="JZ845" s="42"/>
      <c r="KA845" s="42"/>
    </row>
    <row r="846" spans="1:287" ht="12.75">
      <c r="A846" s="89"/>
      <c r="B846" s="89"/>
      <c r="J846" s="19"/>
      <c r="Q846" s="19"/>
      <c r="Y846" s="19"/>
      <c r="AF846" s="19"/>
      <c r="II846" s="42"/>
      <c r="IJ846" s="42"/>
      <c r="IK846" s="42"/>
      <c r="IL846" s="42"/>
      <c r="IM846" s="42"/>
      <c r="IN846" s="42"/>
      <c r="IO846" s="42"/>
      <c r="IP846" s="42"/>
      <c r="IQ846" s="42"/>
      <c r="IR846" s="42"/>
      <c r="IS846" s="42"/>
      <c r="IT846" s="42"/>
      <c r="IU846" s="42"/>
      <c r="IV846" s="42"/>
      <c r="IW846" s="42"/>
      <c r="IX846" s="42"/>
      <c r="IY846" s="42"/>
      <c r="IZ846" s="42"/>
      <c r="JA846" s="42"/>
      <c r="JB846" s="42"/>
      <c r="JC846" s="42"/>
      <c r="JD846" s="42"/>
      <c r="JE846" s="42"/>
      <c r="JF846" s="42"/>
      <c r="JG846" s="42"/>
      <c r="JH846" s="42"/>
      <c r="JI846" s="42"/>
      <c r="JJ846" s="42"/>
      <c r="JK846" s="42"/>
      <c r="JL846" s="42"/>
      <c r="JM846" s="42"/>
      <c r="JN846" s="42"/>
      <c r="JO846" s="42"/>
      <c r="JP846" s="42"/>
      <c r="JQ846" s="42"/>
      <c r="JR846" s="42"/>
      <c r="JS846" s="42"/>
      <c r="JT846" s="42"/>
      <c r="JU846" s="42"/>
      <c r="JV846" s="42"/>
      <c r="JW846" s="42"/>
      <c r="JX846" s="42"/>
      <c r="JY846" s="42"/>
      <c r="JZ846" s="42"/>
      <c r="KA846" s="42"/>
    </row>
    <row r="847" spans="1:287" ht="12.75">
      <c r="A847" s="89"/>
      <c r="B847" s="89"/>
      <c r="J847" s="19"/>
      <c r="Q847" s="19"/>
      <c r="Y847" s="19"/>
      <c r="AF847" s="19"/>
      <c r="II847" s="42"/>
      <c r="IJ847" s="42"/>
      <c r="IK847" s="42"/>
      <c r="IL847" s="42"/>
      <c r="IM847" s="42"/>
      <c r="IN847" s="42"/>
      <c r="IO847" s="42"/>
      <c r="IP847" s="42"/>
      <c r="IQ847" s="42"/>
      <c r="IR847" s="42"/>
      <c r="IS847" s="42"/>
      <c r="IT847" s="42"/>
      <c r="IU847" s="42"/>
      <c r="IV847" s="42"/>
      <c r="IW847" s="42"/>
      <c r="IX847" s="42"/>
      <c r="IY847" s="42"/>
      <c r="IZ847" s="42"/>
      <c r="JA847" s="42"/>
      <c r="JB847" s="42"/>
      <c r="JC847" s="42"/>
      <c r="JD847" s="42"/>
      <c r="JE847" s="42"/>
      <c r="JF847" s="42"/>
      <c r="JG847" s="42"/>
      <c r="JH847" s="42"/>
      <c r="JI847" s="42"/>
      <c r="JJ847" s="42"/>
      <c r="JK847" s="42"/>
      <c r="JL847" s="42"/>
      <c r="JM847" s="42"/>
      <c r="JN847" s="42"/>
      <c r="JO847" s="42"/>
      <c r="JP847" s="42"/>
      <c r="JQ847" s="42"/>
      <c r="JR847" s="42"/>
      <c r="JS847" s="42"/>
      <c r="JT847" s="42"/>
      <c r="JU847" s="42"/>
      <c r="JV847" s="42"/>
      <c r="JW847" s="42"/>
      <c r="JX847" s="42"/>
      <c r="JY847" s="42"/>
      <c r="JZ847" s="42"/>
      <c r="KA847" s="42"/>
    </row>
    <row r="848" spans="1:287" ht="12.75">
      <c r="A848" s="89"/>
      <c r="B848" s="89"/>
      <c r="J848" s="19"/>
      <c r="Q848" s="19"/>
      <c r="Y848" s="19"/>
      <c r="AF848" s="19"/>
      <c r="II848" s="42"/>
      <c r="IJ848" s="42"/>
      <c r="IK848" s="42"/>
      <c r="IL848" s="42"/>
      <c r="IM848" s="42"/>
      <c r="IN848" s="42"/>
      <c r="IO848" s="42"/>
      <c r="IP848" s="42"/>
      <c r="IQ848" s="42"/>
      <c r="IR848" s="42"/>
      <c r="IS848" s="42"/>
      <c r="IT848" s="42"/>
      <c r="IU848" s="42"/>
      <c r="IV848" s="42"/>
      <c r="IW848" s="42"/>
      <c r="IX848" s="42"/>
      <c r="IY848" s="42"/>
      <c r="IZ848" s="42"/>
      <c r="JA848" s="42"/>
      <c r="JB848" s="42"/>
      <c r="JC848" s="42"/>
      <c r="JD848" s="42"/>
      <c r="JE848" s="42"/>
      <c r="JF848" s="42"/>
      <c r="JG848" s="42"/>
      <c r="JH848" s="42"/>
      <c r="JI848" s="42"/>
      <c r="JJ848" s="42"/>
      <c r="JK848" s="42"/>
      <c r="JL848" s="42"/>
      <c r="JM848" s="42"/>
      <c r="JN848" s="42"/>
      <c r="JO848" s="42"/>
      <c r="JP848" s="42"/>
      <c r="JQ848" s="42"/>
      <c r="JR848" s="42"/>
      <c r="JS848" s="42"/>
      <c r="JT848" s="42"/>
      <c r="JU848" s="42"/>
      <c r="JV848" s="42"/>
      <c r="JW848" s="42"/>
      <c r="JX848" s="42"/>
      <c r="JY848" s="42"/>
      <c r="JZ848" s="42"/>
      <c r="KA848" s="42"/>
    </row>
    <row r="849" spans="1:287" ht="12.75">
      <c r="A849" s="89"/>
      <c r="B849" s="89"/>
      <c r="J849" s="19"/>
      <c r="Q849" s="19"/>
      <c r="Y849" s="19"/>
      <c r="AF849" s="19"/>
      <c r="II849" s="42"/>
      <c r="IJ849" s="42"/>
      <c r="IK849" s="42"/>
      <c r="IL849" s="42"/>
      <c r="IM849" s="42"/>
      <c r="IN849" s="42"/>
      <c r="IO849" s="42"/>
      <c r="IP849" s="42"/>
      <c r="IQ849" s="42"/>
      <c r="IR849" s="42"/>
      <c r="IS849" s="42"/>
      <c r="IT849" s="42"/>
      <c r="IU849" s="42"/>
      <c r="IV849" s="42"/>
      <c r="IW849" s="42"/>
      <c r="IX849" s="42"/>
      <c r="IY849" s="42"/>
      <c r="IZ849" s="42"/>
      <c r="JA849" s="42"/>
      <c r="JB849" s="42"/>
      <c r="JC849" s="42"/>
      <c r="JD849" s="42"/>
      <c r="JE849" s="42"/>
      <c r="JF849" s="42"/>
      <c r="JG849" s="42"/>
      <c r="JH849" s="42"/>
      <c r="JI849" s="42"/>
      <c r="JJ849" s="42"/>
      <c r="JK849" s="42"/>
      <c r="JL849" s="42"/>
      <c r="JM849" s="42"/>
      <c r="JN849" s="42"/>
      <c r="JO849" s="42"/>
      <c r="JP849" s="42"/>
      <c r="JQ849" s="42"/>
      <c r="JR849" s="42"/>
      <c r="JS849" s="42"/>
      <c r="JT849" s="42"/>
      <c r="JU849" s="42"/>
      <c r="JV849" s="42"/>
      <c r="JW849" s="42"/>
      <c r="JX849" s="42"/>
      <c r="JY849" s="42"/>
      <c r="JZ849" s="42"/>
      <c r="KA849" s="42"/>
    </row>
    <row r="850" spans="1:287" ht="12.75">
      <c r="A850" s="89"/>
      <c r="B850" s="89"/>
      <c r="J850" s="19"/>
      <c r="Q850" s="19"/>
      <c r="Y850" s="19"/>
      <c r="AF850" s="19"/>
      <c r="II850" s="42"/>
      <c r="IJ850" s="42"/>
      <c r="IK850" s="42"/>
      <c r="IL850" s="42"/>
      <c r="IM850" s="42"/>
      <c r="IN850" s="42"/>
      <c r="IO850" s="42"/>
      <c r="IP850" s="42"/>
      <c r="IQ850" s="42"/>
      <c r="IR850" s="42"/>
      <c r="IS850" s="42"/>
      <c r="IT850" s="42"/>
      <c r="IU850" s="42"/>
      <c r="IV850" s="42"/>
      <c r="IW850" s="42"/>
      <c r="IX850" s="42"/>
      <c r="IY850" s="42"/>
      <c r="IZ850" s="42"/>
      <c r="JA850" s="42"/>
      <c r="JB850" s="42"/>
      <c r="JC850" s="42"/>
      <c r="JD850" s="42"/>
      <c r="JE850" s="42"/>
      <c r="JF850" s="42"/>
      <c r="JG850" s="42"/>
      <c r="JH850" s="42"/>
      <c r="JI850" s="42"/>
      <c r="JJ850" s="42"/>
      <c r="JK850" s="42"/>
      <c r="JL850" s="42"/>
      <c r="JM850" s="42"/>
      <c r="JN850" s="42"/>
      <c r="JO850" s="42"/>
      <c r="JP850" s="42"/>
      <c r="JQ850" s="42"/>
      <c r="JR850" s="42"/>
      <c r="JS850" s="42"/>
      <c r="JT850" s="42"/>
      <c r="JU850" s="42"/>
      <c r="JV850" s="42"/>
      <c r="JW850" s="42"/>
      <c r="JX850" s="42"/>
      <c r="JY850" s="42"/>
      <c r="JZ850" s="42"/>
      <c r="KA850" s="42"/>
    </row>
    <row r="851" spans="1:287" ht="12.75">
      <c r="A851" s="89"/>
      <c r="B851" s="89"/>
      <c r="J851" s="19"/>
      <c r="Q851" s="19"/>
      <c r="Y851" s="19"/>
      <c r="AF851" s="19"/>
      <c r="II851" s="42"/>
      <c r="IJ851" s="42"/>
      <c r="IK851" s="42"/>
      <c r="IL851" s="42"/>
      <c r="IM851" s="42"/>
      <c r="IN851" s="42"/>
      <c r="IO851" s="42"/>
      <c r="IP851" s="42"/>
      <c r="IQ851" s="42"/>
      <c r="IR851" s="42"/>
      <c r="IS851" s="42"/>
      <c r="IT851" s="42"/>
      <c r="IU851" s="42"/>
      <c r="IV851" s="42"/>
      <c r="IW851" s="42"/>
      <c r="IX851" s="42"/>
      <c r="IY851" s="42"/>
      <c r="IZ851" s="42"/>
      <c r="JA851" s="42"/>
      <c r="JB851" s="42"/>
      <c r="JC851" s="42"/>
      <c r="JD851" s="42"/>
      <c r="JE851" s="42"/>
      <c r="JF851" s="42"/>
      <c r="JG851" s="42"/>
      <c r="JH851" s="42"/>
      <c r="JI851" s="42"/>
      <c r="JJ851" s="42"/>
      <c r="JK851" s="42"/>
      <c r="JL851" s="42"/>
      <c r="JM851" s="42"/>
      <c r="JN851" s="42"/>
      <c r="JO851" s="42"/>
      <c r="JP851" s="42"/>
      <c r="JQ851" s="42"/>
      <c r="JR851" s="42"/>
      <c r="JS851" s="42"/>
      <c r="JT851" s="42"/>
      <c r="JU851" s="42"/>
      <c r="JV851" s="42"/>
      <c r="JW851" s="42"/>
      <c r="JX851" s="42"/>
      <c r="JY851" s="42"/>
      <c r="JZ851" s="42"/>
      <c r="KA851" s="42"/>
    </row>
    <row r="852" spans="1:287" ht="12.75">
      <c r="A852" s="89"/>
      <c r="B852" s="89"/>
      <c r="J852" s="19"/>
      <c r="Q852" s="19"/>
      <c r="Y852" s="19"/>
      <c r="AF852" s="19"/>
      <c r="II852" s="42"/>
      <c r="IJ852" s="42"/>
      <c r="IK852" s="42"/>
      <c r="IL852" s="42"/>
      <c r="IM852" s="42"/>
      <c r="IN852" s="42"/>
      <c r="IO852" s="42"/>
      <c r="IP852" s="42"/>
      <c r="IQ852" s="42"/>
      <c r="IR852" s="42"/>
      <c r="IS852" s="42"/>
      <c r="IT852" s="42"/>
      <c r="IU852" s="42"/>
      <c r="IV852" s="42"/>
      <c r="IW852" s="42"/>
      <c r="IX852" s="42"/>
      <c r="IY852" s="42"/>
      <c r="IZ852" s="42"/>
      <c r="JA852" s="42"/>
      <c r="JB852" s="42"/>
      <c r="JC852" s="42"/>
      <c r="JD852" s="42"/>
      <c r="JE852" s="42"/>
      <c r="JF852" s="42"/>
      <c r="JG852" s="42"/>
      <c r="JH852" s="42"/>
      <c r="JI852" s="42"/>
      <c r="JJ852" s="42"/>
      <c r="JK852" s="42"/>
      <c r="JL852" s="42"/>
      <c r="JM852" s="42"/>
      <c r="JN852" s="42"/>
      <c r="JO852" s="42"/>
      <c r="JP852" s="42"/>
      <c r="JQ852" s="42"/>
      <c r="JR852" s="42"/>
      <c r="JS852" s="42"/>
      <c r="JT852" s="42"/>
      <c r="JU852" s="42"/>
      <c r="JV852" s="42"/>
      <c r="JW852" s="42"/>
      <c r="JX852" s="42"/>
      <c r="JY852" s="42"/>
      <c r="JZ852" s="42"/>
      <c r="KA852" s="42"/>
    </row>
    <row r="853" spans="1:287" ht="12.75">
      <c r="A853" s="89"/>
      <c r="B853" s="89"/>
      <c r="J853" s="19"/>
      <c r="Q853" s="19"/>
      <c r="Y853" s="19"/>
      <c r="AF853" s="19"/>
      <c r="II853" s="42"/>
      <c r="IJ853" s="42"/>
      <c r="IK853" s="42"/>
      <c r="IL853" s="42"/>
      <c r="IM853" s="42"/>
      <c r="IN853" s="42"/>
      <c r="IO853" s="42"/>
      <c r="IP853" s="42"/>
      <c r="IQ853" s="42"/>
      <c r="IR853" s="42"/>
      <c r="IS853" s="42"/>
      <c r="IT853" s="42"/>
      <c r="IU853" s="42"/>
      <c r="IV853" s="42"/>
      <c r="IW853" s="42"/>
      <c r="IX853" s="42"/>
      <c r="IY853" s="42"/>
      <c r="IZ853" s="42"/>
      <c r="JA853" s="42"/>
      <c r="JB853" s="42"/>
      <c r="JC853" s="42"/>
      <c r="JD853" s="42"/>
      <c r="JE853" s="42"/>
      <c r="JF853" s="42"/>
      <c r="JG853" s="42"/>
      <c r="JH853" s="42"/>
      <c r="JI853" s="42"/>
      <c r="JJ853" s="42"/>
      <c r="JK853" s="42"/>
      <c r="JL853" s="42"/>
      <c r="JM853" s="42"/>
      <c r="JN853" s="42"/>
      <c r="JO853" s="42"/>
      <c r="JP853" s="42"/>
      <c r="JQ853" s="42"/>
      <c r="JR853" s="42"/>
      <c r="JS853" s="42"/>
      <c r="JT853" s="42"/>
      <c r="JU853" s="42"/>
      <c r="JV853" s="42"/>
      <c r="JW853" s="42"/>
      <c r="JX853" s="42"/>
      <c r="JY853" s="42"/>
      <c r="JZ853" s="42"/>
      <c r="KA853" s="42"/>
    </row>
    <row r="854" spans="1:287" ht="12.75">
      <c r="A854" s="89"/>
      <c r="B854" s="89"/>
      <c r="J854" s="19"/>
      <c r="Q854" s="19"/>
      <c r="Y854" s="19"/>
      <c r="AF854" s="19"/>
      <c r="II854" s="42"/>
      <c r="IJ854" s="42"/>
      <c r="IK854" s="42"/>
      <c r="IL854" s="42"/>
      <c r="IM854" s="42"/>
      <c r="IN854" s="42"/>
      <c r="IO854" s="42"/>
      <c r="IP854" s="42"/>
      <c r="IQ854" s="42"/>
      <c r="IR854" s="42"/>
      <c r="IS854" s="42"/>
      <c r="IT854" s="42"/>
      <c r="IU854" s="42"/>
      <c r="IV854" s="42"/>
      <c r="IW854" s="42"/>
      <c r="IX854" s="42"/>
      <c r="IY854" s="42"/>
      <c r="IZ854" s="42"/>
      <c r="JA854" s="42"/>
      <c r="JB854" s="42"/>
      <c r="JC854" s="42"/>
      <c r="JD854" s="42"/>
      <c r="JE854" s="42"/>
      <c r="JF854" s="42"/>
      <c r="JG854" s="42"/>
      <c r="JH854" s="42"/>
      <c r="JI854" s="42"/>
      <c r="JJ854" s="42"/>
      <c r="JK854" s="42"/>
      <c r="JL854" s="42"/>
      <c r="JM854" s="42"/>
      <c r="JN854" s="42"/>
      <c r="JO854" s="42"/>
      <c r="JP854" s="42"/>
      <c r="JQ854" s="42"/>
      <c r="JR854" s="42"/>
      <c r="JS854" s="42"/>
      <c r="JT854" s="42"/>
      <c r="JU854" s="42"/>
      <c r="JV854" s="42"/>
      <c r="JW854" s="42"/>
      <c r="JX854" s="42"/>
      <c r="JY854" s="42"/>
      <c r="JZ854" s="42"/>
      <c r="KA854" s="42"/>
    </row>
    <row r="855" spans="1:287" ht="12.75">
      <c r="A855" s="89"/>
      <c r="B855" s="89"/>
      <c r="J855" s="19"/>
      <c r="Q855" s="19"/>
      <c r="Y855" s="19"/>
      <c r="AF855" s="19"/>
      <c r="II855" s="42"/>
      <c r="IJ855" s="42"/>
      <c r="IK855" s="42"/>
      <c r="IL855" s="42"/>
      <c r="IM855" s="42"/>
      <c r="IN855" s="42"/>
      <c r="IO855" s="42"/>
      <c r="IP855" s="42"/>
      <c r="IQ855" s="42"/>
      <c r="IR855" s="42"/>
      <c r="IS855" s="42"/>
      <c r="IT855" s="42"/>
      <c r="IU855" s="42"/>
      <c r="IV855" s="42"/>
      <c r="IW855" s="42"/>
      <c r="IX855" s="42"/>
      <c r="IY855" s="42"/>
      <c r="IZ855" s="42"/>
      <c r="JA855" s="42"/>
      <c r="JB855" s="42"/>
      <c r="JC855" s="42"/>
      <c r="JD855" s="42"/>
      <c r="JE855" s="42"/>
      <c r="JF855" s="42"/>
      <c r="JG855" s="42"/>
      <c r="JH855" s="42"/>
      <c r="JI855" s="42"/>
      <c r="JJ855" s="42"/>
      <c r="JK855" s="42"/>
      <c r="JL855" s="42"/>
      <c r="JM855" s="42"/>
      <c r="JN855" s="42"/>
      <c r="JO855" s="42"/>
      <c r="JP855" s="42"/>
      <c r="JQ855" s="42"/>
      <c r="JR855" s="42"/>
      <c r="JS855" s="42"/>
      <c r="JT855" s="42"/>
      <c r="JU855" s="42"/>
      <c r="JV855" s="42"/>
      <c r="JW855" s="42"/>
      <c r="JX855" s="42"/>
      <c r="JY855" s="42"/>
      <c r="JZ855" s="42"/>
      <c r="KA855" s="42"/>
    </row>
    <row r="856" spans="1:287" ht="12.75">
      <c r="A856" s="89"/>
      <c r="B856" s="89"/>
      <c r="J856" s="19"/>
      <c r="Q856" s="19"/>
      <c r="Y856" s="19"/>
      <c r="AF856" s="19"/>
      <c r="II856" s="42"/>
      <c r="IJ856" s="42"/>
      <c r="IK856" s="42"/>
      <c r="IL856" s="42"/>
      <c r="IM856" s="42"/>
      <c r="IN856" s="42"/>
      <c r="IO856" s="42"/>
      <c r="IP856" s="42"/>
      <c r="IQ856" s="42"/>
      <c r="IR856" s="42"/>
      <c r="IS856" s="42"/>
      <c r="IT856" s="42"/>
      <c r="IU856" s="42"/>
      <c r="IV856" s="42"/>
      <c r="IW856" s="42"/>
      <c r="IX856" s="42"/>
      <c r="IY856" s="42"/>
      <c r="IZ856" s="42"/>
      <c r="JA856" s="42"/>
      <c r="JB856" s="42"/>
      <c r="JC856" s="42"/>
      <c r="JD856" s="42"/>
      <c r="JE856" s="42"/>
      <c r="JF856" s="42"/>
      <c r="JG856" s="42"/>
      <c r="JH856" s="42"/>
      <c r="JI856" s="42"/>
      <c r="JJ856" s="42"/>
      <c r="JK856" s="42"/>
      <c r="JL856" s="42"/>
      <c r="JM856" s="42"/>
      <c r="JN856" s="42"/>
      <c r="JO856" s="42"/>
      <c r="JP856" s="42"/>
      <c r="JQ856" s="42"/>
      <c r="JR856" s="42"/>
      <c r="JS856" s="42"/>
      <c r="JT856" s="42"/>
      <c r="JU856" s="42"/>
      <c r="JV856" s="42"/>
      <c r="JW856" s="42"/>
      <c r="JX856" s="42"/>
      <c r="JY856" s="42"/>
      <c r="JZ856" s="42"/>
      <c r="KA856" s="42"/>
    </row>
    <row r="857" spans="1:287" ht="12.75">
      <c r="A857" s="89"/>
      <c r="B857" s="89"/>
      <c r="J857" s="19"/>
      <c r="Q857" s="19"/>
      <c r="Y857" s="19"/>
      <c r="AF857" s="19"/>
      <c r="II857" s="42"/>
      <c r="IJ857" s="42"/>
      <c r="IK857" s="42"/>
      <c r="IL857" s="42"/>
      <c r="IM857" s="42"/>
      <c r="IN857" s="42"/>
      <c r="IO857" s="42"/>
      <c r="IP857" s="42"/>
      <c r="IQ857" s="42"/>
      <c r="IR857" s="42"/>
      <c r="IS857" s="42"/>
      <c r="IT857" s="42"/>
      <c r="IU857" s="42"/>
      <c r="IV857" s="42"/>
      <c r="IW857" s="42"/>
      <c r="IX857" s="42"/>
      <c r="IY857" s="42"/>
      <c r="IZ857" s="42"/>
      <c r="JA857" s="42"/>
      <c r="JB857" s="42"/>
      <c r="JC857" s="42"/>
      <c r="JD857" s="42"/>
      <c r="JE857" s="42"/>
      <c r="JF857" s="42"/>
      <c r="JG857" s="42"/>
      <c r="JH857" s="42"/>
      <c r="JI857" s="42"/>
      <c r="JJ857" s="42"/>
      <c r="JK857" s="42"/>
      <c r="JL857" s="42"/>
      <c r="JM857" s="42"/>
      <c r="JN857" s="42"/>
      <c r="JO857" s="42"/>
      <c r="JP857" s="42"/>
      <c r="JQ857" s="42"/>
      <c r="JR857" s="42"/>
      <c r="JS857" s="42"/>
      <c r="JT857" s="42"/>
      <c r="JU857" s="42"/>
      <c r="JV857" s="42"/>
      <c r="JW857" s="42"/>
      <c r="JX857" s="42"/>
      <c r="JY857" s="42"/>
      <c r="JZ857" s="42"/>
      <c r="KA857" s="42"/>
    </row>
    <row r="858" spans="1:287" ht="12.75">
      <c r="A858" s="89"/>
      <c r="B858" s="89"/>
      <c r="J858" s="19"/>
      <c r="Q858" s="19"/>
      <c r="Y858" s="19"/>
      <c r="AF858" s="19"/>
      <c r="II858" s="42"/>
      <c r="IJ858" s="42"/>
      <c r="IK858" s="42"/>
      <c r="IL858" s="42"/>
      <c r="IM858" s="42"/>
      <c r="IN858" s="42"/>
      <c r="IO858" s="42"/>
      <c r="IP858" s="42"/>
      <c r="IQ858" s="42"/>
      <c r="IR858" s="42"/>
      <c r="IS858" s="42"/>
      <c r="IT858" s="42"/>
      <c r="IU858" s="42"/>
      <c r="IV858" s="42"/>
      <c r="IW858" s="42"/>
      <c r="IX858" s="42"/>
      <c r="IY858" s="42"/>
      <c r="IZ858" s="42"/>
      <c r="JA858" s="42"/>
      <c r="JB858" s="42"/>
      <c r="JC858" s="42"/>
      <c r="JD858" s="42"/>
      <c r="JE858" s="42"/>
      <c r="JF858" s="42"/>
      <c r="JG858" s="42"/>
      <c r="JH858" s="42"/>
      <c r="JI858" s="42"/>
      <c r="JJ858" s="42"/>
      <c r="JK858" s="42"/>
      <c r="JL858" s="42"/>
      <c r="JM858" s="42"/>
      <c r="JN858" s="42"/>
      <c r="JO858" s="42"/>
      <c r="JP858" s="42"/>
      <c r="JQ858" s="42"/>
      <c r="JR858" s="42"/>
      <c r="JS858" s="42"/>
      <c r="JT858" s="42"/>
      <c r="JU858" s="42"/>
      <c r="JV858" s="42"/>
      <c r="JW858" s="42"/>
      <c r="JX858" s="42"/>
      <c r="JY858" s="42"/>
      <c r="JZ858" s="42"/>
      <c r="KA858" s="42"/>
    </row>
    <row r="859" spans="1:287" ht="12.75">
      <c r="A859" s="89"/>
      <c r="B859" s="89"/>
      <c r="J859" s="19"/>
      <c r="Q859" s="19"/>
      <c r="Y859" s="19"/>
      <c r="AF859" s="19"/>
      <c r="II859" s="42"/>
      <c r="IJ859" s="42"/>
      <c r="IK859" s="42"/>
      <c r="IL859" s="42"/>
      <c r="IM859" s="42"/>
      <c r="IN859" s="42"/>
      <c r="IO859" s="42"/>
      <c r="IP859" s="42"/>
      <c r="IQ859" s="42"/>
      <c r="IR859" s="42"/>
      <c r="IS859" s="42"/>
      <c r="IT859" s="42"/>
      <c r="IU859" s="42"/>
      <c r="IV859" s="42"/>
      <c r="IW859" s="42"/>
      <c r="IX859" s="42"/>
      <c r="IY859" s="42"/>
      <c r="IZ859" s="42"/>
      <c r="JA859" s="42"/>
      <c r="JB859" s="42"/>
      <c r="JC859" s="42"/>
      <c r="JD859" s="42"/>
      <c r="JE859" s="42"/>
      <c r="JF859" s="42"/>
      <c r="JG859" s="42"/>
      <c r="JH859" s="42"/>
      <c r="JI859" s="42"/>
      <c r="JJ859" s="42"/>
      <c r="JK859" s="42"/>
      <c r="JL859" s="42"/>
      <c r="JM859" s="42"/>
      <c r="JN859" s="42"/>
      <c r="JO859" s="42"/>
      <c r="JP859" s="42"/>
      <c r="JQ859" s="42"/>
      <c r="JR859" s="42"/>
      <c r="JS859" s="42"/>
      <c r="JT859" s="42"/>
      <c r="JU859" s="42"/>
      <c r="JV859" s="42"/>
      <c r="JW859" s="42"/>
      <c r="JX859" s="42"/>
      <c r="JY859" s="42"/>
      <c r="JZ859" s="42"/>
      <c r="KA859" s="42"/>
    </row>
    <row r="860" spans="1:287" ht="12.75">
      <c r="A860" s="89"/>
      <c r="B860" s="89"/>
      <c r="J860" s="19"/>
      <c r="Q860" s="19"/>
      <c r="Y860" s="19"/>
      <c r="AF860" s="19"/>
      <c r="II860" s="42"/>
      <c r="IJ860" s="42"/>
      <c r="IK860" s="42"/>
      <c r="IL860" s="42"/>
      <c r="IM860" s="42"/>
      <c r="IN860" s="42"/>
      <c r="IO860" s="42"/>
      <c r="IP860" s="42"/>
      <c r="IQ860" s="42"/>
      <c r="IR860" s="42"/>
      <c r="IS860" s="42"/>
      <c r="IT860" s="42"/>
      <c r="IU860" s="42"/>
      <c r="IV860" s="42"/>
      <c r="IW860" s="42"/>
      <c r="IX860" s="42"/>
      <c r="IY860" s="42"/>
      <c r="IZ860" s="42"/>
      <c r="JA860" s="42"/>
      <c r="JB860" s="42"/>
      <c r="JC860" s="42"/>
      <c r="JD860" s="42"/>
      <c r="JE860" s="42"/>
      <c r="JF860" s="42"/>
      <c r="JG860" s="42"/>
      <c r="JH860" s="42"/>
      <c r="JI860" s="42"/>
      <c r="JJ860" s="42"/>
      <c r="JK860" s="42"/>
      <c r="JL860" s="42"/>
      <c r="JM860" s="42"/>
      <c r="JN860" s="42"/>
      <c r="JO860" s="42"/>
      <c r="JP860" s="42"/>
      <c r="JQ860" s="42"/>
      <c r="JR860" s="42"/>
      <c r="JS860" s="42"/>
      <c r="JT860" s="42"/>
      <c r="JU860" s="42"/>
      <c r="JV860" s="42"/>
      <c r="JW860" s="42"/>
      <c r="JX860" s="42"/>
      <c r="JY860" s="42"/>
      <c r="JZ860" s="42"/>
      <c r="KA860" s="42"/>
    </row>
    <row r="861" spans="1:287" ht="12.75">
      <c r="A861" s="89"/>
      <c r="B861" s="89"/>
      <c r="J861" s="19"/>
      <c r="Q861" s="19"/>
      <c r="Y861" s="19"/>
      <c r="AF861" s="19"/>
      <c r="II861" s="42"/>
      <c r="IJ861" s="42"/>
      <c r="IK861" s="42"/>
      <c r="IL861" s="42"/>
      <c r="IM861" s="42"/>
      <c r="IN861" s="42"/>
      <c r="IO861" s="42"/>
      <c r="IP861" s="42"/>
      <c r="IQ861" s="42"/>
      <c r="IR861" s="42"/>
      <c r="IS861" s="42"/>
      <c r="IT861" s="42"/>
      <c r="IU861" s="42"/>
      <c r="IV861" s="42"/>
      <c r="IW861" s="42"/>
      <c r="IX861" s="42"/>
      <c r="IY861" s="42"/>
      <c r="IZ861" s="42"/>
      <c r="JA861" s="42"/>
      <c r="JB861" s="42"/>
      <c r="JC861" s="42"/>
      <c r="JD861" s="42"/>
      <c r="JE861" s="42"/>
      <c r="JF861" s="42"/>
      <c r="JG861" s="42"/>
      <c r="JH861" s="42"/>
      <c r="JI861" s="42"/>
      <c r="JJ861" s="42"/>
      <c r="JK861" s="42"/>
      <c r="JL861" s="42"/>
      <c r="JM861" s="42"/>
      <c r="JN861" s="42"/>
      <c r="JO861" s="42"/>
      <c r="JP861" s="42"/>
      <c r="JQ861" s="42"/>
      <c r="JR861" s="42"/>
      <c r="JS861" s="42"/>
      <c r="JT861" s="42"/>
      <c r="JU861" s="42"/>
      <c r="JV861" s="42"/>
      <c r="JW861" s="42"/>
      <c r="JX861" s="42"/>
      <c r="JY861" s="42"/>
      <c r="JZ861" s="42"/>
      <c r="KA861" s="42"/>
    </row>
    <row r="862" spans="1:287" ht="12.75">
      <c r="A862" s="89"/>
      <c r="B862" s="89"/>
      <c r="J862" s="19"/>
      <c r="Q862" s="19"/>
      <c r="Y862" s="19"/>
      <c r="AF862" s="19"/>
      <c r="II862" s="42"/>
      <c r="IJ862" s="42"/>
      <c r="IK862" s="42"/>
      <c r="IL862" s="42"/>
      <c r="IM862" s="42"/>
      <c r="IN862" s="42"/>
      <c r="IO862" s="42"/>
      <c r="IP862" s="42"/>
      <c r="IQ862" s="42"/>
      <c r="IR862" s="42"/>
      <c r="IS862" s="42"/>
      <c r="IT862" s="42"/>
      <c r="IU862" s="42"/>
      <c r="IV862" s="42"/>
      <c r="IW862" s="42"/>
      <c r="IX862" s="42"/>
      <c r="IY862" s="42"/>
      <c r="IZ862" s="42"/>
      <c r="JA862" s="42"/>
      <c r="JB862" s="42"/>
      <c r="JC862" s="42"/>
      <c r="JD862" s="42"/>
      <c r="JE862" s="42"/>
      <c r="JF862" s="42"/>
      <c r="JG862" s="42"/>
      <c r="JH862" s="42"/>
      <c r="JI862" s="42"/>
      <c r="JJ862" s="42"/>
      <c r="JK862" s="42"/>
      <c r="JL862" s="42"/>
      <c r="JM862" s="42"/>
      <c r="JN862" s="42"/>
      <c r="JO862" s="42"/>
      <c r="JP862" s="42"/>
      <c r="JQ862" s="42"/>
      <c r="JR862" s="42"/>
      <c r="JS862" s="42"/>
      <c r="JT862" s="42"/>
      <c r="JU862" s="42"/>
      <c r="JV862" s="42"/>
      <c r="JW862" s="42"/>
      <c r="JX862" s="42"/>
      <c r="JY862" s="42"/>
      <c r="JZ862" s="42"/>
      <c r="KA862" s="42"/>
    </row>
    <row r="863" spans="1:287" ht="12.75">
      <c r="A863" s="89"/>
      <c r="B863" s="89"/>
      <c r="J863" s="19"/>
      <c r="Q863" s="19"/>
      <c r="Y863" s="19"/>
      <c r="AF863" s="19"/>
      <c r="II863" s="42"/>
      <c r="IJ863" s="42"/>
      <c r="IK863" s="42"/>
      <c r="IL863" s="42"/>
      <c r="IM863" s="42"/>
      <c r="IN863" s="42"/>
      <c r="IO863" s="42"/>
      <c r="IP863" s="42"/>
      <c r="IQ863" s="42"/>
      <c r="IR863" s="42"/>
      <c r="IS863" s="42"/>
      <c r="IT863" s="42"/>
      <c r="IU863" s="42"/>
      <c r="IV863" s="42"/>
      <c r="IW863" s="42"/>
      <c r="IX863" s="42"/>
      <c r="IY863" s="42"/>
      <c r="IZ863" s="42"/>
      <c r="JA863" s="42"/>
      <c r="JB863" s="42"/>
      <c r="JC863" s="42"/>
      <c r="JD863" s="42"/>
      <c r="JE863" s="42"/>
      <c r="JF863" s="42"/>
      <c r="JG863" s="42"/>
      <c r="JH863" s="42"/>
      <c r="JI863" s="42"/>
      <c r="JJ863" s="42"/>
      <c r="JK863" s="42"/>
      <c r="JL863" s="42"/>
      <c r="JM863" s="42"/>
      <c r="JN863" s="42"/>
      <c r="JO863" s="42"/>
      <c r="JP863" s="42"/>
      <c r="JQ863" s="42"/>
      <c r="JR863" s="42"/>
      <c r="JS863" s="42"/>
      <c r="JT863" s="42"/>
      <c r="JU863" s="42"/>
      <c r="JV863" s="42"/>
      <c r="JW863" s="42"/>
      <c r="JX863" s="42"/>
      <c r="JY863" s="42"/>
      <c r="JZ863" s="42"/>
      <c r="KA863" s="42"/>
    </row>
    <row r="864" spans="1:287" ht="12.75">
      <c r="A864" s="89"/>
      <c r="B864" s="89"/>
      <c r="J864" s="19"/>
      <c r="Q864" s="19"/>
      <c r="Y864" s="19"/>
      <c r="AF864" s="19"/>
      <c r="II864" s="42"/>
      <c r="IJ864" s="42"/>
      <c r="IK864" s="42"/>
      <c r="IL864" s="42"/>
      <c r="IM864" s="42"/>
      <c r="IN864" s="42"/>
      <c r="IO864" s="42"/>
      <c r="IP864" s="42"/>
      <c r="IQ864" s="42"/>
      <c r="IR864" s="42"/>
      <c r="IS864" s="42"/>
      <c r="IT864" s="42"/>
      <c r="IU864" s="42"/>
      <c r="IV864" s="42"/>
      <c r="IW864" s="42"/>
      <c r="IX864" s="42"/>
      <c r="IY864" s="42"/>
      <c r="IZ864" s="42"/>
      <c r="JA864" s="42"/>
      <c r="JB864" s="42"/>
      <c r="JC864" s="42"/>
      <c r="JD864" s="42"/>
      <c r="JE864" s="42"/>
      <c r="JF864" s="42"/>
      <c r="JG864" s="42"/>
      <c r="JH864" s="42"/>
      <c r="JI864" s="42"/>
      <c r="JJ864" s="42"/>
      <c r="JK864" s="42"/>
      <c r="JL864" s="42"/>
      <c r="JM864" s="42"/>
      <c r="JN864" s="42"/>
      <c r="JO864" s="42"/>
      <c r="JP864" s="42"/>
      <c r="JQ864" s="42"/>
      <c r="JR864" s="42"/>
      <c r="JS864" s="42"/>
      <c r="JT864" s="42"/>
      <c r="JU864" s="42"/>
      <c r="JV864" s="42"/>
      <c r="JW864" s="42"/>
      <c r="JX864" s="42"/>
      <c r="JY864" s="42"/>
      <c r="JZ864" s="42"/>
      <c r="KA864" s="42"/>
    </row>
    <row r="865" spans="1:287" ht="12.75">
      <c r="A865" s="89"/>
      <c r="B865" s="89"/>
      <c r="J865" s="19"/>
      <c r="Q865" s="19"/>
      <c r="Y865" s="19"/>
      <c r="AF865" s="19"/>
      <c r="II865" s="42"/>
      <c r="IJ865" s="42"/>
      <c r="IK865" s="42"/>
      <c r="IL865" s="42"/>
      <c r="IM865" s="42"/>
      <c r="IN865" s="42"/>
      <c r="IO865" s="42"/>
      <c r="IP865" s="42"/>
      <c r="IQ865" s="42"/>
      <c r="IR865" s="42"/>
      <c r="IS865" s="42"/>
      <c r="IT865" s="42"/>
      <c r="IU865" s="42"/>
      <c r="IV865" s="42"/>
      <c r="IW865" s="42"/>
      <c r="IX865" s="42"/>
      <c r="IY865" s="42"/>
      <c r="IZ865" s="42"/>
      <c r="JA865" s="42"/>
      <c r="JB865" s="42"/>
      <c r="JC865" s="42"/>
      <c r="JD865" s="42"/>
      <c r="JE865" s="42"/>
      <c r="JF865" s="42"/>
      <c r="JG865" s="42"/>
      <c r="JH865" s="42"/>
      <c r="JI865" s="42"/>
      <c r="JJ865" s="42"/>
      <c r="JK865" s="42"/>
      <c r="JL865" s="42"/>
      <c r="JM865" s="42"/>
      <c r="JN865" s="42"/>
      <c r="JO865" s="42"/>
      <c r="JP865" s="42"/>
      <c r="JQ865" s="42"/>
      <c r="JR865" s="42"/>
      <c r="JS865" s="42"/>
      <c r="JT865" s="42"/>
      <c r="JU865" s="42"/>
      <c r="JV865" s="42"/>
      <c r="JW865" s="42"/>
      <c r="JX865" s="42"/>
      <c r="JY865" s="42"/>
      <c r="JZ865" s="42"/>
      <c r="KA865" s="42"/>
    </row>
    <row r="866" spans="1:287" ht="12.75">
      <c r="A866" s="89"/>
      <c r="B866" s="89"/>
      <c r="J866" s="19"/>
      <c r="Q866" s="19"/>
      <c r="Y866" s="19"/>
      <c r="AF866" s="19"/>
      <c r="II866" s="42"/>
      <c r="IJ866" s="42"/>
      <c r="IK866" s="42"/>
      <c r="IL866" s="42"/>
      <c r="IM866" s="42"/>
      <c r="IN866" s="42"/>
      <c r="IO866" s="42"/>
      <c r="IP866" s="42"/>
      <c r="IQ866" s="42"/>
      <c r="IR866" s="42"/>
      <c r="IS866" s="42"/>
      <c r="IT866" s="42"/>
      <c r="IU866" s="42"/>
      <c r="IV866" s="42"/>
      <c r="IW866" s="42"/>
      <c r="IX866" s="42"/>
      <c r="IY866" s="42"/>
      <c r="IZ866" s="42"/>
      <c r="JA866" s="42"/>
      <c r="JB866" s="42"/>
      <c r="JC866" s="42"/>
      <c r="JD866" s="42"/>
      <c r="JE866" s="42"/>
      <c r="JF866" s="42"/>
      <c r="JG866" s="42"/>
      <c r="JH866" s="42"/>
      <c r="JI866" s="42"/>
      <c r="JJ866" s="42"/>
      <c r="JK866" s="42"/>
      <c r="JL866" s="42"/>
      <c r="JM866" s="42"/>
      <c r="JN866" s="42"/>
      <c r="JO866" s="42"/>
      <c r="JP866" s="42"/>
      <c r="JQ866" s="42"/>
      <c r="JR866" s="42"/>
      <c r="JS866" s="42"/>
      <c r="JT866" s="42"/>
      <c r="JU866" s="42"/>
      <c r="JV866" s="42"/>
      <c r="JW866" s="42"/>
      <c r="JX866" s="42"/>
      <c r="JY866" s="42"/>
      <c r="JZ866" s="42"/>
      <c r="KA866" s="42"/>
    </row>
    <row r="867" spans="1:287" ht="12.75">
      <c r="A867" s="89"/>
      <c r="B867" s="89"/>
      <c r="J867" s="19"/>
      <c r="Q867" s="19"/>
      <c r="Y867" s="19"/>
      <c r="AF867" s="19"/>
      <c r="II867" s="42"/>
      <c r="IJ867" s="42"/>
      <c r="IK867" s="42"/>
      <c r="IL867" s="42"/>
      <c r="IM867" s="42"/>
      <c r="IN867" s="42"/>
      <c r="IO867" s="42"/>
      <c r="IP867" s="42"/>
      <c r="IQ867" s="42"/>
      <c r="IR867" s="42"/>
      <c r="IS867" s="42"/>
      <c r="IT867" s="42"/>
      <c r="IU867" s="42"/>
      <c r="IV867" s="42"/>
      <c r="IW867" s="42"/>
      <c r="IX867" s="42"/>
      <c r="IY867" s="42"/>
      <c r="IZ867" s="42"/>
      <c r="JA867" s="42"/>
      <c r="JB867" s="42"/>
      <c r="JC867" s="42"/>
      <c r="JD867" s="42"/>
      <c r="JE867" s="42"/>
      <c r="JF867" s="42"/>
      <c r="JG867" s="42"/>
      <c r="JH867" s="42"/>
      <c r="JI867" s="42"/>
      <c r="JJ867" s="42"/>
      <c r="JK867" s="42"/>
      <c r="JL867" s="42"/>
      <c r="JM867" s="42"/>
      <c r="JN867" s="42"/>
      <c r="JO867" s="42"/>
      <c r="JP867" s="42"/>
      <c r="JQ867" s="42"/>
      <c r="JR867" s="42"/>
      <c r="JS867" s="42"/>
      <c r="JT867" s="42"/>
      <c r="JU867" s="42"/>
      <c r="JV867" s="42"/>
      <c r="JW867" s="42"/>
      <c r="JX867" s="42"/>
      <c r="JY867" s="42"/>
      <c r="JZ867" s="42"/>
      <c r="KA867" s="42"/>
    </row>
    <row r="868" spans="1:287" ht="12.75">
      <c r="A868" s="89"/>
      <c r="B868" s="89"/>
      <c r="J868" s="19"/>
      <c r="Q868" s="19"/>
      <c r="Y868" s="19"/>
      <c r="AF868" s="19"/>
      <c r="II868" s="42"/>
      <c r="IJ868" s="42"/>
      <c r="IK868" s="42"/>
      <c r="IL868" s="42"/>
      <c r="IM868" s="42"/>
      <c r="IN868" s="42"/>
      <c r="IO868" s="42"/>
      <c r="IP868" s="42"/>
      <c r="IQ868" s="42"/>
      <c r="IR868" s="42"/>
      <c r="IS868" s="42"/>
      <c r="IT868" s="42"/>
      <c r="IU868" s="42"/>
      <c r="IV868" s="42"/>
      <c r="IW868" s="42"/>
      <c r="IX868" s="42"/>
      <c r="IY868" s="42"/>
      <c r="IZ868" s="42"/>
      <c r="JA868" s="42"/>
      <c r="JB868" s="42"/>
      <c r="JC868" s="42"/>
      <c r="JD868" s="42"/>
      <c r="JE868" s="42"/>
      <c r="JF868" s="42"/>
      <c r="JG868" s="42"/>
      <c r="JH868" s="42"/>
      <c r="JI868" s="42"/>
      <c r="JJ868" s="42"/>
      <c r="JK868" s="42"/>
      <c r="JL868" s="42"/>
      <c r="JM868" s="42"/>
      <c r="JN868" s="42"/>
      <c r="JO868" s="42"/>
      <c r="JP868" s="42"/>
      <c r="JQ868" s="42"/>
      <c r="JR868" s="42"/>
      <c r="JS868" s="42"/>
      <c r="JT868" s="42"/>
      <c r="JU868" s="42"/>
      <c r="JV868" s="42"/>
      <c r="JW868" s="42"/>
      <c r="JX868" s="42"/>
      <c r="JY868" s="42"/>
      <c r="JZ868" s="42"/>
      <c r="KA868" s="42"/>
    </row>
    <row r="869" spans="1:287" ht="12.75">
      <c r="A869" s="89"/>
      <c r="B869" s="89"/>
      <c r="J869" s="19"/>
      <c r="Q869" s="19"/>
      <c r="Y869" s="19"/>
      <c r="AF869" s="19"/>
      <c r="II869" s="42"/>
      <c r="IJ869" s="42"/>
      <c r="IK869" s="42"/>
      <c r="IL869" s="42"/>
      <c r="IM869" s="42"/>
      <c r="IN869" s="42"/>
      <c r="IO869" s="42"/>
      <c r="IP869" s="42"/>
      <c r="IQ869" s="42"/>
      <c r="IR869" s="42"/>
      <c r="IS869" s="42"/>
      <c r="IT869" s="42"/>
      <c r="IU869" s="42"/>
      <c r="IV869" s="42"/>
      <c r="IW869" s="42"/>
      <c r="IX869" s="42"/>
      <c r="IY869" s="42"/>
      <c r="IZ869" s="42"/>
      <c r="JA869" s="42"/>
      <c r="JB869" s="42"/>
      <c r="JC869" s="42"/>
      <c r="JD869" s="42"/>
      <c r="JE869" s="42"/>
      <c r="JF869" s="42"/>
      <c r="JG869" s="42"/>
      <c r="JH869" s="42"/>
      <c r="JI869" s="42"/>
      <c r="JJ869" s="42"/>
      <c r="JK869" s="42"/>
      <c r="JL869" s="42"/>
      <c r="JM869" s="42"/>
      <c r="JN869" s="42"/>
      <c r="JO869" s="42"/>
      <c r="JP869" s="42"/>
      <c r="JQ869" s="42"/>
      <c r="JR869" s="42"/>
      <c r="JS869" s="42"/>
      <c r="JT869" s="42"/>
      <c r="JU869" s="42"/>
      <c r="JV869" s="42"/>
      <c r="JW869" s="42"/>
      <c r="JX869" s="42"/>
      <c r="JY869" s="42"/>
      <c r="JZ869" s="42"/>
      <c r="KA869" s="42"/>
    </row>
    <row r="870" spans="1:287" ht="12.75">
      <c r="A870" s="89"/>
      <c r="B870" s="89"/>
      <c r="J870" s="19"/>
      <c r="Q870" s="19"/>
      <c r="Y870" s="19"/>
      <c r="AF870" s="19"/>
      <c r="II870" s="42"/>
      <c r="IJ870" s="42"/>
      <c r="IK870" s="42"/>
      <c r="IL870" s="42"/>
      <c r="IM870" s="42"/>
      <c r="IN870" s="42"/>
      <c r="IO870" s="42"/>
      <c r="IP870" s="42"/>
      <c r="IQ870" s="42"/>
      <c r="IR870" s="42"/>
      <c r="IS870" s="42"/>
      <c r="IT870" s="42"/>
      <c r="IU870" s="42"/>
      <c r="IV870" s="42"/>
      <c r="IW870" s="42"/>
      <c r="IX870" s="42"/>
      <c r="IY870" s="42"/>
      <c r="IZ870" s="42"/>
      <c r="JA870" s="42"/>
      <c r="JB870" s="42"/>
      <c r="JC870" s="42"/>
      <c r="JD870" s="42"/>
      <c r="JE870" s="42"/>
      <c r="JF870" s="42"/>
      <c r="JG870" s="42"/>
      <c r="JH870" s="42"/>
      <c r="JI870" s="42"/>
      <c r="JJ870" s="42"/>
      <c r="JK870" s="42"/>
      <c r="JL870" s="42"/>
      <c r="JM870" s="42"/>
      <c r="JN870" s="42"/>
      <c r="JO870" s="42"/>
      <c r="JP870" s="42"/>
      <c r="JQ870" s="42"/>
      <c r="JR870" s="42"/>
      <c r="JS870" s="42"/>
      <c r="JT870" s="42"/>
      <c r="JU870" s="42"/>
      <c r="JV870" s="42"/>
      <c r="JW870" s="42"/>
      <c r="JX870" s="42"/>
      <c r="JY870" s="42"/>
      <c r="JZ870" s="42"/>
      <c r="KA870" s="42"/>
    </row>
    <row r="871" spans="1:287" ht="12.75">
      <c r="A871" s="89"/>
      <c r="B871" s="89"/>
      <c r="J871" s="19"/>
      <c r="Q871" s="19"/>
      <c r="Y871" s="19"/>
      <c r="AF871" s="19"/>
      <c r="II871" s="42"/>
      <c r="IJ871" s="42"/>
      <c r="IK871" s="42"/>
      <c r="IL871" s="42"/>
      <c r="IM871" s="42"/>
      <c r="IN871" s="42"/>
      <c r="IO871" s="42"/>
      <c r="IP871" s="42"/>
      <c r="IQ871" s="42"/>
      <c r="IR871" s="42"/>
      <c r="IS871" s="42"/>
      <c r="IT871" s="42"/>
      <c r="IU871" s="42"/>
      <c r="IV871" s="42"/>
      <c r="IW871" s="42"/>
      <c r="IX871" s="42"/>
      <c r="IY871" s="42"/>
      <c r="IZ871" s="42"/>
      <c r="JA871" s="42"/>
      <c r="JB871" s="42"/>
      <c r="JC871" s="42"/>
      <c r="JD871" s="42"/>
      <c r="JE871" s="42"/>
      <c r="JF871" s="42"/>
      <c r="JG871" s="42"/>
      <c r="JH871" s="42"/>
      <c r="JI871" s="42"/>
      <c r="JJ871" s="42"/>
      <c r="JK871" s="42"/>
      <c r="JL871" s="42"/>
      <c r="JM871" s="42"/>
      <c r="JN871" s="42"/>
      <c r="JO871" s="42"/>
      <c r="JP871" s="42"/>
      <c r="JQ871" s="42"/>
      <c r="JR871" s="42"/>
      <c r="JS871" s="42"/>
      <c r="JT871" s="42"/>
      <c r="JU871" s="42"/>
      <c r="JV871" s="42"/>
      <c r="JW871" s="42"/>
      <c r="JX871" s="42"/>
      <c r="JY871" s="42"/>
      <c r="JZ871" s="42"/>
      <c r="KA871" s="42"/>
    </row>
    <row r="872" spans="1:287" ht="12.75">
      <c r="A872" s="89"/>
      <c r="B872" s="89"/>
      <c r="J872" s="19"/>
      <c r="Q872" s="19"/>
      <c r="Y872" s="19"/>
      <c r="AF872" s="19"/>
      <c r="II872" s="42"/>
      <c r="IJ872" s="42"/>
      <c r="IK872" s="42"/>
      <c r="IL872" s="42"/>
      <c r="IM872" s="42"/>
      <c r="IN872" s="42"/>
      <c r="IO872" s="42"/>
      <c r="IP872" s="42"/>
      <c r="IQ872" s="42"/>
      <c r="IR872" s="42"/>
      <c r="IS872" s="42"/>
      <c r="IT872" s="42"/>
      <c r="IU872" s="42"/>
      <c r="IV872" s="42"/>
      <c r="IW872" s="42"/>
      <c r="IX872" s="42"/>
      <c r="IY872" s="42"/>
      <c r="IZ872" s="42"/>
      <c r="JA872" s="42"/>
      <c r="JB872" s="42"/>
      <c r="JC872" s="42"/>
      <c r="JD872" s="42"/>
      <c r="JE872" s="42"/>
      <c r="JF872" s="42"/>
      <c r="JG872" s="42"/>
      <c r="JH872" s="42"/>
      <c r="JI872" s="42"/>
      <c r="JJ872" s="42"/>
      <c r="JK872" s="42"/>
      <c r="JL872" s="42"/>
      <c r="JM872" s="42"/>
      <c r="JN872" s="42"/>
      <c r="JO872" s="42"/>
      <c r="JP872" s="42"/>
      <c r="JQ872" s="42"/>
      <c r="JR872" s="42"/>
      <c r="JS872" s="42"/>
      <c r="JT872" s="42"/>
      <c r="JU872" s="42"/>
      <c r="JV872" s="42"/>
      <c r="JW872" s="42"/>
      <c r="JX872" s="42"/>
      <c r="JY872" s="42"/>
      <c r="JZ872" s="42"/>
      <c r="KA872" s="42"/>
    </row>
    <row r="873" spans="1:287" ht="12.75">
      <c r="A873" s="89"/>
      <c r="B873" s="89"/>
      <c r="J873" s="19"/>
      <c r="Q873" s="19"/>
      <c r="Y873" s="19"/>
      <c r="AF873" s="19"/>
      <c r="II873" s="42"/>
      <c r="IJ873" s="42"/>
      <c r="IK873" s="42"/>
      <c r="IL873" s="42"/>
      <c r="IM873" s="42"/>
      <c r="IN873" s="42"/>
      <c r="IO873" s="42"/>
      <c r="IP873" s="42"/>
      <c r="IQ873" s="42"/>
      <c r="IR873" s="42"/>
      <c r="IS873" s="42"/>
      <c r="IT873" s="42"/>
      <c r="IU873" s="42"/>
      <c r="IV873" s="42"/>
      <c r="IW873" s="42"/>
      <c r="IX873" s="42"/>
      <c r="IY873" s="42"/>
      <c r="IZ873" s="42"/>
      <c r="JA873" s="42"/>
      <c r="JB873" s="42"/>
      <c r="JC873" s="42"/>
      <c r="JD873" s="42"/>
      <c r="JE873" s="42"/>
      <c r="JF873" s="42"/>
      <c r="JG873" s="42"/>
      <c r="JH873" s="42"/>
      <c r="JI873" s="42"/>
      <c r="JJ873" s="42"/>
      <c r="JK873" s="42"/>
      <c r="JL873" s="42"/>
      <c r="JM873" s="42"/>
      <c r="JN873" s="42"/>
      <c r="JO873" s="42"/>
      <c r="JP873" s="42"/>
      <c r="JQ873" s="42"/>
      <c r="JR873" s="42"/>
      <c r="JS873" s="42"/>
      <c r="JT873" s="42"/>
      <c r="JU873" s="42"/>
      <c r="JV873" s="42"/>
      <c r="JW873" s="42"/>
      <c r="JX873" s="42"/>
      <c r="JY873" s="42"/>
      <c r="JZ873" s="42"/>
      <c r="KA873" s="42"/>
    </row>
    <row r="874" spans="1:287" ht="12.75">
      <c r="A874" s="89"/>
      <c r="B874" s="89"/>
      <c r="J874" s="19"/>
      <c r="Q874" s="19"/>
      <c r="Y874" s="19"/>
      <c r="AF874" s="19"/>
      <c r="II874" s="42"/>
      <c r="IJ874" s="42"/>
      <c r="IK874" s="42"/>
      <c r="IL874" s="42"/>
      <c r="IM874" s="42"/>
      <c r="IN874" s="42"/>
      <c r="IO874" s="42"/>
      <c r="IP874" s="42"/>
      <c r="IQ874" s="42"/>
      <c r="IR874" s="42"/>
      <c r="IS874" s="42"/>
      <c r="IT874" s="42"/>
      <c r="IU874" s="42"/>
      <c r="IV874" s="42"/>
      <c r="IW874" s="42"/>
      <c r="IX874" s="42"/>
      <c r="IY874" s="42"/>
      <c r="IZ874" s="42"/>
      <c r="JA874" s="42"/>
      <c r="JB874" s="42"/>
      <c r="JC874" s="42"/>
      <c r="JD874" s="42"/>
      <c r="JE874" s="42"/>
      <c r="JF874" s="42"/>
      <c r="JG874" s="42"/>
      <c r="JH874" s="42"/>
      <c r="JI874" s="42"/>
      <c r="JJ874" s="42"/>
      <c r="JK874" s="42"/>
      <c r="JL874" s="42"/>
      <c r="JM874" s="42"/>
      <c r="JN874" s="42"/>
      <c r="JO874" s="42"/>
      <c r="JP874" s="42"/>
      <c r="JQ874" s="42"/>
      <c r="JR874" s="42"/>
      <c r="JS874" s="42"/>
      <c r="JT874" s="42"/>
      <c r="JU874" s="42"/>
      <c r="JV874" s="42"/>
      <c r="JW874" s="42"/>
      <c r="JX874" s="42"/>
      <c r="JY874" s="42"/>
      <c r="JZ874" s="42"/>
      <c r="KA874" s="42"/>
    </row>
    <row r="875" spans="1:287" ht="12.75">
      <c r="A875" s="89"/>
      <c r="B875" s="89"/>
      <c r="J875" s="19"/>
      <c r="Q875" s="19"/>
      <c r="Y875" s="19"/>
      <c r="AF875" s="19"/>
      <c r="II875" s="42"/>
      <c r="IJ875" s="42"/>
      <c r="IK875" s="42"/>
      <c r="IL875" s="42"/>
      <c r="IM875" s="42"/>
      <c r="IN875" s="42"/>
      <c r="IO875" s="42"/>
      <c r="IP875" s="42"/>
      <c r="IQ875" s="42"/>
      <c r="IR875" s="42"/>
      <c r="IS875" s="42"/>
      <c r="IT875" s="42"/>
      <c r="IU875" s="42"/>
      <c r="IV875" s="42"/>
      <c r="IW875" s="42"/>
      <c r="IX875" s="42"/>
      <c r="IY875" s="42"/>
      <c r="IZ875" s="42"/>
      <c r="JA875" s="42"/>
      <c r="JB875" s="42"/>
      <c r="JC875" s="42"/>
      <c r="JD875" s="42"/>
      <c r="JE875" s="42"/>
      <c r="JF875" s="42"/>
      <c r="JG875" s="42"/>
      <c r="JH875" s="42"/>
      <c r="JI875" s="42"/>
      <c r="JJ875" s="42"/>
      <c r="JK875" s="42"/>
      <c r="JL875" s="42"/>
      <c r="JM875" s="42"/>
      <c r="JN875" s="42"/>
      <c r="JO875" s="42"/>
      <c r="JP875" s="42"/>
      <c r="JQ875" s="42"/>
      <c r="JR875" s="42"/>
      <c r="JS875" s="42"/>
      <c r="JT875" s="42"/>
      <c r="JU875" s="42"/>
      <c r="JV875" s="42"/>
      <c r="JW875" s="42"/>
      <c r="JX875" s="42"/>
      <c r="JY875" s="42"/>
      <c r="JZ875" s="42"/>
      <c r="KA875" s="42"/>
    </row>
    <row r="876" spans="1:287" ht="12.75">
      <c r="A876" s="89"/>
      <c r="B876" s="89"/>
      <c r="J876" s="19"/>
      <c r="Q876" s="19"/>
      <c r="Y876" s="19"/>
      <c r="AF876" s="19"/>
      <c r="II876" s="42"/>
      <c r="IJ876" s="42"/>
      <c r="IK876" s="42"/>
      <c r="IL876" s="42"/>
      <c r="IM876" s="42"/>
      <c r="IN876" s="42"/>
      <c r="IO876" s="42"/>
      <c r="IP876" s="42"/>
      <c r="IQ876" s="42"/>
      <c r="IR876" s="42"/>
      <c r="IS876" s="42"/>
      <c r="IT876" s="42"/>
      <c r="IU876" s="42"/>
      <c r="IV876" s="42"/>
      <c r="IW876" s="42"/>
      <c r="IX876" s="42"/>
      <c r="IY876" s="42"/>
      <c r="IZ876" s="42"/>
      <c r="JA876" s="42"/>
      <c r="JB876" s="42"/>
      <c r="JC876" s="42"/>
      <c r="JD876" s="42"/>
      <c r="JE876" s="42"/>
      <c r="JF876" s="42"/>
      <c r="JG876" s="42"/>
      <c r="JH876" s="42"/>
      <c r="JI876" s="42"/>
      <c r="JJ876" s="42"/>
      <c r="JK876" s="42"/>
      <c r="JL876" s="42"/>
      <c r="JM876" s="42"/>
      <c r="JN876" s="42"/>
      <c r="JO876" s="42"/>
      <c r="JP876" s="42"/>
      <c r="JQ876" s="42"/>
      <c r="JR876" s="42"/>
      <c r="JS876" s="42"/>
      <c r="JT876" s="42"/>
      <c r="JU876" s="42"/>
      <c r="JV876" s="42"/>
      <c r="JW876" s="42"/>
      <c r="JX876" s="42"/>
      <c r="JY876" s="42"/>
      <c r="JZ876" s="42"/>
      <c r="KA876" s="42"/>
    </row>
    <row r="877" spans="1:287" ht="12.75">
      <c r="A877" s="89"/>
      <c r="B877" s="89"/>
      <c r="J877" s="19"/>
      <c r="Q877" s="19"/>
      <c r="Y877" s="19"/>
      <c r="AF877" s="19"/>
      <c r="II877" s="42"/>
      <c r="IJ877" s="42"/>
      <c r="IK877" s="42"/>
      <c r="IL877" s="42"/>
      <c r="IM877" s="42"/>
      <c r="IN877" s="42"/>
      <c r="IO877" s="42"/>
      <c r="IP877" s="42"/>
      <c r="IQ877" s="42"/>
      <c r="IR877" s="42"/>
      <c r="IS877" s="42"/>
      <c r="IT877" s="42"/>
      <c r="IU877" s="42"/>
      <c r="IV877" s="42"/>
      <c r="IW877" s="42"/>
      <c r="IX877" s="42"/>
      <c r="IY877" s="42"/>
      <c r="IZ877" s="42"/>
      <c r="JA877" s="42"/>
      <c r="JB877" s="42"/>
      <c r="JC877" s="42"/>
      <c r="JD877" s="42"/>
      <c r="JE877" s="42"/>
      <c r="JF877" s="42"/>
      <c r="JG877" s="42"/>
      <c r="JH877" s="42"/>
      <c r="JI877" s="42"/>
      <c r="JJ877" s="42"/>
      <c r="JK877" s="42"/>
      <c r="JL877" s="42"/>
      <c r="JM877" s="42"/>
      <c r="JN877" s="42"/>
      <c r="JO877" s="42"/>
      <c r="JP877" s="42"/>
      <c r="JQ877" s="42"/>
      <c r="JR877" s="42"/>
      <c r="JS877" s="42"/>
      <c r="JT877" s="42"/>
      <c r="JU877" s="42"/>
      <c r="JV877" s="42"/>
      <c r="JW877" s="42"/>
      <c r="JX877" s="42"/>
      <c r="JY877" s="42"/>
      <c r="JZ877" s="42"/>
      <c r="KA877" s="42"/>
    </row>
    <row r="878" spans="1:287" ht="12.75">
      <c r="A878" s="89"/>
      <c r="B878" s="89"/>
      <c r="J878" s="19"/>
      <c r="Q878" s="19"/>
      <c r="Y878" s="19"/>
      <c r="AF878" s="19"/>
      <c r="II878" s="42"/>
      <c r="IJ878" s="42"/>
      <c r="IK878" s="42"/>
      <c r="IL878" s="42"/>
      <c r="IM878" s="42"/>
      <c r="IN878" s="42"/>
      <c r="IO878" s="42"/>
      <c r="IP878" s="42"/>
      <c r="IQ878" s="42"/>
      <c r="IR878" s="42"/>
      <c r="IS878" s="42"/>
      <c r="IT878" s="42"/>
      <c r="IU878" s="42"/>
      <c r="IV878" s="42"/>
      <c r="IW878" s="42"/>
      <c r="IX878" s="42"/>
      <c r="IY878" s="42"/>
      <c r="IZ878" s="42"/>
      <c r="JA878" s="42"/>
      <c r="JB878" s="42"/>
      <c r="JC878" s="42"/>
      <c r="JD878" s="42"/>
      <c r="JE878" s="42"/>
      <c r="JF878" s="42"/>
      <c r="JG878" s="42"/>
      <c r="JH878" s="42"/>
      <c r="JI878" s="42"/>
      <c r="JJ878" s="42"/>
      <c r="JK878" s="42"/>
      <c r="JL878" s="42"/>
      <c r="JM878" s="42"/>
      <c r="JN878" s="42"/>
      <c r="JO878" s="42"/>
      <c r="JP878" s="42"/>
      <c r="JQ878" s="42"/>
      <c r="JR878" s="42"/>
      <c r="JS878" s="42"/>
      <c r="JT878" s="42"/>
      <c r="JU878" s="42"/>
      <c r="JV878" s="42"/>
      <c r="JW878" s="42"/>
      <c r="JX878" s="42"/>
      <c r="JY878" s="42"/>
      <c r="JZ878" s="42"/>
      <c r="KA878" s="42"/>
    </row>
    <row r="879" spans="1:287" ht="12.75">
      <c r="A879" s="89"/>
      <c r="B879" s="89"/>
      <c r="J879" s="19"/>
      <c r="Q879" s="19"/>
      <c r="Y879" s="19"/>
      <c r="AF879" s="19"/>
      <c r="II879" s="42"/>
      <c r="IJ879" s="42"/>
      <c r="IK879" s="42"/>
      <c r="IL879" s="42"/>
      <c r="IM879" s="42"/>
      <c r="IN879" s="42"/>
      <c r="IO879" s="42"/>
      <c r="IP879" s="42"/>
      <c r="IQ879" s="42"/>
      <c r="IR879" s="42"/>
      <c r="IS879" s="42"/>
      <c r="IT879" s="42"/>
      <c r="IU879" s="42"/>
      <c r="IV879" s="42"/>
      <c r="IW879" s="42"/>
      <c r="IX879" s="42"/>
      <c r="IY879" s="42"/>
      <c r="IZ879" s="42"/>
      <c r="JA879" s="42"/>
      <c r="JB879" s="42"/>
      <c r="JC879" s="42"/>
      <c r="JD879" s="42"/>
      <c r="JE879" s="42"/>
      <c r="JF879" s="42"/>
      <c r="JG879" s="42"/>
      <c r="JH879" s="42"/>
      <c r="JI879" s="42"/>
      <c r="JJ879" s="42"/>
      <c r="JK879" s="42"/>
      <c r="JL879" s="42"/>
      <c r="JM879" s="42"/>
      <c r="JN879" s="42"/>
      <c r="JO879" s="42"/>
      <c r="JP879" s="42"/>
      <c r="JQ879" s="42"/>
      <c r="JR879" s="42"/>
      <c r="JS879" s="42"/>
      <c r="JT879" s="42"/>
      <c r="JU879" s="42"/>
      <c r="JV879" s="42"/>
      <c r="JW879" s="42"/>
      <c r="JX879" s="42"/>
      <c r="JY879" s="42"/>
      <c r="JZ879" s="42"/>
      <c r="KA879" s="42"/>
    </row>
    <row r="880" spans="1:287" ht="12.75">
      <c r="A880" s="89"/>
      <c r="B880" s="89"/>
      <c r="J880" s="19"/>
      <c r="Q880" s="19"/>
      <c r="Y880" s="19"/>
      <c r="AF880" s="19"/>
      <c r="II880" s="42"/>
      <c r="IJ880" s="42"/>
      <c r="IK880" s="42"/>
      <c r="IL880" s="42"/>
      <c r="IM880" s="42"/>
      <c r="IN880" s="42"/>
      <c r="IO880" s="42"/>
      <c r="IP880" s="42"/>
      <c r="IQ880" s="42"/>
      <c r="IR880" s="42"/>
      <c r="IS880" s="42"/>
      <c r="IT880" s="42"/>
      <c r="IU880" s="42"/>
      <c r="IV880" s="42"/>
      <c r="IW880" s="42"/>
      <c r="IX880" s="42"/>
      <c r="IY880" s="42"/>
      <c r="IZ880" s="42"/>
      <c r="JA880" s="42"/>
      <c r="JB880" s="42"/>
      <c r="JC880" s="42"/>
      <c r="JD880" s="42"/>
      <c r="JE880" s="42"/>
      <c r="JF880" s="42"/>
      <c r="JG880" s="42"/>
      <c r="JH880" s="42"/>
      <c r="JI880" s="42"/>
      <c r="JJ880" s="42"/>
      <c r="JK880" s="42"/>
      <c r="JL880" s="42"/>
      <c r="JM880" s="42"/>
      <c r="JN880" s="42"/>
      <c r="JO880" s="42"/>
      <c r="JP880" s="42"/>
      <c r="JQ880" s="42"/>
      <c r="JR880" s="42"/>
      <c r="JS880" s="42"/>
      <c r="JT880" s="42"/>
      <c r="JU880" s="42"/>
      <c r="JV880" s="42"/>
      <c r="JW880" s="42"/>
      <c r="JX880" s="42"/>
      <c r="JY880" s="42"/>
      <c r="JZ880" s="42"/>
      <c r="KA880" s="42"/>
    </row>
    <row r="881" spans="1:287" ht="12.75">
      <c r="A881" s="89"/>
      <c r="B881" s="89"/>
      <c r="J881" s="19"/>
      <c r="Q881" s="19"/>
      <c r="Y881" s="19"/>
      <c r="AF881" s="19"/>
      <c r="II881" s="42"/>
      <c r="IJ881" s="42"/>
      <c r="IK881" s="42"/>
      <c r="IL881" s="42"/>
      <c r="IM881" s="42"/>
      <c r="IN881" s="42"/>
      <c r="IO881" s="42"/>
      <c r="IP881" s="42"/>
      <c r="IQ881" s="42"/>
      <c r="IR881" s="42"/>
      <c r="IS881" s="42"/>
      <c r="IT881" s="42"/>
      <c r="IU881" s="42"/>
      <c r="IV881" s="42"/>
      <c r="IW881" s="42"/>
      <c r="IX881" s="42"/>
      <c r="IY881" s="42"/>
      <c r="IZ881" s="42"/>
      <c r="JA881" s="42"/>
      <c r="JB881" s="42"/>
      <c r="JC881" s="42"/>
      <c r="JD881" s="42"/>
      <c r="JE881" s="42"/>
      <c r="JF881" s="42"/>
      <c r="JG881" s="42"/>
      <c r="JH881" s="42"/>
      <c r="JI881" s="42"/>
      <c r="JJ881" s="42"/>
      <c r="JK881" s="42"/>
      <c r="JL881" s="42"/>
      <c r="JM881" s="42"/>
      <c r="JN881" s="42"/>
      <c r="JO881" s="42"/>
      <c r="JP881" s="42"/>
      <c r="JQ881" s="42"/>
      <c r="JR881" s="42"/>
      <c r="JS881" s="42"/>
      <c r="JT881" s="42"/>
      <c r="JU881" s="42"/>
      <c r="JV881" s="42"/>
      <c r="JW881" s="42"/>
      <c r="JX881" s="42"/>
      <c r="JY881" s="42"/>
      <c r="JZ881" s="42"/>
      <c r="KA881" s="42"/>
    </row>
    <row r="882" spans="1:287" ht="12.75">
      <c r="A882" s="89"/>
      <c r="B882" s="89"/>
      <c r="J882" s="19"/>
      <c r="Q882" s="19"/>
      <c r="Y882" s="19"/>
      <c r="AF882" s="19"/>
      <c r="II882" s="42"/>
      <c r="IJ882" s="42"/>
      <c r="IK882" s="42"/>
      <c r="IL882" s="42"/>
      <c r="IM882" s="42"/>
      <c r="IN882" s="42"/>
      <c r="IO882" s="42"/>
      <c r="IP882" s="42"/>
      <c r="IQ882" s="42"/>
      <c r="IR882" s="42"/>
      <c r="IS882" s="42"/>
      <c r="IT882" s="42"/>
      <c r="IU882" s="42"/>
      <c r="IV882" s="42"/>
      <c r="IW882" s="42"/>
      <c r="IX882" s="42"/>
      <c r="IY882" s="42"/>
      <c r="IZ882" s="42"/>
      <c r="JA882" s="42"/>
      <c r="JB882" s="42"/>
      <c r="JC882" s="42"/>
      <c r="JD882" s="42"/>
      <c r="JE882" s="42"/>
      <c r="JF882" s="42"/>
      <c r="JG882" s="42"/>
      <c r="JH882" s="42"/>
      <c r="JI882" s="42"/>
      <c r="JJ882" s="42"/>
      <c r="JK882" s="42"/>
      <c r="JL882" s="42"/>
      <c r="JM882" s="42"/>
      <c r="JN882" s="42"/>
      <c r="JO882" s="42"/>
      <c r="JP882" s="42"/>
      <c r="JQ882" s="42"/>
      <c r="JR882" s="42"/>
      <c r="JS882" s="42"/>
      <c r="JT882" s="42"/>
      <c r="JU882" s="42"/>
      <c r="JV882" s="42"/>
      <c r="JW882" s="42"/>
      <c r="JX882" s="42"/>
      <c r="JY882" s="42"/>
      <c r="JZ882" s="42"/>
      <c r="KA882" s="42"/>
    </row>
    <row r="883" spans="1:287" ht="12.75">
      <c r="A883" s="89"/>
      <c r="B883" s="89"/>
      <c r="J883" s="19"/>
      <c r="Q883" s="19"/>
      <c r="Y883" s="19"/>
      <c r="AF883" s="19"/>
      <c r="II883" s="42"/>
      <c r="IJ883" s="42"/>
      <c r="IK883" s="42"/>
      <c r="IL883" s="42"/>
      <c r="IM883" s="42"/>
      <c r="IN883" s="42"/>
      <c r="IO883" s="42"/>
      <c r="IP883" s="42"/>
      <c r="IQ883" s="42"/>
      <c r="IR883" s="42"/>
      <c r="IS883" s="42"/>
      <c r="IT883" s="42"/>
      <c r="IU883" s="42"/>
      <c r="IV883" s="42"/>
      <c r="IW883" s="42"/>
      <c r="IX883" s="42"/>
      <c r="IY883" s="42"/>
      <c r="IZ883" s="42"/>
      <c r="JA883" s="42"/>
      <c r="JB883" s="42"/>
      <c r="JC883" s="42"/>
      <c r="JD883" s="42"/>
      <c r="JE883" s="42"/>
      <c r="JF883" s="42"/>
      <c r="JG883" s="42"/>
      <c r="JH883" s="42"/>
      <c r="JI883" s="42"/>
      <c r="JJ883" s="42"/>
      <c r="JK883" s="42"/>
      <c r="JL883" s="42"/>
      <c r="JM883" s="42"/>
      <c r="JN883" s="42"/>
      <c r="JO883" s="42"/>
      <c r="JP883" s="42"/>
      <c r="JQ883" s="42"/>
      <c r="JR883" s="42"/>
      <c r="JS883" s="42"/>
      <c r="JT883" s="42"/>
      <c r="JU883" s="42"/>
      <c r="JV883" s="42"/>
      <c r="JW883" s="42"/>
      <c r="JX883" s="42"/>
      <c r="JY883" s="42"/>
      <c r="JZ883" s="42"/>
      <c r="KA883" s="42"/>
    </row>
    <row r="884" spans="1:287" ht="12.75">
      <c r="A884" s="89"/>
      <c r="B884" s="89"/>
      <c r="J884" s="19"/>
      <c r="Q884" s="19"/>
      <c r="Y884" s="19"/>
      <c r="AF884" s="19"/>
      <c r="II884" s="42"/>
      <c r="IJ884" s="42"/>
      <c r="IK884" s="42"/>
      <c r="IL884" s="42"/>
      <c r="IM884" s="42"/>
      <c r="IN884" s="42"/>
      <c r="IO884" s="42"/>
      <c r="IP884" s="42"/>
      <c r="IQ884" s="42"/>
      <c r="IR884" s="42"/>
      <c r="IS884" s="42"/>
      <c r="IT884" s="42"/>
      <c r="IU884" s="42"/>
      <c r="IV884" s="42"/>
      <c r="IW884" s="42"/>
      <c r="IX884" s="42"/>
      <c r="IY884" s="42"/>
      <c r="IZ884" s="42"/>
      <c r="JA884" s="42"/>
      <c r="JB884" s="42"/>
      <c r="JC884" s="42"/>
      <c r="JD884" s="42"/>
      <c r="JE884" s="42"/>
      <c r="JF884" s="42"/>
      <c r="JG884" s="42"/>
      <c r="JH884" s="42"/>
      <c r="JI884" s="42"/>
      <c r="JJ884" s="42"/>
      <c r="JK884" s="42"/>
      <c r="JL884" s="42"/>
      <c r="JM884" s="42"/>
      <c r="JN884" s="42"/>
      <c r="JO884" s="42"/>
      <c r="JP884" s="42"/>
      <c r="JQ884" s="42"/>
      <c r="JR884" s="42"/>
      <c r="JS884" s="42"/>
      <c r="JT884" s="42"/>
      <c r="JU884" s="42"/>
      <c r="JV884" s="42"/>
      <c r="JW884" s="42"/>
      <c r="JX884" s="42"/>
      <c r="JY884" s="42"/>
      <c r="JZ884" s="42"/>
      <c r="KA884" s="42"/>
    </row>
    <row r="885" spans="1:287" ht="12.75">
      <c r="A885" s="89"/>
      <c r="B885" s="89"/>
      <c r="J885" s="19"/>
      <c r="Q885" s="19"/>
      <c r="Y885" s="19"/>
      <c r="AF885" s="19"/>
      <c r="II885" s="42"/>
      <c r="IJ885" s="42"/>
      <c r="IK885" s="42"/>
      <c r="IL885" s="42"/>
      <c r="IM885" s="42"/>
      <c r="IN885" s="42"/>
      <c r="IO885" s="42"/>
      <c r="IP885" s="42"/>
      <c r="IQ885" s="42"/>
      <c r="IR885" s="42"/>
      <c r="IS885" s="42"/>
      <c r="IT885" s="42"/>
      <c r="IU885" s="42"/>
      <c r="IV885" s="42"/>
      <c r="IW885" s="42"/>
      <c r="IX885" s="42"/>
      <c r="IY885" s="42"/>
      <c r="IZ885" s="42"/>
      <c r="JA885" s="42"/>
      <c r="JB885" s="42"/>
      <c r="JC885" s="42"/>
      <c r="JD885" s="42"/>
      <c r="JE885" s="42"/>
      <c r="JF885" s="42"/>
      <c r="JG885" s="42"/>
      <c r="JH885" s="42"/>
      <c r="JI885" s="42"/>
      <c r="JJ885" s="42"/>
      <c r="JK885" s="42"/>
      <c r="JL885" s="42"/>
      <c r="JM885" s="42"/>
      <c r="JN885" s="42"/>
      <c r="JO885" s="42"/>
      <c r="JP885" s="42"/>
      <c r="JQ885" s="42"/>
      <c r="JR885" s="42"/>
      <c r="JS885" s="42"/>
      <c r="JT885" s="42"/>
      <c r="JU885" s="42"/>
      <c r="JV885" s="42"/>
      <c r="JW885" s="42"/>
      <c r="JX885" s="42"/>
      <c r="JY885" s="42"/>
      <c r="JZ885" s="42"/>
      <c r="KA885" s="42"/>
    </row>
    <row r="886" spans="1:287" ht="12.75">
      <c r="A886" s="89"/>
      <c r="B886" s="89"/>
      <c r="J886" s="19"/>
      <c r="Q886" s="19"/>
      <c r="Y886" s="19"/>
      <c r="AF886" s="19"/>
      <c r="II886" s="42"/>
      <c r="IJ886" s="42"/>
      <c r="IK886" s="42"/>
      <c r="IL886" s="42"/>
      <c r="IM886" s="42"/>
      <c r="IN886" s="42"/>
      <c r="IO886" s="42"/>
      <c r="IP886" s="42"/>
      <c r="IQ886" s="42"/>
      <c r="IR886" s="42"/>
      <c r="IS886" s="42"/>
      <c r="IT886" s="42"/>
      <c r="IU886" s="42"/>
      <c r="IV886" s="42"/>
      <c r="IW886" s="42"/>
      <c r="IX886" s="42"/>
      <c r="IY886" s="42"/>
      <c r="IZ886" s="42"/>
      <c r="JA886" s="42"/>
      <c r="JB886" s="42"/>
      <c r="JC886" s="42"/>
      <c r="JD886" s="42"/>
      <c r="JE886" s="42"/>
      <c r="JF886" s="42"/>
      <c r="JG886" s="42"/>
      <c r="JH886" s="42"/>
      <c r="JI886" s="42"/>
      <c r="JJ886" s="42"/>
      <c r="JK886" s="42"/>
      <c r="JL886" s="42"/>
      <c r="JM886" s="42"/>
      <c r="JN886" s="42"/>
      <c r="JO886" s="42"/>
      <c r="JP886" s="42"/>
      <c r="JQ886" s="42"/>
      <c r="JR886" s="42"/>
      <c r="JS886" s="42"/>
      <c r="JT886" s="42"/>
      <c r="JU886" s="42"/>
      <c r="JV886" s="42"/>
      <c r="JW886" s="42"/>
      <c r="JX886" s="42"/>
      <c r="JY886" s="42"/>
      <c r="JZ886" s="42"/>
      <c r="KA886" s="42"/>
    </row>
    <row r="887" spans="1:287" ht="12.75">
      <c r="A887" s="89"/>
      <c r="B887" s="89"/>
      <c r="J887" s="19"/>
      <c r="Q887" s="19"/>
      <c r="Y887" s="19"/>
      <c r="AF887" s="19"/>
      <c r="II887" s="42"/>
      <c r="IJ887" s="42"/>
      <c r="IK887" s="42"/>
      <c r="IL887" s="42"/>
      <c r="IM887" s="42"/>
      <c r="IN887" s="42"/>
      <c r="IO887" s="42"/>
      <c r="IP887" s="42"/>
      <c r="IQ887" s="42"/>
      <c r="IR887" s="42"/>
      <c r="IS887" s="42"/>
      <c r="IT887" s="42"/>
      <c r="IU887" s="42"/>
      <c r="IV887" s="42"/>
      <c r="IW887" s="42"/>
      <c r="IX887" s="42"/>
      <c r="IY887" s="42"/>
      <c r="IZ887" s="42"/>
      <c r="JA887" s="42"/>
      <c r="JB887" s="42"/>
      <c r="JC887" s="42"/>
      <c r="JD887" s="42"/>
      <c r="JE887" s="42"/>
      <c r="JF887" s="42"/>
      <c r="JG887" s="42"/>
      <c r="JH887" s="42"/>
      <c r="JI887" s="42"/>
      <c r="JJ887" s="42"/>
      <c r="JK887" s="42"/>
      <c r="JL887" s="42"/>
      <c r="JM887" s="42"/>
      <c r="JN887" s="42"/>
      <c r="JO887" s="42"/>
      <c r="JP887" s="42"/>
      <c r="JQ887" s="42"/>
      <c r="JR887" s="42"/>
      <c r="JS887" s="42"/>
      <c r="JT887" s="42"/>
      <c r="JU887" s="42"/>
      <c r="JV887" s="42"/>
      <c r="JW887" s="42"/>
      <c r="JX887" s="42"/>
      <c r="JY887" s="42"/>
      <c r="JZ887" s="42"/>
      <c r="KA887" s="42"/>
    </row>
    <row r="888" spans="1:287" ht="12.75">
      <c r="A888" s="89"/>
      <c r="B888" s="89"/>
      <c r="J888" s="19"/>
      <c r="Q888" s="19"/>
      <c r="Y888" s="19"/>
      <c r="AF888" s="19"/>
      <c r="II888" s="42"/>
      <c r="IJ888" s="42"/>
      <c r="IK888" s="42"/>
      <c r="IL888" s="42"/>
      <c r="IM888" s="42"/>
      <c r="IN888" s="42"/>
      <c r="IO888" s="42"/>
      <c r="IP888" s="42"/>
      <c r="IQ888" s="42"/>
      <c r="IR888" s="42"/>
      <c r="IS888" s="42"/>
      <c r="IT888" s="42"/>
      <c r="IU888" s="42"/>
      <c r="IV888" s="42"/>
      <c r="IW888" s="42"/>
      <c r="IX888" s="42"/>
      <c r="IY888" s="42"/>
      <c r="IZ888" s="42"/>
      <c r="JA888" s="42"/>
      <c r="JB888" s="42"/>
      <c r="JC888" s="42"/>
      <c r="JD888" s="42"/>
      <c r="JE888" s="42"/>
      <c r="JF888" s="42"/>
      <c r="JG888" s="42"/>
      <c r="JH888" s="42"/>
      <c r="JI888" s="42"/>
      <c r="JJ888" s="42"/>
      <c r="JK888" s="42"/>
      <c r="JL888" s="42"/>
      <c r="JM888" s="42"/>
      <c r="JN888" s="42"/>
      <c r="JO888" s="42"/>
      <c r="JP888" s="42"/>
      <c r="JQ888" s="42"/>
      <c r="JR888" s="42"/>
      <c r="JS888" s="42"/>
      <c r="JT888" s="42"/>
      <c r="JU888" s="42"/>
      <c r="JV888" s="42"/>
      <c r="JW888" s="42"/>
      <c r="JX888" s="42"/>
      <c r="JY888" s="42"/>
      <c r="JZ888" s="42"/>
      <c r="KA888" s="42"/>
    </row>
    <row r="889" spans="1:287" ht="12.75">
      <c r="A889" s="89"/>
      <c r="B889" s="89"/>
      <c r="J889" s="19"/>
      <c r="Q889" s="19"/>
      <c r="Y889" s="19"/>
      <c r="AF889" s="19"/>
      <c r="II889" s="42"/>
      <c r="IJ889" s="42"/>
      <c r="IK889" s="42"/>
      <c r="IL889" s="42"/>
      <c r="IM889" s="42"/>
      <c r="IN889" s="42"/>
      <c r="IO889" s="42"/>
      <c r="IP889" s="42"/>
      <c r="IQ889" s="42"/>
      <c r="IR889" s="42"/>
      <c r="IS889" s="42"/>
      <c r="IT889" s="42"/>
      <c r="IU889" s="42"/>
      <c r="IV889" s="42"/>
      <c r="IW889" s="42"/>
      <c r="IX889" s="42"/>
      <c r="IY889" s="42"/>
      <c r="IZ889" s="42"/>
      <c r="JA889" s="42"/>
      <c r="JB889" s="42"/>
      <c r="JC889" s="42"/>
      <c r="JD889" s="42"/>
      <c r="JE889" s="42"/>
      <c r="JF889" s="42"/>
      <c r="JG889" s="42"/>
      <c r="JH889" s="42"/>
      <c r="JI889" s="42"/>
      <c r="JJ889" s="42"/>
      <c r="JK889" s="42"/>
      <c r="JL889" s="42"/>
      <c r="JM889" s="42"/>
      <c r="JN889" s="42"/>
      <c r="JO889" s="42"/>
      <c r="JP889" s="42"/>
      <c r="JQ889" s="42"/>
      <c r="JR889" s="42"/>
      <c r="JS889" s="42"/>
      <c r="JT889" s="42"/>
      <c r="JU889" s="42"/>
      <c r="JV889" s="42"/>
      <c r="JW889" s="42"/>
      <c r="JX889" s="42"/>
      <c r="JY889" s="42"/>
      <c r="JZ889" s="42"/>
      <c r="KA889" s="42"/>
    </row>
    <row r="890" spans="1:287" ht="12.75">
      <c r="A890" s="89"/>
      <c r="B890" s="89"/>
      <c r="J890" s="19"/>
      <c r="Q890" s="19"/>
      <c r="Y890" s="19"/>
      <c r="AF890" s="19"/>
      <c r="II890" s="42"/>
      <c r="IJ890" s="42"/>
      <c r="IK890" s="42"/>
      <c r="IL890" s="42"/>
      <c r="IM890" s="42"/>
      <c r="IN890" s="42"/>
      <c r="IO890" s="42"/>
      <c r="IP890" s="42"/>
      <c r="IQ890" s="42"/>
      <c r="IR890" s="42"/>
      <c r="IS890" s="42"/>
      <c r="IT890" s="42"/>
      <c r="IU890" s="42"/>
      <c r="IV890" s="42"/>
      <c r="IW890" s="42"/>
      <c r="IX890" s="42"/>
      <c r="IY890" s="42"/>
      <c r="IZ890" s="42"/>
      <c r="JA890" s="42"/>
      <c r="JB890" s="42"/>
      <c r="JC890" s="42"/>
      <c r="JD890" s="42"/>
      <c r="JE890" s="42"/>
      <c r="JF890" s="42"/>
      <c r="JG890" s="42"/>
      <c r="JH890" s="42"/>
      <c r="JI890" s="42"/>
      <c r="JJ890" s="42"/>
      <c r="JK890" s="42"/>
      <c r="JL890" s="42"/>
      <c r="JM890" s="42"/>
      <c r="JN890" s="42"/>
      <c r="JO890" s="42"/>
      <c r="JP890" s="42"/>
      <c r="JQ890" s="42"/>
      <c r="JR890" s="42"/>
      <c r="JS890" s="42"/>
      <c r="JT890" s="42"/>
      <c r="JU890" s="42"/>
      <c r="JV890" s="42"/>
      <c r="JW890" s="42"/>
      <c r="JX890" s="42"/>
      <c r="JY890" s="42"/>
      <c r="JZ890" s="42"/>
      <c r="KA890" s="42"/>
    </row>
    <row r="891" spans="1:287" ht="12.75">
      <c r="A891" s="89"/>
      <c r="B891" s="89"/>
      <c r="J891" s="19"/>
      <c r="Q891" s="19"/>
      <c r="Y891" s="19"/>
      <c r="AF891" s="19"/>
      <c r="II891" s="42"/>
      <c r="IJ891" s="42"/>
      <c r="IK891" s="42"/>
      <c r="IL891" s="42"/>
      <c r="IM891" s="42"/>
      <c r="IN891" s="42"/>
      <c r="IO891" s="42"/>
      <c r="IP891" s="42"/>
      <c r="IQ891" s="42"/>
      <c r="IR891" s="42"/>
      <c r="IS891" s="42"/>
      <c r="IT891" s="42"/>
      <c r="IU891" s="42"/>
      <c r="IV891" s="42"/>
      <c r="IW891" s="42"/>
      <c r="IX891" s="42"/>
      <c r="IY891" s="42"/>
      <c r="IZ891" s="42"/>
      <c r="JA891" s="42"/>
      <c r="JB891" s="42"/>
      <c r="JC891" s="42"/>
      <c r="JD891" s="42"/>
      <c r="JE891" s="42"/>
      <c r="JF891" s="42"/>
      <c r="JG891" s="42"/>
      <c r="JH891" s="42"/>
      <c r="JI891" s="42"/>
      <c r="JJ891" s="42"/>
      <c r="JK891" s="42"/>
      <c r="JL891" s="42"/>
      <c r="JM891" s="42"/>
      <c r="JN891" s="42"/>
      <c r="JO891" s="42"/>
      <c r="JP891" s="42"/>
      <c r="JQ891" s="42"/>
      <c r="JR891" s="42"/>
      <c r="JS891" s="42"/>
      <c r="JT891" s="42"/>
      <c r="JU891" s="42"/>
      <c r="JV891" s="42"/>
      <c r="JW891" s="42"/>
      <c r="JX891" s="42"/>
      <c r="JY891" s="42"/>
      <c r="JZ891" s="42"/>
      <c r="KA891" s="42"/>
    </row>
    <row r="892" spans="1:287" ht="12.75">
      <c r="A892" s="89"/>
      <c r="B892" s="89"/>
      <c r="J892" s="19"/>
      <c r="Q892" s="19"/>
      <c r="Y892" s="19"/>
      <c r="AF892" s="19"/>
      <c r="II892" s="42"/>
      <c r="IJ892" s="42"/>
      <c r="IK892" s="42"/>
      <c r="IL892" s="42"/>
      <c r="IM892" s="42"/>
      <c r="IN892" s="42"/>
      <c r="IO892" s="42"/>
      <c r="IP892" s="42"/>
      <c r="IQ892" s="42"/>
      <c r="IR892" s="42"/>
      <c r="IS892" s="42"/>
      <c r="IT892" s="42"/>
      <c r="IU892" s="42"/>
      <c r="IV892" s="42"/>
      <c r="IW892" s="42"/>
      <c r="IX892" s="42"/>
      <c r="IY892" s="42"/>
      <c r="IZ892" s="42"/>
      <c r="JA892" s="42"/>
      <c r="JB892" s="42"/>
      <c r="JC892" s="42"/>
      <c r="JD892" s="42"/>
      <c r="JE892" s="42"/>
      <c r="JF892" s="42"/>
      <c r="JG892" s="42"/>
      <c r="JH892" s="42"/>
      <c r="JI892" s="42"/>
      <c r="JJ892" s="42"/>
      <c r="JK892" s="42"/>
      <c r="JL892" s="42"/>
      <c r="JM892" s="42"/>
      <c r="JN892" s="42"/>
      <c r="JO892" s="42"/>
      <c r="JP892" s="42"/>
      <c r="JQ892" s="42"/>
      <c r="JR892" s="42"/>
      <c r="JS892" s="42"/>
      <c r="JT892" s="42"/>
      <c r="JU892" s="42"/>
      <c r="JV892" s="42"/>
      <c r="JW892" s="42"/>
      <c r="JX892" s="42"/>
      <c r="JY892" s="42"/>
      <c r="JZ892" s="42"/>
      <c r="KA892" s="42"/>
    </row>
    <row r="893" spans="1:287" ht="12.75">
      <c r="A893" s="89"/>
      <c r="B893" s="89"/>
      <c r="J893" s="19"/>
      <c r="Q893" s="19"/>
      <c r="Y893" s="19"/>
      <c r="AF893" s="19"/>
      <c r="II893" s="42"/>
      <c r="IJ893" s="42"/>
      <c r="IK893" s="42"/>
      <c r="IL893" s="42"/>
      <c r="IM893" s="42"/>
      <c r="IN893" s="42"/>
      <c r="IO893" s="42"/>
      <c r="IP893" s="42"/>
      <c r="IQ893" s="42"/>
      <c r="IR893" s="42"/>
      <c r="IS893" s="42"/>
      <c r="IT893" s="42"/>
      <c r="IU893" s="42"/>
      <c r="IV893" s="42"/>
      <c r="IW893" s="42"/>
      <c r="IX893" s="42"/>
      <c r="IY893" s="42"/>
      <c r="IZ893" s="42"/>
      <c r="JA893" s="42"/>
      <c r="JB893" s="42"/>
      <c r="JC893" s="42"/>
      <c r="JD893" s="42"/>
      <c r="JE893" s="42"/>
      <c r="JF893" s="42"/>
      <c r="JG893" s="42"/>
      <c r="JH893" s="42"/>
      <c r="JI893" s="42"/>
      <c r="JJ893" s="42"/>
      <c r="JK893" s="42"/>
      <c r="JL893" s="42"/>
      <c r="JM893" s="42"/>
      <c r="JN893" s="42"/>
      <c r="JO893" s="42"/>
      <c r="JP893" s="42"/>
      <c r="JQ893" s="42"/>
      <c r="JR893" s="42"/>
      <c r="JS893" s="42"/>
      <c r="JT893" s="42"/>
      <c r="JU893" s="42"/>
      <c r="JV893" s="42"/>
      <c r="JW893" s="42"/>
      <c r="JX893" s="42"/>
      <c r="JY893" s="42"/>
      <c r="JZ893" s="42"/>
      <c r="KA893" s="42"/>
    </row>
    <row r="894" spans="1:287" ht="12.75">
      <c r="A894" s="89"/>
      <c r="B894" s="89"/>
      <c r="J894" s="19"/>
      <c r="Q894" s="19"/>
      <c r="Y894" s="19"/>
      <c r="AF894" s="19"/>
      <c r="II894" s="42"/>
      <c r="IJ894" s="42"/>
      <c r="IK894" s="42"/>
      <c r="IL894" s="42"/>
      <c r="IM894" s="42"/>
      <c r="IN894" s="42"/>
      <c r="IO894" s="42"/>
      <c r="IP894" s="42"/>
      <c r="IQ894" s="42"/>
      <c r="IR894" s="42"/>
      <c r="IS894" s="42"/>
      <c r="IT894" s="42"/>
      <c r="IU894" s="42"/>
      <c r="IV894" s="42"/>
      <c r="IW894" s="42"/>
      <c r="IX894" s="42"/>
      <c r="IY894" s="42"/>
      <c r="IZ894" s="42"/>
      <c r="JA894" s="42"/>
      <c r="JB894" s="42"/>
      <c r="JC894" s="42"/>
      <c r="JD894" s="42"/>
      <c r="JE894" s="42"/>
      <c r="JF894" s="42"/>
      <c r="JG894" s="42"/>
      <c r="JH894" s="42"/>
      <c r="JI894" s="42"/>
      <c r="JJ894" s="42"/>
      <c r="JK894" s="42"/>
      <c r="JL894" s="42"/>
      <c r="JM894" s="42"/>
      <c r="JN894" s="42"/>
      <c r="JO894" s="42"/>
      <c r="JP894" s="42"/>
      <c r="JQ894" s="42"/>
      <c r="JR894" s="42"/>
      <c r="JS894" s="42"/>
      <c r="JT894" s="42"/>
      <c r="JU894" s="42"/>
      <c r="JV894" s="42"/>
      <c r="JW894" s="42"/>
      <c r="JX894" s="42"/>
      <c r="JY894" s="42"/>
      <c r="JZ894" s="42"/>
      <c r="KA894" s="42"/>
    </row>
    <row r="895" spans="1:287" ht="12.75">
      <c r="A895" s="89"/>
      <c r="B895" s="89"/>
      <c r="J895" s="19"/>
      <c r="Q895" s="19"/>
      <c r="Y895" s="19"/>
      <c r="AF895" s="19"/>
      <c r="II895" s="42"/>
      <c r="IJ895" s="42"/>
      <c r="IK895" s="42"/>
      <c r="IL895" s="42"/>
      <c r="IM895" s="42"/>
      <c r="IN895" s="42"/>
      <c r="IO895" s="42"/>
      <c r="IP895" s="42"/>
      <c r="IQ895" s="42"/>
      <c r="IR895" s="42"/>
      <c r="IS895" s="42"/>
      <c r="IT895" s="42"/>
      <c r="IU895" s="42"/>
      <c r="IV895" s="42"/>
      <c r="IW895" s="42"/>
      <c r="IX895" s="42"/>
      <c r="IY895" s="42"/>
      <c r="IZ895" s="42"/>
      <c r="JA895" s="42"/>
      <c r="JB895" s="42"/>
      <c r="JC895" s="42"/>
      <c r="JD895" s="42"/>
      <c r="JE895" s="42"/>
      <c r="JF895" s="42"/>
      <c r="JG895" s="42"/>
      <c r="JH895" s="42"/>
      <c r="JI895" s="42"/>
      <c r="JJ895" s="42"/>
      <c r="JK895" s="42"/>
      <c r="JL895" s="42"/>
      <c r="JM895" s="42"/>
      <c r="JN895" s="42"/>
      <c r="JO895" s="42"/>
      <c r="JP895" s="42"/>
      <c r="JQ895" s="42"/>
      <c r="JR895" s="42"/>
      <c r="JS895" s="42"/>
      <c r="JT895" s="42"/>
      <c r="JU895" s="42"/>
      <c r="JV895" s="42"/>
      <c r="JW895" s="42"/>
      <c r="JX895" s="42"/>
      <c r="JY895" s="42"/>
      <c r="JZ895" s="42"/>
      <c r="KA895" s="42"/>
    </row>
    <row r="896" spans="1:287" ht="12.75">
      <c r="A896" s="89"/>
      <c r="B896" s="89"/>
      <c r="J896" s="19"/>
      <c r="Q896" s="19"/>
      <c r="Y896" s="19"/>
      <c r="AF896" s="19"/>
      <c r="II896" s="42"/>
      <c r="IJ896" s="42"/>
      <c r="IK896" s="42"/>
      <c r="IL896" s="42"/>
      <c r="IM896" s="42"/>
      <c r="IN896" s="42"/>
      <c r="IO896" s="42"/>
      <c r="IP896" s="42"/>
      <c r="IQ896" s="42"/>
      <c r="IR896" s="42"/>
      <c r="IS896" s="42"/>
      <c r="IT896" s="42"/>
      <c r="IU896" s="42"/>
      <c r="IV896" s="42"/>
      <c r="IW896" s="42"/>
      <c r="IX896" s="42"/>
      <c r="IY896" s="42"/>
      <c r="IZ896" s="42"/>
      <c r="JA896" s="42"/>
      <c r="JB896" s="42"/>
      <c r="JC896" s="42"/>
      <c r="JD896" s="42"/>
      <c r="JE896" s="42"/>
      <c r="JF896" s="42"/>
      <c r="JG896" s="42"/>
      <c r="JH896" s="42"/>
      <c r="JI896" s="42"/>
      <c r="JJ896" s="42"/>
      <c r="JK896" s="42"/>
      <c r="JL896" s="42"/>
      <c r="JM896" s="42"/>
      <c r="JN896" s="42"/>
      <c r="JO896" s="42"/>
      <c r="JP896" s="42"/>
      <c r="JQ896" s="42"/>
      <c r="JR896" s="42"/>
      <c r="JS896" s="42"/>
      <c r="JT896" s="42"/>
      <c r="JU896" s="42"/>
      <c r="JV896" s="42"/>
      <c r="JW896" s="42"/>
      <c r="JX896" s="42"/>
      <c r="JY896" s="42"/>
      <c r="JZ896" s="42"/>
      <c r="KA896" s="42"/>
    </row>
    <row r="897" spans="1:287" ht="12.75">
      <c r="A897" s="89"/>
      <c r="B897" s="89"/>
      <c r="J897" s="19"/>
      <c r="Q897" s="19"/>
      <c r="Y897" s="19"/>
      <c r="AF897" s="19"/>
      <c r="II897" s="42"/>
      <c r="IJ897" s="42"/>
      <c r="IK897" s="42"/>
      <c r="IL897" s="42"/>
      <c r="IM897" s="42"/>
      <c r="IN897" s="42"/>
      <c r="IO897" s="42"/>
      <c r="IP897" s="42"/>
      <c r="IQ897" s="42"/>
      <c r="IR897" s="42"/>
      <c r="IS897" s="42"/>
      <c r="IT897" s="42"/>
      <c r="IU897" s="42"/>
      <c r="IV897" s="42"/>
      <c r="IW897" s="42"/>
      <c r="IX897" s="42"/>
      <c r="IY897" s="42"/>
      <c r="IZ897" s="42"/>
      <c r="JA897" s="42"/>
      <c r="JB897" s="42"/>
      <c r="JC897" s="42"/>
      <c r="JD897" s="42"/>
      <c r="JE897" s="42"/>
      <c r="JF897" s="42"/>
      <c r="JG897" s="42"/>
      <c r="JH897" s="42"/>
      <c r="JI897" s="42"/>
      <c r="JJ897" s="42"/>
      <c r="JK897" s="42"/>
      <c r="JL897" s="42"/>
      <c r="JM897" s="42"/>
      <c r="JN897" s="42"/>
      <c r="JO897" s="42"/>
      <c r="JP897" s="42"/>
      <c r="JQ897" s="42"/>
      <c r="JR897" s="42"/>
      <c r="JS897" s="42"/>
      <c r="JT897" s="42"/>
      <c r="JU897" s="42"/>
      <c r="JV897" s="42"/>
      <c r="JW897" s="42"/>
      <c r="JX897" s="42"/>
      <c r="JY897" s="42"/>
      <c r="JZ897" s="42"/>
      <c r="KA897" s="42"/>
    </row>
    <row r="898" spans="1:287" ht="12.75">
      <c r="A898" s="89"/>
      <c r="B898" s="89"/>
      <c r="J898" s="19"/>
      <c r="Q898" s="19"/>
      <c r="Y898" s="19"/>
      <c r="AF898" s="19"/>
      <c r="II898" s="42"/>
      <c r="IJ898" s="42"/>
      <c r="IK898" s="42"/>
      <c r="IL898" s="42"/>
      <c r="IM898" s="42"/>
      <c r="IN898" s="42"/>
      <c r="IO898" s="42"/>
      <c r="IP898" s="42"/>
      <c r="IQ898" s="42"/>
      <c r="IR898" s="42"/>
      <c r="IS898" s="42"/>
      <c r="IT898" s="42"/>
      <c r="IU898" s="42"/>
      <c r="IV898" s="42"/>
      <c r="IW898" s="42"/>
      <c r="IX898" s="42"/>
      <c r="IY898" s="42"/>
      <c r="IZ898" s="42"/>
      <c r="JA898" s="42"/>
      <c r="JB898" s="42"/>
      <c r="JC898" s="42"/>
      <c r="JD898" s="42"/>
      <c r="JE898" s="42"/>
      <c r="JF898" s="42"/>
      <c r="JG898" s="42"/>
      <c r="JH898" s="42"/>
      <c r="JI898" s="42"/>
      <c r="JJ898" s="42"/>
      <c r="JK898" s="42"/>
      <c r="JL898" s="42"/>
      <c r="JM898" s="42"/>
      <c r="JN898" s="42"/>
      <c r="JO898" s="42"/>
      <c r="JP898" s="42"/>
      <c r="JQ898" s="42"/>
      <c r="JR898" s="42"/>
      <c r="JS898" s="42"/>
      <c r="JT898" s="42"/>
      <c r="JU898" s="42"/>
      <c r="JV898" s="42"/>
      <c r="JW898" s="42"/>
      <c r="JX898" s="42"/>
      <c r="JY898" s="42"/>
      <c r="JZ898" s="42"/>
      <c r="KA898" s="42"/>
    </row>
    <row r="899" spans="1:287" ht="12.75">
      <c r="A899" s="89"/>
      <c r="B899" s="89"/>
      <c r="J899" s="19"/>
      <c r="Q899" s="19"/>
      <c r="Y899" s="19"/>
      <c r="AF899" s="19"/>
      <c r="II899" s="42"/>
      <c r="IJ899" s="42"/>
      <c r="IK899" s="42"/>
      <c r="IL899" s="42"/>
      <c r="IM899" s="42"/>
      <c r="IN899" s="42"/>
      <c r="IO899" s="42"/>
      <c r="IP899" s="42"/>
      <c r="IQ899" s="42"/>
      <c r="IR899" s="42"/>
      <c r="IS899" s="42"/>
      <c r="IT899" s="42"/>
      <c r="IU899" s="42"/>
      <c r="IV899" s="42"/>
      <c r="IW899" s="42"/>
      <c r="IX899" s="42"/>
      <c r="IY899" s="42"/>
      <c r="IZ899" s="42"/>
      <c r="JA899" s="42"/>
      <c r="JB899" s="42"/>
      <c r="JC899" s="42"/>
      <c r="JD899" s="42"/>
      <c r="JE899" s="42"/>
      <c r="JF899" s="42"/>
      <c r="JG899" s="42"/>
      <c r="JH899" s="42"/>
      <c r="JI899" s="42"/>
      <c r="JJ899" s="42"/>
      <c r="JK899" s="42"/>
      <c r="JL899" s="42"/>
      <c r="JM899" s="42"/>
      <c r="JN899" s="42"/>
      <c r="JO899" s="42"/>
      <c r="JP899" s="42"/>
      <c r="JQ899" s="42"/>
      <c r="JR899" s="42"/>
      <c r="JS899" s="42"/>
      <c r="JT899" s="42"/>
      <c r="JU899" s="42"/>
      <c r="JV899" s="42"/>
      <c r="JW899" s="42"/>
      <c r="JX899" s="42"/>
      <c r="JY899" s="42"/>
      <c r="JZ899" s="42"/>
      <c r="KA899" s="42"/>
    </row>
    <row r="900" spans="1:287" ht="12.75">
      <c r="A900" s="89"/>
      <c r="B900" s="89"/>
      <c r="J900" s="19"/>
      <c r="Q900" s="19"/>
      <c r="Y900" s="19"/>
      <c r="AF900" s="19"/>
      <c r="II900" s="42"/>
      <c r="IJ900" s="42"/>
      <c r="IK900" s="42"/>
      <c r="IL900" s="42"/>
      <c r="IM900" s="42"/>
      <c r="IN900" s="42"/>
      <c r="IO900" s="42"/>
      <c r="IP900" s="42"/>
      <c r="IQ900" s="42"/>
      <c r="IR900" s="42"/>
      <c r="IS900" s="42"/>
      <c r="IT900" s="42"/>
      <c r="IU900" s="42"/>
      <c r="IV900" s="42"/>
      <c r="IW900" s="42"/>
      <c r="IX900" s="42"/>
      <c r="IY900" s="42"/>
      <c r="IZ900" s="42"/>
      <c r="JA900" s="42"/>
      <c r="JB900" s="42"/>
      <c r="JC900" s="42"/>
      <c r="JD900" s="42"/>
      <c r="JE900" s="42"/>
      <c r="JF900" s="42"/>
      <c r="JG900" s="42"/>
      <c r="JH900" s="42"/>
      <c r="JI900" s="42"/>
      <c r="JJ900" s="42"/>
      <c r="JK900" s="42"/>
      <c r="JL900" s="42"/>
      <c r="JM900" s="42"/>
      <c r="JN900" s="42"/>
      <c r="JO900" s="42"/>
      <c r="JP900" s="42"/>
      <c r="JQ900" s="42"/>
      <c r="JR900" s="42"/>
      <c r="JS900" s="42"/>
      <c r="JT900" s="42"/>
      <c r="JU900" s="42"/>
      <c r="JV900" s="42"/>
      <c r="JW900" s="42"/>
      <c r="JX900" s="42"/>
      <c r="JY900" s="42"/>
      <c r="JZ900" s="42"/>
      <c r="KA900" s="42"/>
    </row>
    <row r="901" spans="1:287" ht="12.75">
      <c r="A901" s="89"/>
      <c r="B901" s="89"/>
      <c r="J901" s="19"/>
      <c r="Q901" s="19"/>
      <c r="Y901" s="19"/>
      <c r="AF901" s="19"/>
      <c r="II901" s="42"/>
      <c r="IJ901" s="42"/>
      <c r="IK901" s="42"/>
      <c r="IL901" s="42"/>
      <c r="IM901" s="42"/>
      <c r="IN901" s="42"/>
      <c r="IO901" s="42"/>
      <c r="IP901" s="42"/>
      <c r="IQ901" s="42"/>
      <c r="IR901" s="42"/>
      <c r="IS901" s="42"/>
      <c r="IT901" s="42"/>
      <c r="IU901" s="42"/>
      <c r="IV901" s="42"/>
      <c r="IW901" s="42"/>
      <c r="IX901" s="42"/>
      <c r="IY901" s="42"/>
      <c r="IZ901" s="42"/>
      <c r="JA901" s="42"/>
      <c r="JB901" s="42"/>
      <c r="JC901" s="42"/>
      <c r="JD901" s="42"/>
      <c r="JE901" s="42"/>
      <c r="JF901" s="42"/>
      <c r="JG901" s="42"/>
      <c r="JH901" s="42"/>
      <c r="JI901" s="42"/>
      <c r="JJ901" s="42"/>
      <c r="JK901" s="42"/>
      <c r="JL901" s="42"/>
      <c r="JM901" s="42"/>
      <c r="JN901" s="42"/>
      <c r="JO901" s="42"/>
      <c r="JP901" s="42"/>
      <c r="JQ901" s="42"/>
      <c r="JR901" s="42"/>
      <c r="JS901" s="42"/>
      <c r="JT901" s="42"/>
      <c r="JU901" s="42"/>
      <c r="JV901" s="42"/>
      <c r="JW901" s="42"/>
      <c r="JX901" s="42"/>
      <c r="JY901" s="42"/>
      <c r="JZ901" s="42"/>
      <c r="KA901" s="42"/>
    </row>
    <row r="902" spans="1:287" ht="12.75">
      <c r="A902" s="89"/>
      <c r="B902" s="89"/>
      <c r="J902" s="19"/>
      <c r="Q902" s="19"/>
      <c r="Y902" s="19"/>
      <c r="AF902" s="19"/>
      <c r="II902" s="42"/>
      <c r="IJ902" s="42"/>
      <c r="IK902" s="42"/>
      <c r="IL902" s="42"/>
      <c r="IM902" s="42"/>
      <c r="IN902" s="42"/>
      <c r="IO902" s="42"/>
      <c r="IP902" s="42"/>
      <c r="IQ902" s="42"/>
      <c r="IR902" s="42"/>
      <c r="IS902" s="42"/>
      <c r="IT902" s="42"/>
      <c r="IU902" s="42"/>
      <c r="IV902" s="42"/>
      <c r="IW902" s="42"/>
      <c r="IX902" s="42"/>
      <c r="IY902" s="42"/>
      <c r="IZ902" s="42"/>
      <c r="JA902" s="42"/>
      <c r="JB902" s="42"/>
      <c r="JC902" s="42"/>
      <c r="JD902" s="42"/>
      <c r="JE902" s="42"/>
      <c r="JF902" s="42"/>
      <c r="JG902" s="42"/>
      <c r="JH902" s="42"/>
      <c r="JI902" s="42"/>
      <c r="JJ902" s="42"/>
      <c r="JK902" s="42"/>
      <c r="JL902" s="42"/>
      <c r="JM902" s="42"/>
      <c r="JN902" s="42"/>
      <c r="JO902" s="42"/>
      <c r="JP902" s="42"/>
      <c r="JQ902" s="42"/>
      <c r="JR902" s="42"/>
      <c r="JS902" s="42"/>
      <c r="JT902" s="42"/>
      <c r="JU902" s="42"/>
      <c r="JV902" s="42"/>
      <c r="JW902" s="42"/>
      <c r="JX902" s="42"/>
      <c r="JY902" s="42"/>
      <c r="JZ902" s="42"/>
      <c r="KA902" s="42"/>
    </row>
    <row r="903" spans="1:287" ht="12.75">
      <c r="A903" s="89"/>
      <c r="B903" s="89"/>
      <c r="J903" s="19"/>
      <c r="Q903" s="19"/>
      <c r="Y903" s="19"/>
      <c r="AF903" s="19"/>
      <c r="II903" s="42"/>
      <c r="IJ903" s="42"/>
      <c r="IK903" s="42"/>
      <c r="IL903" s="42"/>
      <c r="IM903" s="42"/>
      <c r="IN903" s="42"/>
      <c r="IO903" s="42"/>
      <c r="IP903" s="42"/>
      <c r="IQ903" s="42"/>
      <c r="IR903" s="42"/>
      <c r="IS903" s="42"/>
      <c r="IT903" s="42"/>
      <c r="IU903" s="42"/>
      <c r="IV903" s="42"/>
      <c r="IW903" s="42"/>
      <c r="IX903" s="42"/>
      <c r="IY903" s="42"/>
      <c r="IZ903" s="42"/>
      <c r="JA903" s="42"/>
      <c r="JB903" s="42"/>
      <c r="JC903" s="42"/>
      <c r="JD903" s="42"/>
      <c r="JE903" s="42"/>
      <c r="JF903" s="42"/>
      <c r="JG903" s="42"/>
      <c r="JH903" s="42"/>
      <c r="JI903" s="42"/>
      <c r="JJ903" s="42"/>
      <c r="JK903" s="42"/>
      <c r="JL903" s="42"/>
      <c r="JM903" s="42"/>
      <c r="JN903" s="42"/>
      <c r="JO903" s="42"/>
      <c r="JP903" s="42"/>
      <c r="JQ903" s="42"/>
      <c r="JR903" s="42"/>
      <c r="JS903" s="42"/>
      <c r="JT903" s="42"/>
      <c r="JU903" s="42"/>
      <c r="JV903" s="42"/>
      <c r="JW903" s="42"/>
      <c r="JX903" s="42"/>
      <c r="JY903" s="42"/>
      <c r="JZ903" s="42"/>
      <c r="KA903" s="42"/>
    </row>
    <row r="904" spans="1:287" ht="12.75">
      <c r="A904" s="89"/>
      <c r="B904" s="89"/>
      <c r="J904" s="19"/>
      <c r="Q904" s="19"/>
      <c r="Y904" s="19"/>
      <c r="AF904" s="19"/>
      <c r="II904" s="42"/>
      <c r="IJ904" s="42"/>
      <c r="IK904" s="42"/>
      <c r="IL904" s="42"/>
      <c r="IM904" s="42"/>
      <c r="IN904" s="42"/>
      <c r="IO904" s="42"/>
      <c r="IP904" s="42"/>
      <c r="IQ904" s="42"/>
      <c r="IR904" s="42"/>
      <c r="IS904" s="42"/>
      <c r="IT904" s="42"/>
      <c r="IU904" s="42"/>
      <c r="IV904" s="42"/>
      <c r="IW904" s="42"/>
      <c r="IX904" s="42"/>
      <c r="IY904" s="42"/>
      <c r="IZ904" s="42"/>
      <c r="JA904" s="42"/>
      <c r="JB904" s="42"/>
      <c r="JC904" s="42"/>
      <c r="JD904" s="42"/>
      <c r="JE904" s="42"/>
      <c r="JF904" s="42"/>
      <c r="JG904" s="42"/>
      <c r="JH904" s="42"/>
      <c r="JI904" s="42"/>
      <c r="JJ904" s="42"/>
      <c r="JK904" s="42"/>
      <c r="JL904" s="42"/>
      <c r="JM904" s="42"/>
      <c r="JN904" s="42"/>
      <c r="JO904" s="42"/>
      <c r="JP904" s="42"/>
      <c r="JQ904" s="42"/>
      <c r="JR904" s="42"/>
      <c r="JS904" s="42"/>
      <c r="JT904" s="42"/>
      <c r="JU904" s="42"/>
      <c r="JV904" s="42"/>
      <c r="JW904" s="42"/>
      <c r="JX904" s="42"/>
      <c r="JY904" s="42"/>
      <c r="JZ904" s="42"/>
      <c r="KA904" s="42"/>
    </row>
    <row r="905" spans="1:287" ht="12.75">
      <c r="A905" s="89"/>
      <c r="B905" s="89"/>
      <c r="J905" s="19"/>
      <c r="Q905" s="19"/>
      <c r="Y905" s="19"/>
      <c r="AF905" s="19"/>
      <c r="II905" s="42"/>
      <c r="IJ905" s="42"/>
      <c r="IK905" s="42"/>
      <c r="IL905" s="42"/>
      <c r="IM905" s="42"/>
      <c r="IN905" s="42"/>
      <c r="IO905" s="42"/>
      <c r="IP905" s="42"/>
      <c r="IQ905" s="42"/>
      <c r="IR905" s="42"/>
      <c r="IS905" s="42"/>
      <c r="IT905" s="42"/>
      <c r="IU905" s="42"/>
      <c r="IV905" s="42"/>
      <c r="IW905" s="42"/>
      <c r="IX905" s="42"/>
      <c r="IY905" s="42"/>
      <c r="IZ905" s="42"/>
      <c r="JA905" s="42"/>
      <c r="JB905" s="42"/>
      <c r="JC905" s="42"/>
      <c r="JD905" s="42"/>
      <c r="JE905" s="42"/>
      <c r="JF905" s="42"/>
      <c r="JG905" s="42"/>
      <c r="JH905" s="42"/>
      <c r="JI905" s="42"/>
      <c r="JJ905" s="42"/>
      <c r="JK905" s="42"/>
      <c r="JL905" s="42"/>
      <c r="JM905" s="42"/>
      <c r="JN905" s="42"/>
      <c r="JO905" s="42"/>
      <c r="JP905" s="42"/>
      <c r="JQ905" s="42"/>
      <c r="JR905" s="42"/>
      <c r="JS905" s="42"/>
      <c r="JT905" s="42"/>
      <c r="JU905" s="42"/>
      <c r="JV905" s="42"/>
      <c r="JW905" s="42"/>
      <c r="JX905" s="42"/>
      <c r="JY905" s="42"/>
      <c r="JZ905" s="42"/>
      <c r="KA905" s="42"/>
    </row>
    <row r="906" spans="1:287" ht="12.75">
      <c r="A906" s="89"/>
      <c r="B906" s="89"/>
      <c r="J906" s="19"/>
      <c r="Q906" s="19"/>
      <c r="Y906" s="19"/>
      <c r="AF906" s="19"/>
      <c r="II906" s="42"/>
      <c r="IJ906" s="42"/>
      <c r="IK906" s="42"/>
      <c r="IL906" s="42"/>
      <c r="IM906" s="42"/>
      <c r="IN906" s="42"/>
      <c r="IO906" s="42"/>
      <c r="IP906" s="42"/>
      <c r="IQ906" s="42"/>
      <c r="IR906" s="42"/>
      <c r="IS906" s="42"/>
      <c r="IT906" s="42"/>
      <c r="IU906" s="42"/>
      <c r="IV906" s="42"/>
      <c r="IW906" s="42"/>
      <c r="IX906" s="42"/>
      <c r="IY906" s="42"/>
      <c r="IZ906" s="42"/>
      <c r="JA906" s="42"/>
      <c r="JB906" s="42"/>
      <c r="JC906" s="42"/>
      <c r="JD906" s="42"/>
      <c r="JE906" s="42"/>
      <c r="JF906" s="42"/>
      <c r="JG906" s="42"/>
      <c r="JH906" s="42"/>
      <c r="JI906" s="42"/>
      <c r="JJ906" s="42"/>
      <c r="JK906" s="42"/>
      <c r="JL906" s="42"/>
      <c r="JM906" s="42"/>
      <c r="JN906" s="42"/>
      <c r="JO906" s="42"/>
      <c r="JP906" s="42"/>
      <c r="JQ906" s="42"/>
      <c r="JR906" s="42"/>
      <c r="JS906" s="42"/>
      <c r="JT906" s="42"/>
      <c r="JU906" s="42"/>
      <c r="JV906" s="42"/>
      <c r="JW906" s="42"/>
      <c r="JX906" s="42"/>
      <c r="JY906" s="42"/>
      <c r="JZ906" s="42"/>
      <c r="KA906" s="42"/>
    </row>
    <row r="907" spans="1:287" ht="12.75">
      <c r="A907" s="89"/>
      <c r="B907" s="89"/>
      <c r="J907" s="19"/>
      <c r="Q907" s="19"/>
      <c r="Y907" s="19"/>
      <c r="AF907" s="19"/>
      <c r="II907" s="42"/>
      <c r="IJ907" s="42"/>
      <c r="IK907" s="42"/>
      <c r="IL907" s="42"/>
      <c r="IM907" s="42"/>
      <c r="IN907" s="42"/>
      <c r="IO907" s="42"/>
      <c r="IP907" s="42"/>
      <c r="IQ907" s="42"/>
      <c r="IR907" s="42"/>
      <c r="IS907" s="42"/>
      <c r="IT907" s="42"/>
      <c r="IU907" s="42"/>
      <c r="IV907" s="42"/>
      <c r="IW907" s="42"/>
      <c r="IX907" s="42"/>
      <c r="IY907" s="42"/>
      <c r="IZ907" s="42"/>
      <c r="JA907" s="42"/>
      <c r="JB907" s="42"/>
      <c r="JC907" s="42"/>
      <c r="JD907" s="42"/>
      <c r="JE907" s="42"/>
      <c r="JF907" s="42"/>
      <c r="JG907" s="42"/>
      <c r="JH907" s="42"/>
      <c r="JI907" s="42"/>
      <c r="JJ907" s="42"/>
      <c r="JK907" s="42"/>
      <c r="JL907" s="42"/>
      <c r="JM907" s="42"/>
      <c r="JN907" s="42"/>
      <c r="JO907" s="42"/>
      <c r="JP907" s="42"/>
      <c r="JQ907" s="42"/>
      <c r="JR907" s="42"/>
      <c r="JS907" s="42"/>
      <c r="JT907" s="42"/>
      <c r="JU907" s="42"/>
      <c r="JV907" s="42"/>
      <c r="JW907" s="42"/>
      <c r="JX907" s="42"/>
      <c r="JY907" s="42"/>
      <c r="JZ907" s="42"/>
      <c r="KA907" s="42"/>
    </row>
    <row r="908" spans="1:287" ht="12.75">
      <c r="A908" s="89"/>
      <c r="B908" s="89"/>
      <c r="J908" s="19"/>
      <c r="Q908" s="19"/>
      <c r="Y908" s="19"/>
      <c r="AF908" s="19"/>
      <c r="II908" s="42"/>
      <c r="IJ908" s="42"/>
      <c r="IK908" s="42"/>
      <c r="IL908" s="42"/>
      <c r="IM908" s="42"/>
      <c r="IN908" s="42"/>
      <c r="IO908" s="42"/>
      <c r="IP908" s="42"/>
      <c r="IQ908" s="42"/>
      <c r="IR908" s="42"/>
      <c r="IS908" s="42"/>
      <c r="IT908" s="42"/>
      <c r="IU908" s="42"/>
      <c r="IV908" s="42"/>
      <c r="IW908" s="42"/>
      <c r="IX908" s="42"/>
      <c r="IY908" s="42"/>
      <c r="IZ908" s="42"/>
      <c r="JA908" s="42"/>
      <c r="JB908" s="42"/>
      <c r="JC908" s="42"/>
      <c r="JD908" s="42"/>
      <c r="JE908" s="42"/>
      <c r="JF908" s="42"/>
      <c r="JG908" s="42"/>
      <c r="JH908" s="42"/>
      <c r="JI908" s="42"/>
      <c r="JJ908" s="42"/>
      <c r="JK908" s="42"/>
      <c r="JL908" s="42"/>
      <c r="JM908" s="42"/>
      <c r="JN908" s="42"/>
      <c r="JO908" s="42"/>
      <c r="JP908" s="42"/>
      <c r="JQ908" s="42"/>
      <c r="JR908" s="42"/>
      <c r="JS908" s="42"/>
      <c r="JT908" s="42"/>
      <c r="JU908" s="42"/>
      <c r="JV908" s="42"/>
      <c r="JW908" s="42"/>
      <c r="JX908" s="42"/>
      <c r="JY908" s="42"/>
      <c r="JZ908" s="42"/>
      <c r="KA908" s="42"/>
    </row>
    <row r="909" spans="1:287" ht="12.75">
      <c r="A909" s="89"/>
      <c r="B909" s="89"/>
      <c r="J909" s="19"/>
      <c r="Q909" s="19"/>
      <c r="Y909" s="19"/>
      <c r="AF909" s="19"/>
      <c r="II909" s="42"/>
      <c r="IJ909" s="42"/>
      <c r="IK909" s="42"/>
      <c r="IL909" s="42"/>
      <c r="IM909" s="42"/>
      <c r="IN909" s="42"/>
      <c r="IO909" s="42"/>
      <c r="IP909" s="42"/>
      <c r="IQ909" s="42"/>
      <c r="IR909" s="42"/>
      <c r="IS909" s="42"/>
      <c r="IT909" s="42"/>
      <c r="IU909" s="42"/>
      <c r="IV909" s="42"/>
      <c r="IW909" s="42"/>
      <c r="IX909" s="42"/>
      <c r="IY909" s="42"/>
      <c r="IZ909" s="42"/>
      <c r="JA909" s="42"/>
      <c r="JB909" s="42"/>
      <c r="JC909" s="42"/>
      <c r="JD909" s="42"/>
      <c r="JE909" s="42"/>
      <c r="JF909" s="42"/>
      <c r="JG909" s="42"/>
      <c r="JH909" s="42"/>
      <c r="JI909" s="42"/>
      <c r="JJ909" s="42"/>
      <c r="JK909" s="42"/>
      <c r="JL909" s="42"/>
      <c r="JM909" s="42"/>
      <c r="JN909" s="42"/>
      <c r="JO909" s="42"/>
      <c r="JP909" s="42"/>
      <c r="JQ909" s="42"/>
      <c r="JR909" s="42"/>
      <c r="JS909" s="42"/>
      <c r="JT909" s="42"/>
      <c r="JU909" s="42"/>
      <c r="JV909" s="42"/>
      <c r="JW909" s="42"/>
      <c r="JX909" s="42"/>
      <c r="JY909" s="42"/>
      <c r="JZ909" s="42"/>
      <c r="KA909" s="42"/>
    </row>
    <row r="910" spans="1:287" ht="12.75">
      <c r="A910" s="89"/>
      <c r="B910" s="89"/>
      <c r="J910" s="19"/>
      <c r="Q910" s="19"/>
      <c r="Y910" s="19"/>
      <c r="AF910" s="19"/>
      <c r="II910" s="42"/>
      <c r="IJ910" s="42"/>
      <c r="IK910" s="42"/>
      <c r="IL910" s="42"/>
      <c r="IM910" s="42"/>
      <c r="IN910" s="42"/>
      <c r="IO910" s="42"/>
      <c r="IP910" s="42"/>
      <c r="IQ910" s="42"/>
      <c r="IR910" s="42"/>
      <c r="IS910" s="42"/>
      <c r="IT910" s="42"/>
      <c r="IU910" s="42"/>
      <c r="IV910" s="42"/>
      <c r="IW910" s="42"/>
      <c r="IX910" s="42"/>
      <c r="IY910" s="42"/>
      <c r="IZ910" s="42"/>
      <c r="JA910" s="42"/>
      <c r="JB910" s="42"/>
      <c r="JC910" s="42"/>
      <c r="JD910" s="42"/>
      <c r="JE910" s="42"/>
      <c r="JF910" s="42"/>
      <c r="JG910" s="42"/>
      <c r="JH910" s="42"/>
      <c r="JI910" s="42"/>
      <c r="JJ910" s="42"/>
      <c r="JK910" s="42"/>
      <c r="JL910" s="42"/>
      <c r="JM910" s="42"/>
      <c r="JN910" s="42"/>
      <c r="JO910" s="42"/>
      <c r="JP910" s="42"/>
      <c r="JQ910" s="42"/>
      <c r="JR910" s="42"/>
      <c r="JS910" s="42"/>
      <c r="JT910" s="42"/>
      <c r="JU910" s="42"/>
      <c r="JV910" s="42"/>
      <c r="JW910" s="42"/>
      <c r="JX910" s="42"/>
      <c r="JY910" s="42"/>
      <c r="JZ910" s="42"/>
      <c r="KA910" s="42"/>
    </row>
    <row r="911" spans="1:287" ht="12.75">
      <c r="A911" s="89"/>
      <c r="B911" s="89"/>
      <c r="J911" s="19"/>
      <c r="Q911" s="19"/>
      <c r="Y911" s="19"/>
      <c r="AF911" s="19"/>
      <c r="II911" s="42"/>
      <c r="IJ911" s="42"/>
      <c r="IK911" s="42"/>
      <c r="IL911" s="42"/>
      <c r="IM911" s="42"/>
      <c r="IN911" s="42"/>
      <c r="IO911" s="42"/>
      <c r="IP911" s="42"/>
      <c r="IQ911" s="42"/>
      <c r="IR911" s="42"/>
      <c r="IS911" s="42"/>
      <c r="IT911" s="42"/>
      <c r="IU911" s="42"/>
      <c r="IV911" s="42"/>
      <c r="IW911" s="42"/>
      <c r="IX911" s="42"/>
      <c r="IY911" s="42"/>
      <c r="IZ911" s="42"/>
      <c r="JA911" s="42"/>
      <c r="JB911" s="42"/>
      <c r="JC911" s="42"/>
      <c r="JD911" s="42"/>
      <c r="JE911" s="42"/>
      <c r="JF911" s="42"/>
      <c r="JG911" s="42"/>
      <c r="JH911" s="42"/>
      <c r="JI911" s="42"/>
      <c r="JJ911" s="42"/>
      <c r="JK911" s="42"/>
      <c r="JL911" s="42"/>
      <c r="JM911" s="42"/>
      <c r="JN911" s="42"/>
      <c r="JO911" s="42"/>
      <c r="JP911" s="42"/>
      <c r="JQ911" s="42"/>
      <c r="JR911" s="42"/>
      <c r="JS911" s="42"/>
      <c r="JT911" s="42"/>
      <c r="JU911" s="42"/>
      <c r="JV911" s="42"/>
      <c r="JW911" s="42"/>
      <c r="JX911" s="42"/>
      <c r="JY911" s="42"/>
      <c r="JZ911" s="42"/>
      <c r="KA911" s="42"/>
    </row>
    <row r="912" spans="1:287" ht="12.75">
      <c r="A912" s="89"/>
      <c r="B912" s="89"/>
      <c r="J912" s="19"/>
      <c r="Q912" s="19"/>
      <c r="Y912" s="19"/>
      <c r="AF912" s="19"/>
      <c r="II912" s="42"/>
      <c r="IJ912" s="42"/>
      <c r="IK912" s="42"/>
      <c r="IL912" s="42"/>
      <c r="IM912" s="42"/>
      <c r="IN912" s="42"/>
      <c r="IO912" s="42"/>
      <c r="IP912" s="42"/>
      <c r="IQ912" s="42"/>
      <c r="IR912" s="42"/>
      <c r="IS912" s="42"/>
      <c r="IT912" s="42"/>
      <c r="IU912" s="42"/>
      <c r="IV912" s="42"/>
      <c r="IW912" s="42"/>
      <c r="IX912" s="42"/>
      <c r="IY912" s="42"/>
      <c r="IZ912" s="42"/>
      <c r="JA912" s="42"/>
      <c r="JB912" s="42"/>
      <c r="JC912" s="42"/>
      <c r="JD912" s="42"/>
      <c r="JE912" s="42"/>
      <c r="JF912" s="42"/>
      <c r="JG912" s="42"/>
      <c r="JH912" s="42"/>
      <c r="JI912" s="42"/>
      <c r="JJ912" s="42"/>
      <c r="JK912" s="42"/>
      <c r="JL912" s="42"/>
      <c r="JM912" s="42"/>
      <c r="JN912" s="42"/>
      <c r="JO912" s="42"/>
      <c r="JP912" s="42"/>
      <c r="JQ912" s="42"/>
      <c r="JR912" s="42"/>
      <c r="JS912" s="42"/>
      <c r="JT912" s="42"/>
      <c r="JU912" s="42"/>
      <c r="JV912" s="42"/>
      <c r="JW912" s="42"/>
      <c r="JX912" s="42"/>
      <c r="JY912" s="42"/>
      <c r="JZ912" s="42"/>
      <c r="KA912" s="42"/>
    </row>
    <row r="913" spans="1:287" ht="12.75">
      <c r="A913" s="89"/>
      <c r="B913" s="89"/>
      <c r="J913" s="19"/>
      <c r="Q913" s="19"/>
      <c r="Y913" s="19"/>
      <c r="AF913" s="19"/>
      <c r="II913" s="42"/>
      <c r="IJ913" s="42"/>
      <c r="IK913" s="42"/>
      <c r="IL913" s="42"/>
      <c r="IM913" s="42"/>
      <c r="IN913" s="42"/>
      <c r="IO913" s="42"/>
      <c r="IP913" s="42"/>
      <c r="IQ913" s="42"/>
      <c r="IR913" s="42"/>
      <c r="IS913" s="42"/>
      <c r="IT913" s="42"/>
      <c r="IU913" s="42"/>
      <c r="IV913" s="42"/>
      <c r="IW913" s="42"/>
      <c r="IX913" s="42"/>
      <c r="IY913" s="42"/>
      <c r="IZ913" s="42"/>
      <c r="JA913" s="42"/>
      <c r="JB913" s="42"/>
      <c r="JC913" s="42"/>
      <c r="JD913" s="42"/>
      <c r="JE913" s="42"/>
      <c r="JF913" s="42"/>
      <c r="JG913" s="42"/>
      <c r="JH913" s="42"/>
      <c r="JI913" s="42"/>
      <c r="JJ913" s="42"/>
      <c r="JK913" s="42"/>
      <c r="JL913" s="42"/>
      <c r="JM913" s="42"/>
      <c r="JN913" s="42"/>
      <c r="JO913" s="42"/>
      <c r="JP913" s="42"/>
      <c r="JQ913" s="42"/>
      <c r="JR913" s="42"/>
      <c r="JS913" s="42"/>
      <c r="JT913" s="42"/>
      <c r="JU913" s="42"/>
      <c r="JV913" s="42"/>
      <c r="JW913" s="42"/>
      <c r="JX913" s="42"/>
      <c r="JY913" s="42"/>
      <c r="JZ913" s="42"/>
      <c r="KA913" s="42"/>
    </row>
    <row r="914" spans="1:287" ht="12.75">
      <c r="A914" s="89"/>
      <c r="B914" s="89"/>
      <c r="J914" s="19"/>
      <c r="Q914" s="19"/>
      <c r="Y914" s="19"/>
      <c r="AF914" s="19"/>
      <c r="II914" s="42"/>
      <c r="IJ914" s="42"/>
      <c r="IK914" s="42"/>
      <c r="IL914" s="42"/>
      <c r="IM914" s="42"/>
      <c r="IN914" s="42"/>
      <c r="IO914" s="42"/>
      <c r="IP914" s="42"/>
      <c r="IQ914" s="42"/>
      <c r="IR914" s="42"/>
      <c r="IS914" s="42"/>
      <c r="IT914" s="42"/>
      <c r="IU914" s="42"/>
      <c r="IV914" s="42"/>
      <c r="IW914" s="42"/>
      <c r="IX914" s="42"/>
      <c r="IY914" s="42"/>
      <c r="IZ914" s="42"/>
      <c r="JA914" s="42"/>
      <c r="JB914" s="42"/>
      <c r="JC914" s="42"/>
      <c r="JD914" s="42"/>
      <c r="JE914" s="42"/>
      <c r="JF914" s="42"/>
      <c r="JG914" s="42"/>
      <c r="JH914" s="42"/>
      <c r="JI914" s="42"/>
      <c r="JJ914" s="42"/>
      <c r="JK914" s="42"/>
      <c r="JL914" s="42"/>
      <c r="JM914" s="42"/>
      <c r="JN914" s="42"/>
      <c r="JO914" s="42"/>
      <c r="JP914" s="42"/>
      <c r="JQ914" s="42"/>
      <c r="JR914" s="42"/>
      <c r="JS914" s="42"/>
      <c r="JT914" s="42"/>
      <c r="JU914" s="42"/>
      <c r="JV914" s="42"/>
      <c r="JW914" s="42"/>
      <c r="JX914" s="42"/>
      <c r="JY914" s="42"/>
      <c r="JZ914" s="42"/>
      <c r="KA914" s="42"/>
    </row>
    <row r="915" spans="1:287" ht="12.75">
      <c r="A915" s="89"/>
      <c r="B915" s="89"/>
      <c r="J915" s="19"/>
      <c r="Q915" s="19"/>
      <c r="Y915" s="19"/>
      <c r="AF915" s="19"/>
      <c r="II915" s="42"/>
      <c r="IJ915" s="42"/>
      <c r="IK915" s="42"/>
      <c r="IL915" s="42"/>
      <c r="IM915" s="42"/>
      <c r="IN915" s="42"/>
      <c r="IO915" s="42"/>
      <c r="IP915" s="42"/>
      <c r="IQ915" s="42"/>
      <c r="IR915" s="42"/>
      <c r="IS915" s="42"/>
      <c r="IT915" s="42"/>
      <c r="IU915" s="42"/>
      <c r="IV915" s="42"/>
      <c r="IW915" s="42"/>
      <c r="IX915" s="42"/>
      <c r="IY915" s="42"/>
      <c r="IZ915" s="42"/>
      <c r="JA915" s="42"/>
      <c r="JB915" s="42"/>
      <c r="JC915" s="42"/>
      <c r="JD915" s="42"/>
      <c r="JE915" s="42"/>
      <c r="JF915" s="42"/>
      <c r="JG915" s="42"/>
      <c r="JH915" s="42"/>
      <c r="JI915" s="42"/>
      <c r="JJ915" s="42"/>
      <c r="JK915" s="42"/>
      <c r="JL915" s="42"/>
      <c r="JM915" s="42"/>
      <c r="JN915" s="42"/>
      <c r="JO915" s="42"/>
      <c r="JP915" s="42"/>
      <c r="JQ915" s="42"/>
      <c r="JR915" s="42"/>
      <c r="JS915" s="42"/>
      <c r="JT915" s="42"/>
      <c r="JU915" s="42"/>
      <c r="JV915" s="42"/>
      <c r="JW915" s="42"/>
      <c r="JX915" s="42"/>
      <c r="JY915" s="42"/>
      <c r="JZ915" s="42"/>
      <c r="KA915" s="42"/>
    </row>
    <row r="916" spans="1:287" ht="12.75">
      <c r="A916" s="89"/>
      <c r="B916" s="89"/>
      <c r="J916" s="19"/>
      <c r="Q916" s="19"/>
      <c r="Y916" s="19"/>
      <c r="AF916" s="19"/>
      <c r="II916" s="42"/>
      <c r="IJ916" s="42"/>
      <c r="IK916" s="42"/>
      <c r="IL916" s="42"/>
      <c r="IM916" s="42"/>
      <c r="IN916" s="42"/>
      <c r="IO916" s="42"/>
      <c r="IP916" s="42"/>
      <c r="IQ916" s="42"/>
      <c r="IR916" s="42"/>
      <c r="IS916" s="42"/>
      <c r="IT916" s="42"/>
      <c r="IU916" s="42"/>
      <c r="IV916" s="42"/>
      <c r="IW916" s="42"/>
      <c r="IX916" s="42"/>
      <c r="IY916" s="42"/>
      <c r="IZ916" s="42"/>
      <c r="JA916" s="42"/>
      <c r="JB916" s="42"/>
      <c r="JC916" s="42"/>
      <c r="JD916" s="42"/>
      <c r="JE916" s="42"/>
      <c r="JF916" s="42"/>
      <c r="JG916" s="42"/>
      <c r="JH916" s="42"/>
      <c r="JI916" s="42"/>
      <c r="JJ916" s="42"/>
      <c r="JK916" s="42"/>
      <c r="JL916" s="42"/>
      <c r="JM916" s="42"/>
      <c r="JN916" s="42"/>
      <c r="JO916" s="42"/>
      <c r="JP916" s="42"/>
      <c r="JQ916" s="42"/>
      <c r="JR916" s="42"/>
      <c r="JS916" s="42"/>
      <c r="JT916" s="42"/>
      <c r="JU916" s="42"/>
      <c r="JV916" s="42"/>
      <c r="JW916" s="42"/>
      <c r="JX916" s="42"/>
      <c r="JY916" s="42"/>
      <c r="JZ916" s="42"/>
      <c r="KA916" s="42"/>
    </row>
    <row r="917" spans="1:287" ht="12.75">
      <c r="A917" s="89"/>
      <c r="B917" s="89"/>
      <c r="J917" s="19"/>
      <c r="Q917" s="19"/>
      <c r="Y917" s="19"/>
      <c r="AF917" s="19"/>
      <c r="II917" s="42"/>
      <c r="IJ917" s="42"/>
      <c r="IK917" s="42"/>
      <c r="IL917" s="42"/>
      <c r="IM917" s="42"/>
      <c r="IN917" s="42"/>
      <c r="IO917" s="42"/>
      <c r="IP917" s="42"/>
      <c r="IQ917" s="42"/>
      <c r="IR917" s="42"/>
      <c r="IS917" s="42"/>
      <c r="IT917" s="42"/>
      <c r="IU917" s="42"/>
      <c r="IV917" s="42"/>
      <c r="IW917" s="42"/>
      <c r="IX917" s="42"/>
      <c r="IY917" s="42"/>
      <c r="IZ917" s="42"/>
      <c r="JA917" s="42"/>
      <c r="JB917" s="42"/>
      <c r="JC917" s="42"/>
      <c r="JD917" s="42"/>
      <c r="JE917" s="42"/>
      <c r="JF917" s="42"/>
      <c r="JG917" s="42"/>
      <c r="JH917" s="42"/>
      <c r="JI917" s="42"/>
      <c r="JJ917" s="42"/>
      <c r="JK917" s="42"/>
      <c r="JL917" s="42"/>
      <c r="JM917" s="42"/>
      <c r="JN917" s="42"/>
      <c r="JO917" s="42"/>
      <c r="JP917" s="42"/>
      <c r="JQ917" s="42"/>
      <c r="JR917" s="42"/>
      <c r="JS917" s="42"/>
      <c r="JT917" s="42"/>
      <c r="JU917" s="42"/>
      <c r="JV917" s="42"/>
      <c r="JW917" s="42"/>
      <c r="JX917" s="42"/>
      <c r="JY917" s="42"/>
      <c r="JZ917" s="42"/>
      <c r="KA917" s="42"/>
    </row>
    <row r="918" spans="1:287" ht="12.75">
      <c r="A918" s="89"/>
      <c r="B918" s="89"/>
      <c r="J918" s="19"/>
      <c r="Q918" s="19"/>
      <c r="Y918" s="19"/>
      <c r="AF918" s="19"/>
      <c r="II918" s="42"/>
      <c r="IJ918" s="42"/>
      <c r="IK918" s="42"/>
      <c r="IL918" s="42"/>
      <c r="IM918" s="42"/>
      <c r="IN918" s="42"/>
      <c r="IO918" s="42"/>
      <c r="IP918" s="42"/>
      <c r="IQ918" s="42"/>
      <c r="IR918" s="42"/>
      <c r="IS918" s="42"/>
      <c r="IT918" s="42"/>
      <c r="IU918" s="42"/>
      <c r="IV918" s="42"/>
      <c r="IW918" s="42"/>
      <c r="IX918" s="42"/>
      <c r="IY918" s="42"/>
      <c r="IZ918" s="42"/>
      <c r="JA918" s="42"/>
      <c r="JB918" s="42"/>
      <c r="JC918" s="42"/>
      <c r="JD918" s="42"/>
      <c r="JE918" s="42"/>
      <c r="JF918" s="42"/>
      <c r="JG918" s="42"/>
      <c r="JH918" s="42"/>
      <c r="JI918" s="42"/>
      <c r="JJ918" s="42"/>
      <c r="JK918" s="42"/>
      <c r="JL918" s="42"/>
      <c r="JM918" s="42"/>
      <c r="JN918" s="42"/>
      <c r="JO918" s="42"/>
      <c r="JP918" s="42"/>
      <c r="JQ918" s="42"/>
      <c r="JR918" s="42"/>
      <c r="JS918" s="42"/>
      <c r="JT918" s="42"/>
      <c r="JU918" s="42"/>
      <c r="JV918" s="42"/>
      <c r="JW918" s="42"/>
      <c r="JX918" s="42"/>
      <c r="JY918" s="42"/>
      <c r="JZ918" s="42"/>
      <c r="KA918" s="42"/>
    </row>
    <row r="919" spans="1:287" ht="12.75">
      <c r="A919" s="89"/>
      <c r="B919" s="89"/>
      <c r="J919" s="19"/>
      <c r="Q919" s="19"/>
      <c r="Y919" s="19"/>
      <c r="AF919" s="19"/>
      <c r="II919" s="42"/>
      <c r="IJ919" s="42"/>
      <c r="IK919" s="42"/>
      <c r="IL919" s="42"/>
      <c r="IM919" s="42"/>
      <c r="IN919" s="42"/>
      <c r="IO919" s="42"/>
      <c r="IP919" s="42"/>
      <c r="IQ919" s="42"/>
      <c r="IR919" s="42"/>
      <c r="IS919" s="42"/>
      <c r="IT919" s="42"/>
      <c r="IU919" s="42"/>
      <c r="IV919" s="42"/>
      <c r="IW919" s="42"/>
      <c r="IX919" s="42"/>
      <c r="IY919" s="42"/>
      <c r="IZ919" s="42"/>
      <c r="JA919" s="42"/>
      <c r="JB919" s="42"/>
      <c r="JC919" s="42"/>
      <c r="JD919" s="42"/>
      <c r="JE919" s="42"/>
      <c r="JF919" s="42"/>
      <c r="JG919" s="42"/>
      <c r="JH919" s="42"/>
      <c r="JI919" s="42"/>
      <c r="JJ919" s="42"/>
      <c r="JK919" s="42"/>
      <c r="JL919" s="42"/>
      <c r="JM919" s="42"/>
      <c r="JN919" s="42"/>
      <c r="JO919" s="42"/>
      <c r="JP919" s="42"/>
      <c r="JQ919" s="42"/>
      <c r="JR919" s="42"/>
      <c r="JS919" s="42"/>
      <c r="JT919" s="42"/>
      <c r="JU919" s="42"/>
      <c r="JV919" s="42"/>
      <c r="JW919" s="42"/>
      <c r="JX919" s="42"/>
      <c r="JY919" s="42"/>
      <c r="JZ919" s="42"/>
      <c r="KA919" s="42"/>
    </row>
    <row r="920" spans="1:287" ht="12.75">
      <c r="A920" s="89"/>
      <c r="B920" s="89"/>
      <c r="J920" s="19"/>
      <c r="Q920" s="19"/>
      <c r="Y920" s="19"/>
      <c r="AF920" s="19"/>
      <c r="II920" s="42"/>
      <c r="IJ920" s="42"/>
      <c r="IK920" s="42"/>
      <c r="IL920" s="42"/>
      <c r="IM920" s="42"/>
      <c r="IN920" s="42"/>
      <c r="IO920" s="42"/>
      <c r="IP920" s="42"/>
      <c r="IQ920" s="42"/>
      <c r="IR920" s="42"/>
      <c r="IS920" s="42"/>
      <c r="IT920" s="42"/>
      <c r="IU920" s="42"/>
      <c r="IV920" s="42"/>
      <c r="IW920" s="42"/>
      <c r="IX920" s="42"/>
      <c r="IY920" s="42"/>
      <c r="IZ920" s="42"/>
      <c r="JA920" s="42"/>
      <c r="JB920" s="42"/>
      <c r="JC920" s="42"/>
      <c r="JD920" s="42"/>
      <c r="JE920" s="42"/>
      <c r="JF920" s="42"/>
      <c r="JG920" s="42"/>
      <c r="JH920" s="42"/>
      <c r="JI920" s="42"/>
      <c r="JJ920" s="42"/>
      <c r="JK920" s="42"/>
      <c r="JL920" s="42"/>
      <c r="JM920" s="42"/>
      <c r="JN920" s="42"/>
      <c r="JO920" s="42"/>
      <c r="JP920" s="42"/>
      <c r="JQ920" s="42"/>
      <c r="JR920" s="42"/>
      <c r="JS920" s="42"/>
      <c r="JT920" s="42"/>
      <c r="JU920" s="42"/>
      <c r="JV920" s="42"/>
      <c r="JW920" s="42"/>
      <c r="JX920" s="42"/>
      <c r="JY920" s="42"/>
      <c r="JZ920" s="42"/>
      <c r="KA920" s="42"/>
    </row>
    <row r="921" spans="1:287" ht="12.75">
      <c r="A921" s="89"/>
      <c r="B921" s="89"/>
      <c r="J921" s="19"/>
      <c r="Q921" s="19"/>
      <c r="Y921" s="19"/>
      <c r="AF921" s="19"/>
      <c r="II921" s="42"/>
      <c r="IJ921" s="42"/>
      <c r="IK921" s="42"/>
      <c r="IL921" s="42"/>
      <c r="IM921" s="42"/>
      <c r="IN921" s="42"/>
      <c r="IO921" s="42"/>
      <c r="IP921" s="42"/>
      <c r="IQ921" s="42"/>
      <c r="IR921" s="42"/>
      <c r="IS921" s="42"/>
      <c r="IT921" s="42"/>
      <c r="IU921" s="42"/>
      <c r="IV921" s="42"/>
      <c r="IW921" s="42"/>
      <c r="IX921" s="42"/>
      <c r="IY921" s="42"/>
      <c r="IZ921" s="42"/>
      <c r="JA921" s="42"/>
      <c r="JB921" s="42"/>
      <c r="JC921" s="42"/>
      <c r="JD921" s="42"/>
      <c r="JE921" s="42"/>
      <c r="JF921" s="42"/>
      <c r="JG921" s="42"/>
      <c r="JH921" s="42"/>
      <c r="JI921" s="42"/>
      <c r="JJ921" s="42"/>
      <c r="JK921" s="42"/>
      <c r="JL921" s="42"/>
      <c r="JM921" s="42"/>
      <c r="JN921" s="42"/>
      <c r="JO921" s="42"/>
      <c r="JP921" s="42"/>
      <c r="JQ921" s="42"/>
      <c r="JR921" s="42"/>
      <c r="JS921" s="42"/>
      <c r="JT921" s="42"/>
      <c r="JU921" s="42"/>
      <c r="JV921" s="42"/>
      <c r="JW921" s="42"/>
      <c r="JX921" s="42"/>
      <c r="JY921" s="42"/>
      <c r="JZ921" s="42"/>
      <c r="KA921" s="42"/>
    </row>
    <row r="922" spans="1:287" ht="12.75">
      <c r="A922" s="89"/>
      <c r="B922" s="89"/>
      <c r="J922" s="19"/>
      <c r="Q922" s="19"/>
      <c r="Y922" s="19"/>
      <c r="AF922" s="19"/>
      <c r="II922" s="42"/>
      <c r="IJ922" s="42"/>
      <c r="IK922" s="42"/>
      <c r="IL922" s="42"/>
      <c r="IM922" s="42"/>
      <c r="IN922" s="42"/>
      <c r="IO922" s="42"/>
      <c r="IP922" s="42"/>
      <c r="IQ922" s="42"/>
      <c r="IR922" s="42"/>
      <c r="IS922" s="42"/>
      <c r="IT922" s="42"/>
      <c r="IU922" s="42"/>
      <c r="IV922" s="42"/>
      <c r="IW922" s="42"/>
      <c r="IX922" s="42"/>
      <c r="IY922" s="42"/>
      <c r="IZ922" s="42"/>
      <c r="JA922" s="42"/>
      <c r="JB922" s="42"/>
      <c r="JC922" s="42"/>
      <c r="JD922" s="42"/>
      <c r="JE922" s="42"/>
      <c r="JF922" s="42"/>
      <c r="JG922" s="42"/>
      <c r="JH922" s="42"/>
      <c r="JI922" s="42"/>
      <c r="JJ922" s="42"/>
      <c r="JK922" s="42"/>
      <c r="JL922" s="42"/>
      <c r="JM922" s="42"/>
      <c r="JN922" s="42"/>
      <c r="JO922" s="42"/>
      <c r="JP922" s="42"/>
      <c r="JQ922" s="42"/>
      <c r="JR922" s="42"/>
      <c r="JS922" s="42"/>
      <c r="JT922" s="42"/>
      <c r="JU922" s="42"/>
      <c r="JV922" s="42"/>
      <c r="JW922" s="42"/>
      <c r="JX922" s="42"/>
      <c r="JY922" s="42"/>
      <c r="JZ922" s="42"/>
      <c r="KA922" s="42"/>
    </row>
    <row r="923" spans="1:287" ht="12.75">
      <c r="A923" s="89"/>
      <c r="B923" s="89"/>
      <c r="J923" s="19"/>
      <c r="Q923" s="19"/>
      <c r="Y923" s="19"/>
      <c r="AF923" s="19"/>
      <c r="II923" s="42"/>
      <c r="IJ923" s="42"/>
      <c r="IK923" s="42"/>
      <c r="IL923" s="42"/>
      <c r="IM923" s="42"/>
      <c r="IN923" s="42"/>
      <c r="IO923" s="42"/>
      <c r="IP923" s="42"/>
      <c r="IQ923" s="42"/>
      <c r="IR923" s="42"/>
      <c r="IS923" s="42"/>
      <c r="IT923" s="42"/>
      <c r="IU923" s="42"/>
      <c r="IV923" s="42"/>
      <c r="IW923" s="42"/>
      <c r="IX923" s="42"/>
      <c r="IY923" s="42"/>
      <c r="IZ923" s="42"/>
      <c r="JA923" s="42"/>
      <c r="JB923" s="42"/>
      <c r="JC923" s="42"/>
      <c r="JD923" s="42"/>
      <c r="JE923" s="42"/>
      <c r="JF923" s="42"/>
      <c r="JG923" s="42"/>
      <c r="JH923" s="42"/>
      <c r="JI923" s="42"/>
      <c r="JJ923" s="42"/>
      <c r="JK923" s="42"/>
      <c r="JL923" s="42"/>
      <c r="JM923" s="42"/>
      <c r="JN923" s="42"/>
      <c r="JO923" s="42"/>
      <c r="JP923" s="42"/>
      <c r="JQ923" s="42"/>
      <c r="JR923" s="42"/>
      <c r="JS923" s="42"/>
      <c r="JT923" s="42"/>
      <c r="JU923" s="42"/>
      <c r="JV923" s="42"/>
      <c r="JW923" s="42"/>
      <c r="JX923" s="42"/>
      <c r="JY923" s="42"/>
      <c r="JZ923" s="42"/>
      <c r="KA923" s="42"/>
    </row>
    <row r="924" spans="1:287" ht="12.75">
      <c r="A924" s="89"/>
      <c r="B924" s="89"/>
      <c r="J924" s="19"/>
      <c r="Q924" s="19"/>
      <c r="Y924" s="19"/>
      <c r="AF924" s="19"/>
      <c r="II924" s="42"/>
      <c r="IJ924" s="42"/>
      <c r="IK924" s="42"/>
      <c r="IL924" s="42"/>
      <c r="IM924" s="42"/>
      <c r="IN924" s="42"/>
      <c r="IO924" s="42"/>
      <c r="IP924" s="42"/>
      <c r="IQ924" s="42"/>
      <c r="IR924" s="42"/>
      <c r="IS924" s="42"/>
      <c r="IT924" s="42"/>
      <c r="IU924" s="42"/>
      <c r="IV924" s="42"/>
      <c r="IW924" s="42"/>
      <c r="IX924" s="42"/>
      <c r="IY924" s="42"/>
      <c r="IZ924" s="42"/>
      <c r="JA924" s="42"/>
      <c r="JB924" s="42"/>
      <c r="JC924" s="42"/>
      <c r="JD924" s="42"/>
      <c r="JE924" s="42"/>
      <c r="JF924" s="42"/>
      <c r="JG924" s="42"/>
      <c r="JH924" s="42"/>
      <c r="JI924" s="42"/>
      <c r="JJ924" s="42"/>
      <c r="JK924" s="42"/>
      <c r="JL924" s="42"/>
      <c r="JM924" s="42"/>
      <c r="JN924" s="42"/>
      <c r="JO924" s="42"/>
      <c r="JP924" s="42"/>
      <c r="JQ924" s="42"/>
      <c r="JR924" s="42"/>
      <c r="JS924" s="42"/>
      <c r="JT924" s="42"/>
      <c r="JU924" s="42"/>
      <c r="JV924" s="42"/>
      <c r="JW924" s="42"/>
      <c r="JX924" s="42"/>
      <c r="JY924" s="42"/>
      <c r="JZ924" s="42"/>
      <c r="KA924" s="42"/>
    </row>
    <row r="925" spans="1:287" ht="12.75">
      <c r="A925" s="89"/>
      <c r="B925" s="89"/>
      <c r="J925" s="19"/>
      <c r="Q925" s="19"/>
      <c r="Y925" s="19"/>
      <c r="AF925" s="19"/>
      <c r="II925" s="42"/>
      <c r="IJ925" s="42"/>
      <c r="IK925" s="42"/>
      <c r="IL925" s="42"/>
      <c r="IM925" s="42"/>
      <c r="IN925" s="42"/>
      <c r="IO925" s="42"/>
      <c r="IP925" s="42"/>
      <c r="IQ925" s="42"/>
      <c r="IR925" s="42"/>
      <c r="IS925" s="42"/>
      <c r="IT925" s="42"/>
      <c r="IU925" s="42"/>
      <c r="IV925" s="42"/>
      <c r="IW925" s="42"/>
      <c r="IX925" s="42"/>
      <c r="IY925" s="42"/>
      <c r="IZ925" s="42"/>
      <c r="JA925" s="42"/>
      <c r="JB925" s="42"/>
      <c r="JC925" s="42"/>
      <c r="JD925" s="42"/>
      <c r="JE925" s="42"/>
      <c r="JF925" s="42"/>
      <c r="JG925" s="42"/>
      <c r="JH925" s="42"/>
      <c r="JI925" s="42"/>
      <c r="JJ925" s="42"/>
      <c r="JK925" s="42"/>
      <c r="JL925" s="42"/>
      <c r="JM925" s="42"/>
      <c r="JN925" s="42"/>
      <c r="JO925" s="42"/>
      <c r="JP925" s="42"/>
      <c r="JQ925" s="42"/>
      <c r="JR925" s="42"/>
      <c r="JS925" s="42"/>
      <c r="JT925" s="42"/>
      <c r="JU925" s="42"/>
      <c r="JV925" s="42"/>
      <c r="JW925" s="42"/>
      <c r="JX925" s="42"/>
      <c r="JY925" s="42"/>
      <c r="JZ925" s="42"/>
      <c r="KA925" s="42"/>
    </row>
    <row r="926" spans="1:287" ht="12.75">
      <c r="A926" s="89"/>
      <c r="B926" s="89"/>
      <c r="J926" s="19"/>
      <c r="Q926" s="19"/>
      <c r="Y926" s="19"/>
      <c r="AF926" s="19"/>
      <c r="II926" s="42"/>
      <c r="IJ926" s="42"/>
      <c r="IK926" s="42"/>
      <c r="IL926" s="42"/>
      <c r="IM926" s="42"/>
      <c r="IN926" s="42"/>
      <c r="IO926" s="42"/>
      <c r="IP926" s="42"/>
      <c r="IQ926" s="42"/>
      <c r="IR926" s="42"/>
      <c r="IS926" s="42"/>
      <c r="IT926" s="42"/>
      <c r="IU926" s="42"/>
      <c r="IV926" s="42"/>
      <c r="IW926" s="42"/>
      <c r="IX926" s="42"/>
      <c r="IY926" s="42"/>
      <c r="IZ926" s="42"/>
      <c r="JA926" s="42"/>
      <c r="JB926" s="42"/>
      <c r="JC926" s="42"/>
      <c r="JD926" s="42"/>
      <c r="JE926" s="42"/>
      <c r="JF926" s="42"/>
      <c r="JG926" s="42"/>
      <c r="JH926" s="42"/>
      <c r="JI926" s="42"/>
      <c r="JJ926" s="42"/>
      <c r="JK926" s="42"/>
      <c r="JL926" s="42"/>
      <c r="JM926" s="42"/>
      <c r="JN926" s="42"/>
      <c r="JO926" s="42"/>
      <c r="JP926" s="42"/>
      <c r="JQ926" s="42"/>
      <c r="JR926" s="42"/>
      <c r="JS926" s="42"/>
      <c r="JT926" s="42"/>
      <c r="JU926" s="42"/>
      <c r="JV926" s="42"/>
      <c r="JW926" s="42"/>
      <c r="JX926" s="42"/>
      <c r="JY926" s="42"/>
      <c r="JZ926" s="42"/>
      <c r="KA926" s="42"/>
    </row>
    <row r="927" spans="1:287" ht="12.75">
      <c r="A927" s="89"/>
      <c r="B927" s="89"/>
      <c r="J927" s="19"/>
      <c r="Q927" s="19"/>
      <c r="Y927" s="19"/>
      <c r="AF927" s="19"/>
      <c r="II927" s="42"/>
      <c r="IJ927" s="42"/>
      <c r="IK927" s="42"/>
      <c r="IL927" s="42"/>
      <c r="IM927" s="42"/>
      <c r="IN927" s="42"/>
      <c r="IO927" s="42"/>
      <c r="IP927" s="42"/>
      <c r="IQ927" s="42"/>
      <c r="IR927" s="42"/>
      <c r="IS927" s="42"/>
      <c r="IT927" s="42"/>
      <c r="IU927" s="42"/>
      <c r="IV927" s="42"/>
      <c r="IW927" s="42"/>
      <c r="IX927" s="42"/>
      <c r="IY927" s="42"/>
      <c r="IZ927" s="42"/>
      <c r="JA927" s="42"/>
      <c r="JB927" s="42"/>
      <c r="JC927" s="42"/>
      <c r="JD927" s="42"/>
      <c r="JE927" s="42"/>
      <c r="JF927" s="42"/>
      <c r="JG927" s="42"/>
      <c r="JH927" s="42"/>
      <c r="JI927" s="42"/>
      <c r="JJ927" s="42"/>
      <c r="JK927" s="42"/>
      <c r="JL927" s="42"/>
      <c r="JM927" s="42"/>
      <c r="JN927" s="42"/>
      <c r="JO927" s="42"/>
      <c r="JP927" s="42"/>
      <c r="JQ927" s="42"/>
      <c r="JR927" s="42"/>
      <c r="JS927" s="42"/>
      <c r="JT927" s="42"/>
      <c r="JU927" s="42"/>
      <c r="JV927" s="42"/>
      <c r="JW927" s="42"/>
      <c r="JX927" s="42"/>
      <c r="JY927" s="42"/>
      <c r="JZ927" s="42"/>
      <c r="KA927" s="42"/>
    </row>
    <row r="928" spans="1:287" ht="12.75">
      <c r="A928" s="89"/>
      <c r="B928" s="89"/>
      <c r="J928" s="19"/>
      <c r="Q928" s="19"/>
      <c r="Y928" s="19"/>
      <c r="AF928" s="19"/>
      <c r="II928" s="42"/>
      <c r="IJ928" s="42"/>
      <c r="IK928" s="42"/>
      <c r="IL928" s="42"/>
      <c r="IM928" s="42"/>
      <c r="IN928" s="42"/>
      <c r="IO928" s="42"/>
      <c r="IP928" s="42"/>
      <c r="IQ928" s="42"/>
      <c r="IR928" s="42"/>
      <c r="IS928" s="42"/>
      <c r="IT928" s="42"/>
      <c r="IU928" s="42"/>
      <c r="IV928" s="42"/>
      <c r="IW928" s="42"/>
      <c r="IX928" s="42"/>
      <c r="IY928" s="42"/>
      <c r="IZ928" s="42"/>
      <c r="JA928" s="42"/>
      <c r="JB928" s="42"/>
      <c r="JC928" s="42"/>
      <c r="JD928" s="42"/>
      <c r="JE928" s="42"/>
      <c r="JF928" s="42"/>
      <c r="JG928" s="42"/>
      <c r="JH928" s="42"/>
      <c r="JI928" s="42"/>
      <c r="JJ928" s="42"/>
      <c r="JK928" s="42"/>
      <c r="JL928" s="42"/>
      <c r="JM928" s="42"/>
      <c r="JN928" s="42"/>
      <c r="JO928" s="42"/>
      <c r="JP928" s="42"/>
      <c r="JQ928" s="42"/>
      <c r="JR928" s="42"/>
      <c r="JS928" s="42"/>
      <c r="JT928" s="42"/>
      <c r="JU928" s="42"/>
      <c r="JV928" s="42"/>
      <c r="JW928" s="42"/>
      <c r="JX928" s="42"/>
      <c r="JY928" s="42"/>
      <c r="JZ928" s="42"/>
      <c r="KA928" s="42"/>
    </row>
    <row r="929" spans="1:287" ht="12.75">
      <c r="A929" s="89"/>
      <c r="B929" s="89"/>
      <c r="J929" s="19"/>
      <c r="Q929" s="19"/>
      <c r="Y929" s="19"/>
      <c r="AF929" s="19"/>
      <c r="II929" s="42"/>
      <c r="IJ929" s="42"/>
      <c r="IK929" s="42"/>
      <c r="IL929" s="42"/>
      <c r="IM929" s="42"/>
      <c r="IN929" s="42"/>
      <c r="IO929" s="42"/>
      <c r="IP929" s="42"/>
      <c r="IQ929" s="42"/>
      <c r="IR929" s="42"/>
      <c r="IS929" s="42"/>
      <c r="IT929" s="42"/>
      <c r="IU929" s="42"/>
      <c r="IV929" s="42"/>
      <c r="IW929" s="42"/>
      <c r="IX929" s="42"/>
      <c r="IY929" s="42"/>
      <c r="IZ929" s="42"/>
      <c r="JA929" s="42"/>
      <c r="JB929" s="42"/>
      <c r="JC929" s="42"/>
      <c r="JD929" s="42"/>
      <c r="JE929" s="42"/>
      <c r="JF929" s="42"/>
      <c r="JG929" s="42"/>
      <c r="JH929" s="42"/>
      <c r="JI929" s="42"/>
      <c r="JJ929" s="42"/>
      <c r="JK929" s="42"/>
      <c r="JL929" s="42"/>
      <c r="JM929" s="42"/>
      <c r="JN929" s="42"/>
      <c r="JO929" s="42"/>
      <c r="JP929" s="42"/>
      <c r="JQ929" s="42"/>
      <c r="JR929" s="42"/>
      <c r="JS929" s="42"/>
      <c r="JT929" s="42"/>
      <c r="JU929" s="42"/>
      <c r="JV929" s="42"/>
      <c r="JW929" s="42"/>
      <c r="JX929" s="42"/>
      <c r="JY929" s="42"/>
      <c r="JZ929" s="42"/>
      <c r="KA929" s="42"/>
    </row>
    <row r="930" spans="1:287" ht="12.75">
      <c r="A930" s="89"/>
      <c r="B930" s="89"/>
      <c r="J930" s="19"/>
      <c r="Q930" s="19"/>
      <c r="Y930" s="19"/>
      <c r="AF930" s="19"/>
      <c r="II930" s="42"/>
      <c r="IJ930" s="42"/>
      <c r="IK930" s="42"/>
      <c r="IL930" s="42"/>
      <c r="IM930" s="42"/>
      <c r="IN930" s="42"/>
      <c r="IO930" s="42"/>
      <c r="IP930" s="42"/>
      <c r="IQ930" s="42"/>
      <c r="IR930" s="42"/>
      <c r="IS930" s="42"/>
      <c r="IT930" s="42"/>
      <c r="IU930" s="42"/>
      <c r="IV930" s="42"/>
      <c r="IW930" s="42"/>
      <c r="IX930" s="42"/>
      <c r="IY930" s="42"/>
      <c r="IZ930" s="42"/>
      <c r="JA930" s="42"/>
      <c r="JB930" s="42"/>
      <c r="JC930" s="42"/>
      <c r="JD930" s="42"/>
      <c r="JE930" s="42"/>
      <c r="JF930" s="42"/>
      <c r="JG930" s="42"/>
      <c r="JH930" s="42"/>
      <c r="JI930" s="42"/>
      <c r="JJ930" s="42"/>
      <c r="JK930" s="42"/>
      <c r="JL930" s="42"/>
      <c r="JM930" s="42"/>
      <c r="JN930" s="42"/>
      <c r="JO930" s="42"/>
      <c r="JP930" s="42"/>
      <c r="JQ930" s="42"/>
      <c r="JR930" s="42"/>
      <c r="JS930" s="42"/>
      <c r="JT930" s="42"/>
      <c r="JU930" s="42"/>
      <c r="JV930" s="42"/>
      <c r="JW930" s="42"/>
      <c r="JX930" s="42"/>
      <c r="JY930" s="42"/>
      <c r="JZ930" s="42"/>
      <c r="KA930" s="42"/>
    </row>
    <row r="931" spans="1:287" ht="12.75">
      <c r="A931" s="89"/>
      <c r="B931" s="89"/>
      <c r="J931" s="19"/>
      <c r="Q931" s="19"/>
      <c r="Y931" s="19"/>
      <c r="AF931" s="19"/>
      <c r="II931" s="42"/>
      <c r="IJ931" s="42"/>
      <c r="IK931" s="42"/>
      <c r="IL931" s="42"/>
      <c r="IM931" s="42"/>
      <c r="IN931" s="42"/>
      <c r="IO931" s="42"/>
      <c r="IP931" s="42"/>
      <c r="IQ931" s="42"/>
      <c r="IR931" s="42"/>
      <c r="IS931" s="42"/>
      <c r="IT931" s="42"/>
      <c r="IU931" s="42"/>
      <c r="IV931" s="42"/>
      <c r="IW931" s="42"/>
      <c r="IX931" s="42"/>
      <c r="IY931" s="42"/>
      <c r="IZ931" s="42"/>
      <c r="JA931" s="42"/>
      <c r="JB931" s="42"/>
      <c r="JC931" s="42"/>
      <c r="JD931" s="42"/>
      <c r="JE931" s="42"/>
      <c r="JF931" s="42"/>
      <c r="JG931" s="42"/>
      <c r="JH931" s="42"/>
      <c r="JI931" s="42"/>
      <c r="JJ931" s="42"/>
      <c r="JK931" s="42"/>
      <c r="JL931" s="42"/>
      <c r="JM931" s="42"/>
      <c r="JN931" s="42"/>
      <c r="JO931" s="42"/>
      <c r="JP931" s="42"/>
      <c r="JQ931" s="42"/>
      <c r="JR931" s="42"/>
      <c r="JS931" s="42"/>
      <c r="JT931" s="42"/>
      <c r="JU931" s="42"/>
      <c r="JV931" s="42"/>
      <c r="JW931" s="42"/>
      <c r="JX931" s="42"/>
      <c r="JY931" s="42"/>
      <c r="JZ931" s="42"/>
      <c r="KA931" s="42"/>
    </row>
    <row r="932" spans="1:287" ht="12.75">
      <c r="A932" s="89"/>
      <c r="B932" s="89"/>
      <c r="J932" s="19"/>
      <c r="Q932" s="19"/>
      <c r="Y932" s="19"/>
      <c r="AF932" s="19"/>
      <c r="II932" s="42"/>
      <c r="IJ932" s="42"/>
      <c r="IK932" s="42"/>
      <c r="IL932" s="42"/>
      <c r="IM932" s="42"/>
      <c r="IN932" s="42"/>
      <c r="IO932" s="42"/>
      <c r="IP932" s="42"/>
      <c r="IQ932" s="42"/>
      <c r="IR932" s="42"/>
      <c r="IS932" s="42"/>
      <c r="IT932" s="42"/>
      <c r="IU932" s="42"/>
      <c r="IV932" s="42"/>
      <c r="IW932" s="42"/>
      <c r="IX932" s="42"/>
      <c r="IY932" s="42"/>
      <c r="IZ932" s="42"/>
      <c r="JA932" s="42"/>
      <c r="JB932" s="42"/>
      <c r="JC932" s="42"/>
      <c r="JD932" s="42"/>
      <c r="JE932" s="42"/>
      <c r="JF932" s="42"/>
      <c r="JG932" s="42"/>
      <c r="JH932" s="42"/>
      <c r="JI932" s="42"/>
      <c r="JJ932" s="42"/>
      <c r="JK932" s="42"/>
      <c r="JL932" s="42"/>
      <c r="JM932" s="42"/>
      <c r="JN932" s="42"/>
      <c r="JO932" s="42"/>
      <c r="JP932" s="42"/>
      <c r="JQ932" s="42"/>
      <c r="JR932" s="42"/>
      <c r="JS932" s="42"/>
      <c r="JT932" s="42"/>
      <c r="JU932" s="42"/>
      <c r="JV932" s="42"/>
      <c r="JW932" s="42"/>
      <c r="JX932" s="42"/>
      <c r="JY932" s="42"/>
      <c r="JZ932" s="42"/>
      <c r="KA932" s="42"/>
    </row>
    <row r="933" spans="1:287" ht="12.75">
      <c r="A933" s="89"/>
      <c r="B933" s="89"/>
      <c r="J933" s="19"/>
      <c r="Q933" s="19"/>
      <c r="Y933" s="19"/>
      <c r="AF933" s="19"/>
      <c r="II933" s="42"/>
      <c r="IJ933" s="42"/>
      <c r="IK933" s="42"/>
      <c r="IL933" s="42"/>
      <c r="IM933" s="42"/>
      <c r="IN933" s="42"/>
      <c r="IO933" s="42"/>
      <c r="IP933" s="42"/>
      <c r="IQ933" s="42"/>
      <c r="IR933" s="42"/>
      <c r="IS933" s="42"/>
      <c r="IT933" s="42"/>
      <c r="IU933" s="42"/>
      <c r="IV933" s="42"/>
      <c r="IW933" s="42"/>
      <c r="IX933" s="42"/>
      <c r="IY933" s="42"/>
      <c r="IZ933" s="42"/>
      <c r="JA933" s="42"/>
      <c r="JB933" s="42"/>
      <c r="JC933" s="42"/>
      <c r="JD933" s="42"/>
      <c r="JE933" s="42"/>
      <c r="JF933" s="42"/>
      <c r="JG933" s="42"/>
      <c r="JH933" s="42"/>
      <c r="JI933" s="42"/>
      <c r="JJ933" s="42"/>
      <c r="JK933" s="42"/>
      <c r="JL933" s="42"/>
      <c r="JM933" s="42"/>
      <c r="JN933" s="42"/>
      <c r="JO933" s="42"/>
      <c r="JP933" s="42"/>
      <c r="JQ933" s="42"/>
      <c r="JR933" s="42"/>
      <c r="JS933" s="42"/>
      <c r="JT933" s="42"/>
      <c r="JU933" s="42"/>
      <c r="JV933" s="42"/>
      <c r="JW933" s="42"/>
      <c r="JX933" s="42"/>
      <c r="JY933" s="42"/>
      <c r="JZ933" s="42"/>
      <c r="KA933" s="42"/>
    </row>
    <row r="934" spans="1:287" ht="12.75">
      <c r="A934" s="89"/>
      <c r="B934" s="89"/>
      <c r="J934" s="19"/>
      <c r="Q934" s="19"/>
      <c r="Y934" s="19"/>
      <c r="AF934" s="19"/>
      <c r="II934" s="42"/>
      <c r="IJ934" s="42"/>
      <c r="IK934" s="42"/>
      <c r="IL934" s="42"/>
      <c r="IM934" s="42"/>
      <c r="IN934" s="42"/>
      <c r="IO934" s="42"/>
      <c r="IP934" s="42"/>
      <c r="IQ934" s="42"/>
      <c r="IR934" s="42"/>
      <c r="IS934" s="42"/>
      <c r="IT934" s="42"/>
      <c r="IU934" s="42"/>
      <c r="IV934" s="42"/>
      <c r="IW934" s="42"/>
      <c r="IX934" s="42"/>
      <c r="IY934" s="42"/>
      <c r="IZ934" s="42"/>
      <c r="JA934" s="42"/>
      <c r="JB934" s="42"/>
      <c r="JC934" s="42"/>
      <c r="JD934" s="42"/>
      <c r="JE934" s="42"/>
      <c r="JF934" s="42"/>
      <c r="JG934" s="42"/>
      <c r="JH934" s="42"/>
      <c r="JI934" s="42"/>
      <c r="JJ934" s="42"/>
      <c r="JK934" s="42"/>
      <c r="JL934" s="42"/>
      <c r="JM934" s="42"/>
      <c r="JN934" s="42"/>
      <c r="JO934" s="42"/>
      <c r="JP934" s="42"/>
      <c r="JQ934" s="42"/>
      <c r="JR934" s="42"/>
      <c r="JS934" s="42"/>
      <c r="JT934" s="42"/>
      <c r="JU934" s="42"/>
      <c r="JV934" s="42"/>
      <c r="JW934" s="42"/>
      <c r="JX934" s="42"/>
      <c r="JY934" s="42"/>
      <c r="JZ934" s="42"/>
      <c r="KA934" s="42"/>
    </row>
    <row r="935" spans="1:287" ht="12.75">
      <c r="A935" s="89"/>
      <c r="B935" s="89"/>
      <c r="J935" s="19"/>
      <c r="Q935" s="19"/>
      <c r="Y935" s="19"/>
      <c r="AF935" s="19"/>
      <c r="II935" s="42"/>
      <c r="IJ935" s="42"/>
      <c r="IK935" s="42"/>
      <c r="IL935" s="42"/>
      <c r="IM935" s="42"/>
      <c r="IN935" s="42"/>
      <c r="IO935" s="42"/>
      <c r="IP935" s="42"/>
      <c r="IQ935" s="42"/>
      <c r="IR935" s="42"/>
      <c r="IS935" s="42"/>
      <c r="IT935" s="42"/>
      <c r="IU935" s="42"/>
      <c r="IV935" s="42"/>
      <c r="IW935" s="42"/>
      <c r="IX935" s="42"/>
      <c r="IY935" s="42"/>
      <c r="IZ935" s="42"/>
      <c r="JA935" s="42"/>
      <c r="JB935" s="42"/>
      <c r="JC935" s="42"/>
      <c r="JD935" s="42"/>
      <c r="JE935" s="42"/>
      <c r="JF935" s="42"/>
      <c r="JG935" s="42"/>
      <c r="JH935" s="42"/>
      <c r="JI935" s="42"/>
      <c r="JJ935" s="42"/>
      <c r="JK935" s="42"/>
      <c r="JL935" s="42"/>
      <c r="JM935" s="42"/>
      <c r="JN935" s="42"/>
      <c r="JO935" s="42"/>
      <c r="JP935" s="42"/>
      <c r="JQ935" s="42"/>
      <c r="JR935" s="42"/>
      <c r="JS935" s="42"/>
      <c r="JT935" s="42"/>
      <c r="JU935" s="42"/>
      <c r="JV935" s="42"/>
      <c r="JW935" s="42"/>
      <c r="JX935" s="42"/>
      <c r="JY935" s="42"/>
      <c r="JZ935" s="42"/>
      <c r="KA935" s="42"/>
    </row>
    <row r="936" spans="1:287" ht="12.75">
      <c r="A936" s="89"/>
      <c r="B936" s="89"/>
      <c r="J936" s="19"/>
      <c r="Q936" s="19"/>
      <c r="Y936" s="19"/>
      <c r="AF936" s="19"/>
      <c r="II936" s="42"/>
      <c r="IJ936" s="42"/>
      <c r="IK936" s="42"/>
      <c r="IL936" s="42"/>
      <c r="IM936" s="42"/>
      <c r="IN936" s="42"/>
      <c r="IO936" s="42"/>
      <c r="IP936" s="42"/>
      <c r="IQ936" s="42"/>
      <c r="IR936" s="42"/>
      <c r="IS936" s="42"/>
      <c r="IT936" s="42"/>
      <c r="IU936" s="42"/>
      <c r="IV936" s="42"/>
      <c r="IW936" s="42"/>
      <c r="IX936" s="42"/>
      <c r="IY936" s="42"/>
      <c r="IZ936" s="42"/>
      <c r="JA936" s="42"/>
      <c r="JB936" s="42"/>
      <c r="JC936" s="42"/>
      <c r="JD936" s="42"/>
      <c r="JE936" s="42"/>
      <c r="JF936" s="42"/>
      <c r="JG936" s="42"/>
      <c r="JH936" s="42"/>
      <c r="JI936" s="42"/>
      <c r="JJ936" s="42"/>
      <c r="JK936" s="42"/>
      <c r="JL936" s="42"/>
      <c r="JM936" s="42"/>
      <c r="JN936" s="42"/>
      <c r="JO936" s="42"/>
      <c r="JP936" s="42"/>
      <c r="JQ936" s="42"/>
      <c r="JR936" s="42"/>
      <c r="JS936" s="42"/>
      <c r="JT936" s="42"/>
      <c r="JU936" s="42"/>
      <c r="JV936" s="42"/>
      <c r="JW936" s="42"/>
      <c r="JX936" s="42"/>
      <c r="JY936" s="42"/>
      <c r="JZ936" s="42"/>
      <c r="KA936" s="42"/>
    </row>
    <row r="937" spans="1:287" ht="12.75">
      <c r="A937" s="89"/>
      <c r="B937" s="89"/>
      <c r="J937" s="19"/>
      <c r="Q937" s="19"/>
      <c r="Y937" s="19"/>
      <c r="AF937" s="19"/>
      <c r="II937" s="42"/>
      <c r="IJ937" s="42"/>
      <c r="IK937" s="42"/>
      <c r="IL937" s="42"/>
      <c r="IM937" s="42"/>
      <c r="IN937" s="42"/>
      <c r="IO937" s="42"/>
      <c r="IP937" s="42"/>
      <c r="IQ937" s="42"/>
      <c r="IR937" s="42"/>
      <c r="IS937" s="42"/>
      <c r="IT937" s="42"/>
      <c r="IU937" s="42"/>
      <c r="IV937" s="42"/>
      <c r="IW937" s="42"/>
      <c r="IX937" s="42"/>
      <c r="IY937" s="42"/>
      <c r="IZ937" s="42"/>
      <c r="JA937" s="42"/>
      <c r="JB937" s="42"/>
      <c r="JC937" s="42"/>
      <c r="JD937" s="42"/>
      <c r="JE937" s="42"/>
      <c r="JF937" s="42"/>
      <c r="JG937" s="42"/>
      <c r="JH937" s="42"/>
      <c r="JI937" s="42"/>
      <c r="JJ937" s="42"/>
      <c r="JK937" s="42"/>
      <c r="JL937" s="42"/>
      <c r="JM937" s="42"/>
      <c r="JN937" s="42"/>
      <c r="JO937" s="42"/>
      <c r="JP937" s="42"/>
      <c r="JQ937" s="42"/>
      <c r="JR937" s="42"/>
      <c r="JS937" s="42"/>
      <c r="JT937" s="42"/>
      <c r="JU937" s="42"/>
      <c r="JV937" s="42"/>
      <c r="JW937" s="42"/>
      <c r="JX937" s="42"/>
      <c r="JY937" s="42"/>
      <c r="JZ937" s="42"/>
      <c r="KA937" s="42"/>
    </row>
    <row r="938" spans="1:287" ht="12.75">
      <c r="A938" s="89"/>
      <c r="B938" s="89"/>
      <c r="J938" s="19"/>
      <c r="Q938" s="19"/>
      <c r="Y938" s="19"/>
      <c r="AF938" s="19"/>
      <c r="II938" s="42"/>
      <c r="IJ938" s="42"/>
      <c r="IK938" s="42"/>
      <c r="IL938" s="42"/>
      <c r="IM938" s="42"/>
      <c r="IN938" s="42"/>
      <c r="IO938" s="42"/>
      <c r="IP938" s="42"/>
      <c r="IQ938" s="42"/>
      <c r="IR938" s="42"/>
      <c r="IS938" s="42"/>
      <c r="IT938" s="42"/>
      <c r="IU938" s="42"/>
      <c r="IV938" s="42"/>
      <c r="IW938" s="42"/>
      <c r="IX938" s="42"/>
      <c r="IY938" s="42"/>
      <c r="IZ938" s="42"/>
      <c r="JA938" s="42"/>
      <c r="JB938" s="42"/>
      <c r="JC938" s="42"/>
      <c r="JD938" s="42"/>
      <c r="JE938" s="42"/>
      <c r="JF938" s="42"/>
      <c r="JG938" s="42"/>
      <c r="JH938" s="42"/>
      <c r="JI938" s="42"/>
      <c r="JJ938" s="42"/>
      <c r="JK938" s="42"/>
      <c r="JL938" s="42"/>
      <c r="JM938" s="42"/>
      <c r="JN938" s="42"/>
      <c r="JO938" s="42"/>
      <c r="JP938" s="42"/>
      <c r="JQ938" s="42"/>
      <c r="JR938" s="42"/>
      <c r="JS938" s="42"/>
      <c r="JT938" s="42"/>
      <c r="JU938" s="42"/>
      <c r="JV938" s="42"/>
      <c r="JW938" s="42"/>
      <c r="JX938" s="42"/>
      <c r="JY938" s="42"/>
      <c r="JZ938" s="42"/>
      <c r="KA938" s="42"/>
    </row>
    <row r="939" spans="1:287" ht="12.75">
      <c r="A939" s="89"/>
      <c r="B939" s="89"/>
      <c r="J939" s="19"/>
      <c r="Q939" s="19"/>
      <c r="Y939" s="19"/>
      <c r="AF939" s="19"/>
      <c r="II939" s="42"/>
      <c r="IJ939" s="42"/>
      <c r="IK939" s="42"/>
      <c r="IL939" s="42"/>
      <c r="IM939" s="42"/>
      <c r="IN939" s="42"/>
      <c r="IO939" s="42"/>
      <c r="IP939" s="42"/>
      <c r="IQ939" s="42"/>
      <c r="IR939" s="42"/>
      <c r="IS939" s="42"/>
      <c r="IT939" s="42"/>
      <c r="IU939" s="42"/>
      <c r="IV939" s="42"/>
      <c r="IW939" s="42"/>
      <c r="IX939" s="42"/>
      <c r="IY939" s="42"/>
      <c r="IZ939" s="42"/>
      <c r="JA939" s="42"/>
      <c r="JB939" s="42"/>
      <c r="JC939" s="42"/>
      <c r="JD939" s="42"/>
      <c r="JE939" s="42"/>
      <c r="JF939" s="42"/>
      <c r="JG939" s="42"/>
      <c r="JH939" s="42"/>
      <c r="JI939" s="42"/>
      <c r="JJ939" s="42"/>
      <c r="JK939" s="42"/>
      <c r="JL939" s="42"/>
      <c r="JM939" s="42"/>
      <c r="JN939" s="42"/>
      <c r="JO939" s="42"/>
      <c r="JP939" s="42"/>
      <c r="JQ939" s="42"/>
      <c r="JR939" s="42"/>
      <c r="JS939" s="42"/>
      <c r="JT939" s="42"/>
      <c r="JU939" s="42"/>
      <c r="JV939" s="42"/>
      <c r="JW939" s="42"/>
      <c r="JX939" s="42"/>
      <c r="JY939" s="42"/>
      <c r="JZ939" s="42"/>
      <c r="KA939" s="42"/>
    </row>
    <row r="940" spans="1:287" ht="12.75">
      <c r="A940" s="89"/>
      <c r="B940" s="89"/>
      <c r="J940" s="19"/>
      <c r="Q940" s="19"/>
      <c r="Y940" s="19"/>
      <c r="AF940" s="19"/>
      <c r="II940" s="42"/>
      <c r="IJ940" s="42"/>
      <c r="IK940" s="42"/>
      <c r="IL940" s="42"/>
      <c r="IM940" s="42"/>
      <c r="IN940" s="42"/>
      <c r="IO940" s="42"/>
      <c r="IP940" s="42"/>
      <c r="IQ940" s="42"/>
      <c r="IR940" s="42"/>
      <c r="IS940" s="42"/>
      <c r="IT940" s="42"/>
      <c r="IU940" s="42"/>
      <c r="IV940" s="42"/>
      <c r="IW940" s="42"/>
      <c r="IX940" s="42"/>
      <c r="IY940" s="42"/>
      <c r="IZ940" s="42"/>
      <c r="JA940" s="42"/>
      <c r="JB940" s="42"/>
      <c r="JC940" s="42"/>
      <c r="JD940" s="42"/>
      <c r="JE940" s="42"/>
      <c r="JF940" s="42"/>
      <c r="JG940" s="42"/>
      <c r="JH940" s="42"/>
      <c r="JI940" s="42"/>
      <c r="JJ940" s="42"/>
      <c r="JK940" s="42"/>
      <c r="JL940" s="42"/>
      <c r="JM940" s="42"/>
      <c r="JN940" s="42"/>
      <c r="JO940" s="42"/>
      <c r="JP940" s="42"/>
      <c r="JQ940" s="42"/>
      <c r="JR940" s="42"/>
      <c r="JS940" s="42"/>
      <c r="JT940" s="42"/>
      <c r="JU940" s="42"/>
      <c r="JV940" s="42"/>
      <c r="JW940" s="42"/>
      <c r="JX940" s="42"/>
      <c r="JY940" s="42"/>
      <c r="JZ940" s="42"/>
      <c r="KA940" s="42"/>
    </row>
    <row r="941" spans="1:287" ht="12.75">
      <c r="A941" s="89"/>
      <c r="B941" s="89"/>
      <c r="J941" s="19"/>
      <c r="Q941" s="19"/>
      <c r="Y941" s="19"/>
      <c r="AF941" s="19"/>
      <c r="II941" s="42"/>
      <c r="IJ941" s="42"/>
      <c r="IK941" s="42"/>
      <c r="IL941" s="42"/>
      <c r="IM941" s="42"/>
      <c r="IN941" s="42"/>
      <c r="IO941" s="42"/>
      <c r="IP941" s="42"/>
      <c r="IQ941" s="42"/>
      <c r="IR941" s="42"/>
      <c r="IS941" s="42"/>
      <c r="IT941" s="42"/>
      <c r="IU941" s="42"/>
      <c r="IV941" s="42"/>
      <c r="IW941" s="42"/>
      <c r="IX941" s="42"/>
      <c r="IY941" s="42"/>
      <c r="IZ941" s="42"/>
      <c r="JA941" s="42"/>
      <c r="JB941" s="42"/>
      <c r="JC941" s="42"/>
      <c r="JD941" s="42"/>
      <c r="JE941" s="42"/>
      <c r="JF941" s="42"/>
      <c r="JG941" s="42"/>
      <c r="JH941" s="42"/>
      <c r="JI941" s="42"/>
      <c r="JJ941" s="42"/>
      <c r="JK941" s="42"/>
      <c r="JL941" s="42"/>
      <c r="JM941" s="42"/>
      <c r="JN941" s="42"/>
      <c r="JO941" s="42"/>
      <c r="JP941" s="42"/>
      <c r="JQ941" s="42"/>
      <c r="JR941" s="42"/>
      <c r="JS941" s="42"/>
      <c r="JT941" s="42"/>
      <c r="JU941" s="42"/>
      <c r="JV941" s="42"/>
      <c r="JW941" s="42"/>
      <c r="JX941" s="42"/>
      <c r="JY941" s="42"/>
      <c r="JZ941" s="42"/>
      <c r="KA941" s="42"/>
    </row>
    <row r="942" spans="1:287" ht="12.75">
      <c r="A942" s="89"/>
      <c r="B942" s="89"/>
      <c r="J942" s="19"/>
      <c r="Q942" s="19"/>
      <c r="Y942" s="19"/>
      <c r="AF942" s="19"/>
      <c r="II942" s="42"/>
      <c r="IJ942" s="42"/>
      <c r="IK942" s="42"/>
      <c r="IL942" s="42"/>
      <c r="IM942" s="42"/>
      <c r="IN942" s="42"/>
      <c r="IO942" s="42"/>
      <c r="IP942" s="42"/>
      <c r="IQ942" s="42"/>
      <c r="IR942" s="42"/>
      <c r="IS942" s="42"/>
      <c r="IT942" s="42"/>
      <c r="IU942" s="42"/>
      <c r="IV942" s="42"/>
      <c r="IW942" s="42"/>
      <c r="IX942" s="42"/>
      <c r="IY942" s="42"/>
      <c r="IZ942" s="42"/>
      <c r="JA942" s="42"/>
      <c r="JB942" s="42"/>
      <c r="JC942" s="42"/>
      <c r="JD942" s="42"/>
      <c r="JE942" s="42"/>
      <c r="JF942" s="42"/>
      <c r="JG942" s="42"/>
      <c r="JH942" s="42"/>
      <c r="JI942" s="42"/>
      <c r="JJ942" s="42"/>
      <c r="JK942" s="42"/>
      <c r="JL942" s="42"/>
      <c r="JM942" s="42"/>
      <c r="JN942" s="42"/>
      <c r="JO942" s="42"/>
      <c r="JP942" s="42"/>
      <c r="JQ942" s="42"/>
      <c r="JR942" s="42"/>
      <c r="JS942" s="42"/>
      <c r="JT942" s="42"/>
      <c r="JU942" s="42"/>
      <c r="JV942" s="42"/>
      <c r="JW942" s="42"/>
      <c r="JX942" s="42"/>
      <c r="JY942" s="42"/>
      <c r="JZ942" s="42"/>
      <c r="KA942" s="42"/>
    </row>
    <row r="943" spans="1:287" ht="12.75">
      <c r="A943" s="89"/>
      <c r="B943" s="89"/>
      <c r="J943" s="19"/>
      <c r="Q943" s="19"/>
      <c r="Y943" s="19"/>
      <c r="AF943" s="19"/>
      <c r="II943" s="42"/>
      <c r="IJ943" s="42"/>
      <c r="IK943" s="42"/>
      <c r="IL943" s="42"/>
      <c r="IM943" s="42"/>
      <c r="IN943" s="42"/>
      <c r="IO943" s="42"/>
      <c r="IP943" s="42"/>
      <c r="IQ943" s="42"/>
      <c r="IR943" s="42"/>
      <c r="IS943" s="42"/>
      <c r="IT943" s="42"/>
      <c r="IU943" s="42"/>
      <c r="IV943" s="42"/>
      <c r="IW943" s="42"/>
      <c r="IX943" s="42"/>
      <c r="IY943" s="42"/>
      <c r="IZ943" s="42"/>
      <c r="JA943" s="42"/>
      <c r="JB943" s="42"/>
      <c r="JC943" s="42"/>
      <c r="JD943" s="42"/>
      <c r="JE943" s="42"/>
      <c r="JF943" s="42"/>
      <c r="JG943" s="42"/>
      <c r="JH943" s="42"/>
      <c r="JI943" s="42"/>
      <c r="JJ943" s="42"/>
      <c r="JK943" s="42"/>
      <c r="JL943" s="42"/>
      <c r="JM943" s="42"/>
      <c r="JN943" s="42"/>
      <c r="JO943" s="42"/>
      <c r="JP943" s="42"/>
      <c r="JQ943" s="42"/>
      <c r="JR943" s="42"/>
      <c r="JS943" s="42"/>
      <c r="JT943" s="42"/>
      <c r="JU943" s="42"/>
      <c r="JV943" s="42"/>
      <c r="JW943" s="42"/>
      <c r="JX943" s="42"/>
      <c r="JY943" s="42"/>
      <c r="JZ943" s="42"/>
      <c r="KA943" s="42"/>
    </row>
    <row r="944" spans="1:287" ht="12.75">
      <c r="A944" s="89"/>
      <c r="B944" s="89"/>
      <c r="J944" s="19"/>
      <c r="Q944" s="19"/>
      <c r="Y944" s="19"/>
      <c r="AF944" s="19"/>
      <c r="II944" s="42"/>
      <c r="IJ944" s="42"/>
      <c r="IK944" s="42"/>
      <c r="IL944" s="42"/>
      <c r="IM944" s="42"/>
      <c r="IN944" s="42"/>
      <c r="IO944" s="42"/>
      <c r="IP944" s="42"/>
      <c r="IQ944" s="42"/>
      <c r="IR944" s="42"/>
      <c r="IS944" s="42"/>
      <c r="IT944" s="42"/>
      <c r="IU944" s="42"/>
      <c r="IV944" s="42"/>
      <c r="IW944" s="42"/>
      <c r="IX944" s="42"/>
      <c r="IY944" s="42"/>
      <c r="IZ944" s="42"/>
      <c r="JA944" s="42"/>
      <c r="JB944" s="42"/>
      <c r="JC944" s="42"/>
      <c r="JD944" s="42"/>
      <c r="JE944" s="42"/>
      <c r="JF944" s="42"/>
      <c r="JG944" s="42"/>
      <c r="JH944" s="42"/>
      <c r="JI944" s="42"/>
      <c r="JJ944" s="42"/>
      <c r="JK944" s="42"/>
      <c r="JL944" s="42"/>
      <c r="JM944" s="42"/>
      <c r="JN944" s="42"/>
      <c r="JO944" s="42"/>
      <c r="JP944" s="42"/>
      <c r="JQ944" s="42"/>
      <c r="JR944" s="42"/>
      <c r="JS944" s="42"/>
      <c r="JT944" s="42"/>
      <c r="JU944" s="42"/>
      <c r="JV944" s="42"/>
      <c r="JW944" s="42"/>
      <c r="JX944" s="42"/>
      <c r="JY944" s="42"/>
      <c r="JZ944" s="42"/>
      <c r="KA944" s="42"/>
    </row>
    <row r="945" spans="1:287" ht="12.75">
      <c r="A945" s="89"/>
      <c r="B945" s="89"/>
      <c r="J945" s="19"/>
      <c r="Q945" s="19"/>
      <c r="Y945" s="19"/>
      <c r="AF945" s="19"/>
      <c r="II945" s="42"/>
      <c r="IJ945" s="42"/>
      <c r="IK945" s="42"/>
      <c r="IL945" s="42"/>
      <c r="IM945" s="42"/>
      <c r="IN945" s="42"/>
      <c r="IO945" s="42"/>
      <c r="IP945" s="42"/>
      <c r="IQ945" s="42"/>
      <c r="IR945" s="42"/>
      <c r="IS945" s="42"/>
      <c r="IT945" s="42"/>
      <c r="IU945" s="42"/>
      <c r="IV945" s="42"/>
      <c r="IW945" s="42"/>
      <c r="IX945" s="42"/>
      <c r="IY945" s="42"/>
      <c r="IZ945" s="42"/>
      <c r="JA945" s="42"/>
      <c r="JB945" s="42"/>
      <c r="JC945" s="42"/>
      <c r="JD945" s="42"/>
      <c r="JE945" s="42"/>
      <c r="JF945" s="42"/>
      <c r="JG945" s="42"/>
      <c r="JH945" s="42"/>
      <c r="JI945" s="42"/>
      <c r="JJ945" s="42"/>
      <c r="JK945" s="42"/>
      <c r="JL945" s="42"/>
      <c r="JM945" s="42"/>
      <c r="JN945" s="42"/>
      <c r="JO945" s="42"/>
      <c r="JP945" s="42"/>
      <c r="JQ945" s="42"/>
      <c r="JR945" s="42"/>
      <c r="JS945" s="42"/>
      <c r="JT945" s="42"/>
      <c r="JU945" s="42"/>
      <c r="JV945" s="42"/>
      <c r="JW945" s="42"/>
      <c r="JX945" s="42"/>
      <c r="JY945" s="42"/>
      <c r="JZ945" s="42"/>
      <c r="KA945" s="42"/>
    </row>
    <row r="946" spans="1:287" ht="12.75">
      <c r="A946" s="89"/>
      <c r="B946" s="89"/>
      <c r="J946" s="19"/>
      <c r="Q946" s="19"/>
      <c r="Y946" s="19"/>
      <c r="AF946" s="19"/>
      <c r="II946" s="42"/>
      <c r="IJ946" s="42"/>
      <c r="IK946" s="42"/>
      <c r="IL946" s="42"/>
      <c r="IM946" s="42"/>
      <c r="IN946" s="42"/>
      <c r="IO946" s="42"/>
      <c r="IP946" s="42"/>
      <c r="IQ946" s="42"/>
      <c r="IR946" s="42"/>
      <c r="IS946" s="42"/>
      <c r="IT946" s="42"/>
      <c r="IU946" s="42"/>
      <c r="IV946" s="42"/>
      <c r="IW946" s="42"/>
      <c r="IX946" s="42"/>
      <c r="IY946" s="42"/>
      <c r="IZ946" s="42"/>
      <c r="JA946" s="42"/>
      <c r="JB946" s="42"/>
      <c r="JC946" s="42"/>
      <c r="JD946" s="42"/>
      <c r="JE946" s="42"/>
      <c r="JF946" s="42"/>
      <c r="JG946" s="42"/>
      <c r="JH946" s="42"/>
      <c r="JI946" s="42"/>
      <c r="JJ946" s="42"/>
      <c r="JK946" s="42"/>
      <c r="JL946" s="42"/>
      <c r="JM946" s="42"/>
      <c r="JN946" s="42"/>
      <c r="JO946" s="42"/>
      <c r="JP946" s="42"/>
      <c r="JQ946" s="42"/>
      <c r="JR946" s="42"/>
      <c r="JS946" s="42"/>
      <c r="JT946" s="42"/>
      <c r="JU946" s="42"/>
      <c r="JV946" s="42"/>
      <c r="JW946" s="42"/>
      <c r="JX946" s="42"/>
      <c r="JY946" s="42"/>
      <c r="JZ946" s="42"/>
      <c r="KA946" s="42"/>
    </row>
    <row r="947" spans="1:287" ht="12.75">
      <c r="A947" s="89"/>
      <c r="B947" s="89"/>
      <c r="J947" s="19"/>
      <c r="Q947" s="19"/>
      <c r="Y947" s="19"/>
      <c r="AF947" s="19"/>
      <c r="II947" s="42"/>
      <c r="IJ947" s="42"/>
      <c r="IK947" s="42"/>
      <c r="IL947" s="42"/>
      <c r="IM947" s="42"/>
      <c r="IN947" s="42"/>
      <c r="IO947" s="42"/>
      <c r="IP947" s="42"/>
      <c r="IQ947" s="42"/>
      <c r="IR947" s="42"/>
      <c r="IS947" s="42"/>
      <c r="IT947" s="42"/>
      <c r="IU947" s="42"/>
      <c r="IV947" s="42"/>
      <c r="IW947" s="42"/>
      <c r="IX947" s="42"/>
      <c r="IY947" s="42"/>
      <c r="IZ947" s="42"/>
      <c r="JA947" s="42"/>
      <c r="JB947" s="42"/>
      <c r="JC947" s="42"/>
      <c r="JD947" s="42"/>
      <c r="JE947" s="42"/>
      <c r="JF947" s="42"/>
      <c r="JG947" s="42"/>
      <c r="JH947" s="42"/>
      <c r="JI947" s="42"/>
      <c r="JJ947" s="42"/>
      <c r="JK947" s="42"/>
      <c r="JL947" s="42"/>
      <c r="JM947" s="42"/>
      <c r="JN947" s="42"/>
      <c r="JO947" s="42"/>
      <c r="JP947" s="42"/>
      <c r="JQ947" s="42"/>
      <c r="JR947" s="42"/>
      <c r="JS947" s="42"/>
      <c r="JT947" s="42"/>
      <c r="JU947" s="42"/>
      <c r="JV947" s="42"/>
      <c r="JW947" s="42"/>
      <c r="JX947" s="42"/>
      <c r="JY947" s="42"/>
      <c r="JZ947" s="42"/>
      <c r="KA947" s="42"/>
    </row>
    <row r="948" spans="1:287" ht="12.75">
      <c r="A948" s="89"/>
      <c r="B948" s="89"/>
      <c r="J948" s="19"/>
      <c r="Q948" s="19"/>
      <c r="Y948" s="19"/>
      <c r="AF948" s="19"/>
      <c r="II948" s="42"/>
      <c r="IJ948" s="42"/>
      <c r="IK948" s="42"/>
      <c r="IL948" s="42"/>
      <c r="IM948" s="42"/>
      <c r="IN948" s="42"/>
      <c r="IO948" s="42"/>
      <c r="IP948" s="42"/>
      <c r="IQ948" s="42"/>
      <c r="IR948" s="42"/>
      <c r="IS948" s="42"/>
      <c r="IT948" s="42"/>
      <c r="IU948" s="42"/>
      <c r="IV948" s="42"/>
      <c r="IW948" s="42"/>
      <c r="IX948" s="42"/>
      <c r="IY948" s="42"/>
      <c r="IZ948" s="42"/>
      <c r="JA948" s="42"/>
      <c r="JB948" s="42"/>
      <c r="JC948" s="42"/>
      <c r="JD948" s="42"/>
      <c r="JE948" s="42"/>
      <c r="JF948" s="42"/>
      <c r="JG948" s="42"/>
      <c r="JH948" s="42"/>
      <c r="JI948" s="42"/>
      <c r="JJ948" s="42"/>
      <c r="JK948" s="42"/>
      <c r="JL948" s="42"/>
      <c r="JM948" s="42"/>
      <c r="JN948" s="42"/>
      <c r="JO948" s="42"/>
      <c r="JP948" s="42"/>
      <c r="JQ948" s="42"/>
      <c r="JR948" s="42"/>
      <c r="JS948" s="42"/>
      <c r="JT948" s="42"/>
      <c r="JU948" s="42"/>
      <c r="JV948" s="42"/>
      <c r="JW948" s="42"/>
      <c r="JX948" s="42"/>
      <c r="JY948" s="42"/>
      <c r="JZ948" s="42"/>
      <c r="KA948" s="42"/>
    </row>
    <row r="949" spans="1:287" ht="12.75">
      <c r="A949" s="89"/>
      <c r="B949" s="89"/>
      <c r="J949" s="19"/>
      <c r="Q949" s="19"/>
      <c r="Y949" s="19"/>
      <c r="AF949" s="19"/>
      <c r="II949" s="42"/>
      <c r="IJ949" s="42"/>
      <c r="IK949" s="42"/>
      <c r="IL949" s="42"/>
      <c r="IM949" s="42"/>
      <c r="IN949" s="42"/>
      <c r="IO949" s="42"/>
      <c r="IP949" s="42"/>
      <c r="IQ949" s="42"/>
      <c r="IR949" s="42"/>
      <c r="IS949" s="42"/>
      <c r="IT949" s="42"/>
      <c r="IU949" s="42"/>
      <c r="IV949" s="42"/>
      <c r="IW949" s="42"/>
      <c r="IX949" s="42"/>
      <c r="IY949" s="42"/>
      <c r="IZ949" s="42"/>
      <c r="JA949" s="42"/>
      <c r="JB949" s="42"/>
      <c r="JC949" s="42"/>
      <c r="JD949" s="42"/>
      <c r="JE949" s="42"/>
      <c r="JF949" s="42"/>
      <c r="JG949" s="42"/>
      <c r="JH949" s="42"/>
      <c r="JI949" s="42"/>
      <c r="JJ949" s="42"/>
      <c r="JK949" s="42"/>
      <c r="JL949" s="42"/>
      <c r="JM949" s="42"/>
      <c r="JN949" s="42"/>
      <c r="JO949" s="42"/>
      <c r="JP949" s="42"/>
      <c r="JQ949" s="42"/>
      <c r="JR949" s="42"/>
      <c r="JS949" s="42"/>
      <c r="JT949" s="42"/>
      <c r="JU949" s="42"/>
      <c r="JV949" s="42"/>
      <c r="JW949" s="42"/>
      <c r="JX949" s="42"/>
      <c r="JY949" s="42"/>
      <c r="JZ949" s="42"/>
      <c r="KA949" s="42"/>
    </row>
    <row r="950" spans="1:287" ht="12.75">
      <c r="A950" s="89"/>
      <c r="B950" s="89"/>
      <c r="J950" s="19"/>
      <c r="Q950" s="19"/>
      <c r="Y950" s="19"/>
      <c r="AF950" s="19"/>
      <c r="II950" s="42"/>
      <c r="IJ950" s="42"/>
      <c r="IK950" s="42"/>
      <c r="IL950" s="42"/>
      <c r="IM950" s="42"/>
      <c r="IN950" s="42"/>
      <c r="IO950" s="42"/>
      <c r="IP950" s="42"/>
      <c r="IQ950" s="42"/>
      <c r="IR950" s="42"/>
      <c r="IS950" s="42"/>
      <c r="IT950" s="42"/>
      <c r="IU950" s="42"/>
      <c r="IV950" s="42"/>
      <c r="IW950" s="42"/>
      <c r="IX950" s="42"/>
      <c r="IY950" s="42"/>
      <c r="IZ950" s="42"/>
      <c r="JA950" s="42"/>
      <c r="JB950" s="42"/>
      <c r="JC950" s="42"/>
      <c r="JD950" s="42"/>
      <c r="JE950" s="42"/>
      <c r="JF950" s="42"/>
      <c r="JG950" s="42"/>
      <c r="JH950" s="42"/>
      <c r="JI950" s="42"/>
      <c r="JJ950" s="42"/>
      <c r="JK950" s="42"/>
      <c r="JL950" s="42"/>
      <c r="JM950" s="42"/>
      <c r="JN950" s="42"/>
      <c r="JO950" s="42"/>
      <c r="JP950" s="42"/>
      <c r="JQ950" s="42"/>
      <c r="JR950" s="42"/>
      <c r="JS950" s="42"/>
      <c r="JT950" s="42"/>
      <c r="JU950" s="42"/>
      <c r="JV950" s="42"/>
      <c r="JW950" s="42"/>
      <c r="JX950" s="42"/>
      <c r="JY950" s="42"/>
      <c r="JZ950" s="42"/>
      <c r="KA950" s="42"/>
    </row>
    <row r="951" spans="1:287" ht="12.75">
      <c r="A951" s="89"/>
      <c r="B951" s="89"/>
      <c r="J951" s="19"/>
      <c r="Q951" s="19"/>
      <c r="Y951" s="19"/>
      <c r="AF951" s="19"/>
      <c r="II951" s="42"/>
      <c r="IJ951" s="42"/>
      <c r="IK951" s="42"/>
      <c r="IL951" s="42"/>
      <c r="IM951" s="42"/>
      <c r="IN951" s="42"/>
      <c r="IO951" s="42"/>
      <c r="IP951" s="42"/>
      <c r="IQ951" s="42"/>
      <c r="IR951" s="42"/>
      <c r="IS951" s="42"/>
      <c r="IT951" s="42"/>
      <c r="IU951" s="42"/>
      <c r="IV951" s="42"/>
      <c r="IW951" s="42"/>
      <c r="IX951" s="42"/>
      <c r="IY951" s="42"/>
      <c r="IZ951" s="42"/>
      <c r="JA951" s="42"/>
      <c r="JB951" s="42"/>
      <c r="JC951" s="42"/>
      <c r="JD951" s="42"/>
      <c r="JE951" s="42"/>
      <c r="JF951" s="42"/>
      <c r="JG951" s="42"/>
      <c r="JH951" s="42"/>
      <c r="JI951" s="42"/>
      <c r="JJ951" s="42"/>
      <c r="JK951" s="42"/>
      <c r="JL951" s="42"/>
      <c r="JM951" s="42"/>
      <c r="JN951" s="42"/>
      <c r="JO951" s="42"/>
      <c r="JP951" s="42"/>
      <c r="JQ951" s="42"/>
      <c r="JR951" s="42"/>
      <c r="JS951" s="42"/>
      <c r="JT951" s="42"/>
      <c r="JU951" s="42"/>
      <c r="JV951" s="42"/>
      <c r="JW951" s="42"/>
      <c r="JX951" s="42"/>
      <c r="JY951" s="42"/>
      <c r="JZ951" s="42"/>
      <c r="KA951" s="42"/>
    </row>
    <row r="952" spans="1:287" ht="12.75">
      <c r="A952" s="89"/>
      <c r="B952" s="89"/>
      <c r="J952" s="19"/>
      <c r="Q952" s="19"/>
      <c r="Y952" s="19"/>
      <c r="AF952" s="19"/>
      <c r="II952" s="42"/>
      <c r="IJ952" s="42"/>
      <c r="IK952" s="42"/>
      <c r="IL952" s="42"/>
      <c r="IM952" s="42"/>
      <c r="IN952" s="42"/>
      <c r="IO952" s="42"/>
      <c r="IP952" s="42"/>
      <c r="IQ952" s="42"/>
      <c r="IR952" s="42"/>
      <c r="IS952" s="42"/>
      <c r="IT952" s="42"/>
      <c r="IU952" s="42"/>
      <c r="IV952" s="42"/>
      <c r="IW952" s="42"/>
      <c r="IX952" s="42"/>
      <c r="IY952" s="42"/>
      <c r="IZ952" s="42"/>
      <c r="JA952" s="42"/>
      <c r="JB952" s="42"/>
      <c r="JC952" s="42"/>
      <c r="JD952" s="42"/>
      <c r="JE952" s="42"/>
      <c r="JF952" s="42"/>
      <c r="JG952" s="42"/>
      <c r="JH952" s="42"/>
      <c r="JI952" s="42"/>
      <c r="JJ952" s="42"/>
      <c r="JK952" s="42"/>
      <c r="JL952" s="42"/>
      <c r="JM952" s="42"/>
      <c r="JN952" s="42"/>
      <c r="JO952" s="42"/>
      <c r="JP952" s="42"/>
      <c r="JQ952" s="42"/>
      <c r="JR952" s="42"/>
      <c r="JS952" s="42"/>
      <c r="JT952" s="42"/>
      <c r="JU952" s="42"/>
      <c r="JV952" s="42"/>
      <c r="JW952" s="42"/>
      <c r="JX952" s="42"/>
      <c r="JY952" s="42"/>
      <c r="JZ952" s="42"/>
      <c r="KA952" s="42"/>
    </row>
    <row r="953" spans="1:287" ht="12.75">
      <c r="A953" s="89"/>
      <c r="B953" s="89"/>
      <c r="J953" s="19"/>
      <c r="Q953" s="19"/>
      <c r="Y953" s="19"/>
      <c r="AF953" s="19"/>
      <c r="II953" s="42"/>
      <c r="IJ953" s="42"/>
      <c r="IK953" s="42"/>
      <c r="IL953" s="42"/>
      <c r="IM953" s="42"/>
      <c r="IN953" s="42"/>
      <c r="IO953" s="42"/>
      <c r="IP953" s="42"/>
      <c r="IQ953" s="42"/>
      <c r="IR953" s="42"/>
      <c r="IS953" s="42"/>
      <c r="IT953" s="42"/>
      <c r="IU953" s="42"/>
      <c r="IV953" s="42"/>
      <c r="IW953" s="42"/>
      <c r="IX953" s="42"/>
      <c r="IY953" s="42"/>
      <c r="IZ953" s="42"/>
      <c r="JA953" s="42"/>
      <c r="JB953" s="42"/>
      <c r="JC953" s="42"/>
      <c r="JD953" s="42"/>
      <c r="JE953" s="42"/>
      <c r="JF953" s="42"/>
      <c r="JG953" s="42"/>
      <c r="JH953" s="42"/>
      <c r="JI953" s="42"/>
      <c r="JJ953" s="42"/>
      <c r="JK953" s="42"/>
      <c r="JL953" s="42"/>
      <c r="JM953" s="42"/>
      <c r="JN953" s="42"/>
      <c r="JO953" s="42"/>
      <c r="JP953" s="42"/>
      <c r="JQ953" s="42"/>
      <c r="JR953" s="42"/>
      <c r="JS953" s="42"/>
      <c r="JT953" s="42"/>
      <c r="JU953" s="42"/>
      <c r="JV953" s="42"/>
      <c r="JW953" s="42"/>
      <c r="JX953" s="42"/>
      <c r="JY953" s="42"/>
      <c r="JZ953" s="42"/>
      <c r="KA953" s="42"/>
    </row>
    <row r="954" spans="1:287" ht="12.75">
      <c r="A954" s="89"/>
      <c r="B954" s="89"/>
      <c r="J954" s="19"/>
      <c r="Q954" s="19"/>
      <c r="Y954" s="19"/>
      <c r="AF954" s="19"/>
      <c r="II954" s="42"/>
      <c r="IJ954" s="42"/>
      <c r="IK954" s="42"/>
      <c r="IL954" s="42"/>
      <c r="IM954" s="42"/>
      <c r="IN954" s="42"/>
      <c r="IO954" s="42"/>
      <c r="IP954" s="42"/>
      <c r="IQ954" s="42"/>
      <c r="IR954" s="42"/>
      <c r="IS954" s="42"/>
      <c r="IT954" s="42"/>
      <c r="IU954" s="42"/>
      <c r="IV954" s="42"/>
      <c r="IW954" s="42"/>
      <c r="IX954" s="42"/>
      <c r="IY954" s="42"/>
      <c r="IZ954" s="42"/>
      <c r="JA954" s="42"/>
      <c r="JB954" s="42"/>
      <c r="JC954" s="42"/>
      <c r="JD954" s="42"/>
      <c r="JE954" s="42"/>
      <c r="JF954" s="42"/>
      <c r="JG954" s="42"/>
      <c r="JH954" s="42"/>
      <c r="JI954" s="42"/>
      <c r="JJ954" s="42"/>
      <c r="JK954" s="42"/>
      <c r="JL954" s="42"/>
      <c r="JM954" s="42"/>
      <c r="JN954" s="42"/>
      <c r="JO954" s="42"/>
      <c r="JP954" s="42"/>
      <c r="JQ954" s="42"/>
      <c r="JR954" s="42"/>
      <c r="JS954" s="42"/>
      <c r="JT954" s="42"/>
      <c r="JU954" s="42"/>
      <c r="JV954" s="42"/>
      <c r="JW954" s="42"/>
      <c r="JX954" s="42"/>
      <c r="JY954" s="42"/>
      <c r="JZ954" s="42"/>
      <c r="KA954" s="42"/>
    </row>
    <row r="955" spans="1:287" ht="12.75">
      <c r="A955" s="89"/>
      <c r="B955" s="89"/>
      <c r="J955" s="19"/>
      <c r="Q955" s="19"/>
      <c r="Y955" s="19"/>
      <c r="AF955" s="19"/>
      <c r="II955" s="42"/>
      <c r="IJ955" s="42"/>
      <c r="IK955" s="42"/>
      <c r="IL955" s="42"/>
      <c r="IM955" s="42"/>
      <c r="IN955" s="42"/>
      <c r="IO955" s="42"/>
      <c r="IP955" s="42"/>
      <c r="IQ955" s="42"/>
      <c r="IR955" s="42"/>
      <c r="IS955" s="42"/>
      <c r="IT955" s="42"/>
      <c r="IU955" s="42"/>
      <c r="IV955" s="42"/>
      <c r="IW955" s="42"/>
      <c r="IX955" s="42"/>
      <c r="IY955" s="42"/>
      <c r="IZ955" s="42"/>
      <c r="JA955" s="42"/>
      <c r="JB955" s="42"/>
      <c r="JC955" s="42"/>
      <c r="JD955" s="42"/>
      <c r="JE955" s="42"/>
      <c r="JF955" s="42"/>
      <c r="JG955" s="42"/>
      <c r="JH955" s="42"/>
      <c r="JI955" s="42"/>
      <c r="JJ955" s="42"/>
      <c r="JK955" s="42"/>
      <c r="JL955" s="42"/>
      <c r="JM955" s="42"/>
      <c r="JN955" s="42"/>
      <c r="JO955" s="42"/>
      <c r="JP955" s="42"/>
      <c r="JQ955" s="42"/>
      <c r="JR955" s="42"/>
      <c r="JS955" s="42"/>
      <c r="JT955" s="42"/>
      <c r="JU955" s="42"/>
      <c r="JV955" s="42"/>
      <c r="JW955" s="42"/>
      <c r="JX955" s="42"/>
      <c r="JY955" s="42"/>
      <c r="JZ955" s="42"/>
      <c r="KA955" s="42"/>
    </row>
    <row r="956" spans="1:287" ht="12.75">
      <c r="A956" s="89"/>
      <c r="B956" s="89"/>
      <c r="J956" s="19"/>
      <c r="Q956" s="19"/>
      <c r="Y956" s="19"/>
      <c r="AF956" s="19"/>
      <c r="II956" s="42"/>
      <c r="IJ956" s="42"/>
      <c r="IK956" s="42"/>
      <c r="IL956" s="42"/>
      <c r="IM956" s="42"/>
      <c r="IN956" s="42"/>
      <c r="IO956" s="42"/>
      <c r="IP956" s="42"/>
      <c r="IQ956" s="42"/>
      <c r="IR956" s="42"/>
      <c r="IS956" s="42"/>
      <c r="IT956" s="42"/>
      <c r="IU956" s="42"/>
      <c r="IV956" s="42"/>
      <c r="IW956" s="42"/>
      <c r="IX956" s="42"/>
      <c r="IY956" s="42"/>
      <c r="IZ956" s="42"/>
      <c r="JA956" s="42"/>
      <c r="JB956" s="42"/>
      <c r="JC956" s="42"/>
      <c r="JD956" s="42"/>
      <c r="JE956" s="42"/>
      <c r="JF956" s="42"/>
      <c r="JG956" s="42"/>
      <c r="JH956" s="42"/>
      <c r="JI956" s="42"/>
      <c r="JJ956" s="42"/>
      <c r="JK956" s="42"/>
      <c r="JL956" s="42"/>
      <c r="JM956" s="42"/>
      <c r="JN956" s="42"/>
      <c r="JO956" s="42"/>
      <c r="JP956" s="42"/>
      <c r="JQ956" s="42"/>
      <c r="JR956" s="42"/>
      <c r="JS956" s="42"/>
      <c r="JT956" s="42"/>
      <c r="JU956" s="42"/>
      <c r="JV956" s="42"/>
      <c r="JW956" s="42"/>
      <c r="JX956" s="42"/>
      <c r="JY956" s="42"/>
      <c r="JZ956" s="42"/>
      <c r="KA956" s="42"/>
    </row>
    <row r="957" spans="1:287" ht="12.75">
      <c r="A957" s="89"/>
      <c r="B957" s="89"/>
      <c r="J957" s="19"/>
      <c r="Q957" s="19"/>
      <c r="Y957" s="19"/>
      <c r="AF957" s="19"/>
      <c r="II957" s="42"/>
      <c r="IJ957" s="42"/>
      <c r="IK957" s="42"/>
      <c r="IL957" s="42"/>
      <c r="IM957" s="42"/>
      <c r="IN957" s="42"/>
      <c r="IO957" s="42"/>
      <c r="IP957" s="42"/>
      <c r="IQ957" s="42"/>
      <c r="IR957" s="42"/>
      <c r="IS957" s="42"/>
      <c r="IT957" s="42"/>
      <c r="IU957" s="42"/>
      <c r="IV957" s="42"/>
      <c r="IW957" s="42"/>
      <c r="IX957" s="42"/>
      <c r="IY957" s="42"/>
      <c r="IZ957" s="42"/>
      <c r="JA957" s="42"/>
      <c r="JB957" s="42"/>
      <c r="JC957" s="42"/>
      <c r="JD957" s="42"/>
      <c r="JE957" s="42"/>
      <c r="JF957" s="42"/>
      <c r="JG957" s="42"/>
      <c r="JH957" s="42"/>
      <c r="JI957" s="42"/>
      <c r="JJ957" s="42"/>
      <c r="JK957" s="42"/>
      <c r="JL957" s="42"/>
      <c r="JM957" s="42"/>
      <c r="JN957" s="42"/>
      <c r="JO957" s="42"/>
      <c r="JP957" s="42"/>
      <c r="JQ957" s="42"/>
      <c r="JR957" s="42"/>
      <c r="JS957" s="42"/>
      <c r="JT957" s="42"/>
      <c r="JU957" s="42"/>
      <c r="JV957" s="42"/>
      <c r="JW957" s="42"/>
      <c r="JX957" s="42"/>
      <c r="JY957" s="42"/>
      <c r="JZ957" s="42"/>
      <c r="KA957" s="42"/>
    </row>
    <row r="958" spans="1:287" ht="12.75">
      <c r="A958" s="89"/>
      <c r="B958" s="89"/>
      <c r="J958" s="19"/>
      <c r="Q958" s="19"/>
      <c r="Y958" s="19"/>
      <c r="AF958" s="19"/>
      <c r="II958" s="42"/>
      <c r="IJ958" s="42"/>
      <c r="IK958" s="42"/>
      <c r="IL958" s="42"/>
      <c r="IM958" s="42"/>
      <c r="IN958" s="42"/>
      <c r="IO958" s="42"/>
      <c r="IP958" s="42"/>
      <c r="IQ958" s="42"/>
      <c r="IR958" s="42"/>
      <c r="IS958" s="42"/>
      <c r="IT958" s="42"/>
      <c r="IU958" s="42"/>
      <c r="IV958" s="42"/>
      <c r="IW958" s="42"/>
      <c r="IX958" s="42"/>
      <c r="IY958" s="42"/>
      <c r="IZ958" s="42"/>
      <c r="JA958" s="42"/>
      <c r="JB958" s="42"/>
      <c r="JC958" s="42"/>
      <c r="JD958" s="42"/>
      <c r="JE958" s="42"/>
      <c r="JF958" s="42"/>
      <c r="JG958" s="42"/>
      <c r="JH958" s="42"/>
      <c r="JI958" s="42"/>
      <c r="JJ958" s="42"/>
      <c r="JK958" s="42"/>
      <c r="JL958" s="42"/>
      <c r="JM958" s="42"/>
      <c r="JN958" s="42"/>
      <c r="JO958" s="42"/>
      <c r="JP958" s="42"/>
      <c r="JQ958" s="42"/>
      <c r="JR958" s="42"/>
      <c r="JS958" s="42"/>
      <c r="JT958" s="42"/>
      <c r="JU958" s="42"/>
      <c r="JV958" s="42"/>
      <c r="JW958" s="42"/>
      <c r="JX958" s="42"/>
      <c r="JY958" s="42"/>
      <c r="JZ958" s="42"/>
      <c r="KA958" s="42"/>
    </row>
    <row r="959" spans="1:287" ht="12.75">
      <c r="A959" s="89"/>
      <c r="B959" s="89"/>
      <c r="J959" s="19"/>
      <c r="Q959" s="19"/>
      <c r="Y959" s="19"/>
      <c r="AF959" s="19"/>
      <c r="II959" s="42"/>
      <c r="IJ959" s="42"/>
      <c r="IK959" s="42"/>
      <c r="IL959" s="42"/>
      <c r="IM959" s="42"/>
      <c r="IN959" s="42"/>
      <c r="IO959" s="42"/>
      <c r="IP959" s="42"/>
      <c r="IQ959" s="42"/>
      <c r="IR959" s="42"/>
      <c r="IS959" s="42"/>
      <c r="IT959" s="42"/>
      <c r="IU959" s="42"/>
      <c r="IV959" s="42"/>
      <c r="IW959" s="42"/>
      <c r="IX959" s="42"/>
      <c r="IY959" s="42"/>
      <c r="IZ959" s="42"/>
      <c r="JA959" s="42"/>
      <c r="JB959" s="42"/>
      <c r="JC959" s="42"/>
      <c r="JD959" s="42"/>
      <c r="JE959" s="42"/>
      <c r="JF959" s="42"/>
      <c r="JG959" s="42"/>
      <c r="JH959" s="42"/>
      <c r="JI959" s="42"/>
      <c r="JJ959" s="42"/>
      <c r="JK959" s="42"/>
      <c r="JL959" s="42"/>
      <c r="JM959" s="42"/>
      <c r="JN959" s="42"/>
      <c r="JO959" s="42"/>
      <c r="JP959" s="42"/>
      <c r="JQ959" s="42"/>
      <c r="JR959" s="42"/>
      <c r="JS959" s="42"/>
      <c r="JT959" s="42"/>
      <c r="JU959" s="42"/>
      <c r="JV959" s="42"/>
      <c r="JW959" s="42"/>
      <c r="JX959" s="42"/>
      <c r="JY959" s="42"/>
      <c r="JZ959" s="42"/>
      <c r="KA959" s="42"/>
    </row>
    <row r="960" spans="1:287" ht="12.75">
      <c r="A960" s="89"/>
      <c r="B960" s="89"/>
      <c r="J960" s="19"/>
      <c r="Q960" s="19"/>
      <c r="Y960" s="19"/>
      <c r="AF960" s="19"/>
      <c r="II960" s="42"/>
      <c r="IJ960" s="42"/>
      <c r="IK960" s="42"/>
      <c r="IL960" s="42"/>
      <c r="IM960" s="42"/>
      <c r="IN960" s="42"/>
      <c r="IO960" s="42"/>
      <c r="IP960" s="42"/>
      <c r="IQ960" s="42"/>
      <c r="IR960" s="42"/>
      <c r="IS960" s="42"/>
      <c r="IT960" s="42"/>
      <c r="IU960" s="42"/>
      <c r="IV960" s="42"/>
      <c r="IW960" s="42"/>
      <c r="IX960" s="42"/>
      <c r="IY960" s="42"/>
      <c r="IZ960" s="42"/>
      <c r="JA960" s="42"/>
      <c r="JB960" s="42"/>
      <c r="JC960" s="42"/>
      <c r="JD960" s="42"/>
      <c r="JE960" s="42"/>
      <c r="JF960" s="42"/>
      <c r="JG960" s="42"/>
      <c r="JH960" s="42"/>
      <c r="JI960" s="42"/>
      <c r="JJ960" s="42"/>
      <c r="JK960" s="42"/>
      <c r="JL960" s="42"/>
      <c r="JM960" s="42"/>
      <c r="JN960" s="42"/>
      <c r="JO960" s="42"/>
      <c r="JP960" s="42"/>
      <c r="JQ960" s="42"/>
      <c r="JR960" s="42"/>
      <c r="JS960" s="42"/>
      <c r="JT960" s="42"/>
      <c r="JU960" s="42"/>
      <c r="JV960" s="42"/>
      <c r="JW960" s="42"/>
      <c r="JX960" s="42"/>
      <c r="JY960" s="42"/>
      <c r="JZ960" s="42"/>
      <c r="KA960" s="42"/>
    </row>
    <row r="961" spans="1:287" ht="12.75">
      <c r="A961" s="89"/>
      <c r="B961" s="89"/>
      <c r="J961" s="19"/>
      <c r="Q961" s="19"/>
      <c r="Y961" s="19"/>
      <c r="AF961" s="19"/>
      <c r="II961" s="42"/>
      <c r="IJ961" s="42"/>
      <c r="IK961" s="42"/>
      <c r="IL961" s="42"/>
      <c r="IM961" s="42"/>
      <c r="IN961" s="42"/>
      <c r="IO961" s="42"/>
      <c r="IP961" s="42"/>
      <c r="IQ961" s="42"/>
      <c r="IR961" s="42"/>
      <c r="IS961" s="42"/>
      <c r="IT961" s="42"/>
      <c r="IU961" s="42"/>
      <c r="IV961" s="42"/>
      <c r="IW961" s="42"/>
      <c r="IX961" s="42"/>
      <c r="IY961" s="42"/>
      <c r="IZ961" s="42"/>
      <c r="JA961" s="42"/>
      <c r="JB961" s="42"/>
      <c r="JC961" s="42"/>
      <c r="JD961" s="42"/>
      <c r="JE961" s="42"/>
      <c r="JF961" s="42"/>
      <c r="JG961" s="42"/>
      <c r="JH961" s="42"/>
      <c r="JI961" s="42"/>
      <c r="JJ961" s="42"/>
      <c r="JK961" s="42"/>
      <c r="JL961" s="42"/>
      <c r="JM961" s="42"/>
      <c r="JN961" s="42"/>
      <c r="JO961" s="42"/>
      <c r="JP961" s="42"/>
      <c r="JQ961" s="42"/>
      <c r="JR961" s="42"/>
      <c r="JS961" s="42"/>
      <c r="JT961" s="42"/>
      <c r="JU961" s="42"/>
      <c r="JV961" s="42"/>
      <c r="JW961" s="42"/>
      <c r="JX961" s="42"/>
      <c r="JY961" s="42"/>
      <c r="JZ961" s="42"/>
      <c r="KA961" s="42"/>
    </row>
    <row r="962" spans="1:287" ht="12.75">
      <c r="A962" s="89"/>
      <c r="B962" s="89"/>
      <c r="J962" s="19"/>
      <c r="Q962" s="19"/>
      <c r="Y962" s="19"/>
      <c r="AF962" s="19"/>
      <c r="II962" s="42"/>
      <c r="IJ962" s="42"/>
      <c r="IK962" s="42"/>
      <c r="IL962" s="42"/>
      <c r="IM962" s="42"/>
      <c r="IN962" s="42"/>
      <c r="IO962" s="42"/>
      <c r="IP962" s="42"/>
      <c r="IQ962" s="42"/>
      <c r="IR962" s="42"/>
      <c r="IS962" s="42"/>
      <c r="IT962" s="42"/>
      <c r="IU962" s="42"/>
      <c r="IV962" s="42"/>
      <c r="IW962" s="42"/>
      <c r="IX962" s="42"/>
      <c r="IY962" s="42"/>
      <c r="IZ962" s="42"/>
      <c r="JA962" s="42"/>
      <c r="JB962" s="42"/>
      <c r="JC962" s="42"/>
      <c r="JD962" s="42"/>
      <c r="JE962" s="42"/>
      <c r="JF962" s="42"/>
      <c r="JG962" s="42"/>
      <c r="JH962" s="42"/>
      <c r="JI962" s="42"/>
      <c r="JJ962" s="42"/>
      <c r="JK962" s="42"/>
      <c r="JL962" s="42"/>
      <c r="JM962" s="42"/>
      <c r="JN962" s="42"/>
      <c r="JO962" s="42"/>
      <c r="JP962" s="42"/>
      <c r="JQ962" s="42"/>
      <c r="JR962" s="42"/>
      <c r="JS962" s="42"/>
      <c r="JT962" s="42"/>
      <c r="JU962" s="42"/>
      <c r="JV962" s="42"/>
      <c r="JW962" s="42"/>
      <c r="JX962" s="42"/>
      <c r="JY962" s="42"/>
      <c r="JZ962" s="42"/>
      <c r="KA962" s="42"/>
    </row>
    <row r="963" spans="1:287" ht="12.75">
      <c r="A963" s="89"/>
      <c r="B963" s="89"/>
      <c r="J963" s="19"/>
      <c r="Q963" s="19"/>
      <c r="Y963" s="19"/>
      <c r="AF963" s="19"/>
      <c r="II963" s="42"/>
      <c r="IJ963" s="42"/>
      <c r="IK963" s="42"/>
      <c r="IL963" s="42"/>
      <c r="IM963" s="42"/>
      <c r="IN963" s="42"/>
      <c r="IO963" s="42"/>
      <c r="IP963" s="42"/>
      <c r="IQ963" s="42"/>
      <c r="IR963" s="42"/>
      <c r="IS963" s="42"/>
      <c r="IT963" s="42"/>
      <c r="IU963" s="42"/>
      <c r="IV963" s="42"/>
      <c r="IW963" s="42"/>
      <c r="IX963" s="42"/>
      <c r="IY963" s="42"/>
      <c r="IZ963" s="42"/>
      <c r="JA963" s="42"/>
      <c r="JB963" s="42"/>
      <c r="JC963" s="42"/>
      <c r="JD963" s="42"/>
      <c r="JE963" s="42"/>
      <c r="JF963" s="42"/>
      <c r="JG963" s="42"/>
      <c r="JH963" s="42"/>
      <c r="JI963" s="42"/>
      <c r="JJ963" s="42"/>
      <c r="JK963" s="42"/>
      <c r="JL963" s="42"/>
      <c r="JM963" s="42"/>
      <c r="JN963" s="42"/>
      <c r="JO963" s="42"/>
      <c r="JP963" s="42"/>
      <c r="JQ963" s="42"/>
      <c r="JR963" s="42"/>
      <c r="JS963" s="42"/>
      <c r="JT963" s="42"/>
      <c r="JU963" s="42"/>
      <c r="JV963" s="42"/>
      <c r="JW963" s="42"/>
      <c r="JX963" s="42"/>
      <c r="JY963" s="42"/>
      <c r="JZ963" s="42"/>
      <c r="KA963" s="42"/>
    </row>
    <row r="964" spans="1:287" ht="12.75">
      <c r="A964" s="89"/>
      <c r="B964" s="89"/>
      <c r="J964" s="19"/>
      <c r="Q964" s="19"/>
      <c r="Y964" s="19"/>
      <c r="AF964" s="19"/>
      <c r="II964" s="42"/>
      <c r="IJ964" s="42"/>
      <c r="IK964" s="42"/>
      <c r="IL964" s="42"/>
      <c r="IM964" s="42"/>
      <c r="IN964" s="42"/>
      <c r="IO964" s="42"/>
      <c r="IP964" s="42"/>
      <c r="IQ964" s="42"/>
      <c r="IR964" s="42"/>
      <c r="IS964" s="42"/>
      <c r="IT964" s="42"/>
      <c r="IU964" s="42"/>
      <c r="IV964" s="42"/>
      <c r="IW964" s="42"/>
      <c r="IX964" s="42"/>
      <c r="IY964" s="42"/>
      <c r="IZ964" s="42"/>
      <c r="JA964" s="42"/>
      <c r="JB964" s="42"/>
      <c r="JC964" s="42"/>
      <c r="JD964" s="42"/>
      <c r="JE964" s="42"/>
      <c r="JF964" s="42"/>
      <c r="JG964" s="42"/>
      <c r="JH964" s="42"/>
      <c r="JI964" s="42"/>
      <c r="JJ964" s="42"/>
      <c r="JK964" s="42"/>
      <c r="JL964" s="42"/>
      <c r="JM964" s="42"/>
      <c r="JN964" s="42"/>
      <c r="JO964" s="42"/>
      <c r="JP964" s="42"/>
      <c r="JQ964" s="42"/>
      <c r="JR964" s="42"/>
      <c r="JS964" s="42"/>
      <c r="JT964" s="42"/>
      <c r="JU964" s="42"/>
      <c r="JV964" s="42"/>
      <c r="JW964" s="42"/>
      <c r="JX964" s="42"/>
      <c r="JY964" s="42"/>
      <c r="JZ964" s="42"/>
      <c r="KA964" s="42"/>
    </row>
    <row r="965" spans="1:287" ht="12.75">
      <c r="A965" s="89"/>
      <c r="B965" s="89"/>
      <c r="J965" s="19"/>
      <c r="Q965" s="19"/>
      <c r="Y965" s="19"/>
      <c r="AF965" s="19"/>
      <c r="II965" s="42"/>
      <c r="IJ965" s="42"/>
      <c r="IK965" s="42"/>
      <c r="IL965" s="42"/>
      <c r="IM965" s="42"/>
      <c r="IN965" s="42"/>
      <c r="IO965" s="42"/>
      <c r="IP965" s="42"/>
      <c r="IQ965" s="42"/>
      <c r="IR965" s="42"/>
      <c r="IS965" s="42"/>
      <c r="IT965" s="42"/>
      <c r="IU965" s="42"/>
      <c r="IV965" s="42"/>
      <c r="IW965" s="42"/>
      <c r="IX965" s="42"/>
      <c r="IY965" s="42"/>
      <c r="IZ965" s="42"/>
      <c r="JA965" s="42"/>
      <c r="JB965" s="42"/>
      <c r="JC965" s="42"/>
      <c r="JD965" s="42"/>
      <c r="JE965" s="42"/>
      <c r="JF965" s="42"/>
      <c r="JG965" s="42"/>
      <c r="JH965" s="42"/>
      <c r="JI965" s="42"/>
      <c r="JJ965" s="42"/>
      <c r="JK965" s="42"/>
      <c r="JL965" s="42"/>
      <c r="JM965" s="42"/>
      <c r="JN965" s="42"/>
      <c r="JO965" s="42"/>
      <c r="JP965" s="42"/>
      <c r="JQ965" s="42"/>
      <c r="JR965" s="42"/>
      <c r="JS965" s="42"/>
      <c r="JT965" s="42"/>
      <c r="JU965" s="42"/>
      <c r="JV965" s="42"/>
      <c r="JW965" s="42"/>
      <c r="JX965" s="42"/>
      <c r="JY965" s="42"/>
      <c r="JZ965" s="42"/>
      <c r="KA965" s="42"/>
    </row>
    <row r="966" spans="1:287" ht="12.75">
      <c r="A966" s="89"/>
      <c r="B966" s="89"/>
      <c r="J966" s="19"/>
      <c r="Q966" s="19"/>
      <c r="Y966" s="19"/>
      <c r="AF966" s="19"/>
      <c r="II966" s="42"/>
      <c r="IJ966" s="42"/>
      <c r="IK966" s="42"/>
      <c r="IL966" s="42"/>
      <c r="IM966" s="42"/>
      <c r="IN966" s="42"/>
      <c r="IO966" s="42"/>
      <c r="IP966" s="42"/>
      <c r="IQ966" s="42"/>
      <c r="IR966" s="42"/>
      <c r="IS966" s="42"/>
      <c r="IT966" s="42"/>
      <c r="IU966" s="42"/>
      <c r="IV966" s="42"/>
      <c r="IW966" s="42"/>
      <c r="IX966" s="42"/>
      <c r="IY966" s="42"/>
      <c r="IZ966" s="42"/>
      <c r="JA966" s="42"/>
      <c r="JB966" s="42"/>
      <c r="JC966" s="42"/>
      <c r="JD966" s="42"/>
      <c r="JE966" s="42"/>
      <c r="JF966" s="42"/>
      <c r="JG966" s="42"/>
      <c r="JH966" s="42"/>
      <c r="JI966" s="42"/>
      <c r="JJ966" s="42"/>
      <c r="JK966" s="42"/>
      <c r="JL966" s="42"/>
      <c r="JM966" s="42"/>
      <c r="JN966" s="42"/>
      <c r="JO966" s="42"/>
      <c r="JP966" s="42"/>
      <c r="JQ966" s="42"/>
      <c r="JR966" s="42"/>
      <c r="JS966" s="42"/>
      <c r="JT966" s="42"/>
      <c r="JU966" s="42"/>
      <c r="JV966" s="42"/>
      <c r="JW966" s="42"/>
      <c r="JX966" s="42"/>
      <c r="JY966" s="42"/>
      <c r="JZ966" s="42"/>
      <c r="KA966" s="42"/>
    </row>
    <row r="967" spans="1:287" ht="12.75">
      <c r="A967" s="89"/>
      <c r="B967" s="89"/>
      <c r="J967" s="19"/>
      <c r="Q967" s="19"/>
      <c r="Y967" s="19"/>
      <c r="AF967" s="19"/>
      <c r="II967" s="42"/>
      <c r="IJ967" s="42"/>
      <c r="IK967" s="42"/>
      <c r="IL967" s="42"/>
      <c r="IM967" s="42"/>
      <c r="IN967" s="42"/>
      <c r="IO967" s="42"/>
      <c r="IP967" s="42"/>
      <c r="IQ967" s="42"/>
      <c r="IR967" s="42"/>
      <c r="IS967" s="42"/>
      <c r="IT967" s="42"/>
      <c r="IU967" s="42"/>
      <c r="IV967" s="42"/>
      <c r="IW967" s="42"/>
      <c r="IX967" s="42"/>
      <c r="IY967" s="42"/>
      <c r="IZ967" s="42"/>
      <c r="JA967" s="42"/>
      <c r="JB967" s="42"/>
      <c r="JC967" s="42"/>
      <c r="JD967" s="42"/>
      <c r="JE967" s="42"/>
      <c r="JF967" s="42"/>
      <c r="JG967" s="42"/>
      <c r="JH967" s="42"/>
      <c r="JI967" s="42"/>
      <c r="JJ967" s="42"/>
      <c r="JK967" s="42"/>
      <c r="JL967" s="42"/>
      <c r="JM967" s="42"/>
      <c r="JN967" s="42"/>
      <c r="JO967" s="42"/>
      <c r="JP967" s="42"/>
      <c r="JQ967" s="42"/>
      <c r="JR967" s="42"/>
      <c r="JS967" s="42"/>
      <c r="JT967" s="42"/>
      <c r="JU967" s="42"/>
      <c r="JV967" s="42"/>
      <c r="JW967" s="42"/>
      <c r="JX967" s="42"/>
      <c r="JY967" s="42"/>
      <c r="JZ967" s="42"/>
      <c r="KA967" s="42"/>
    </row>
    <row r="968" spans="1:287" ht="12.75">
      <c r="A968" s="89"/>
      <c r="B968" s="89"/>
      <c r="J968" s="19"/>
      <c r="Q968" s="19"/>
      <c r="Y968" s="19"/>
      <c r="AF968" s="19"/>
      <c r="II968" s="42"/>
      <c r="IJ968" s="42"/>
      <c r="IK968" s="42"/>
      <c r="IL968" s="42"/>
      <c r="IM968" s="42"/>
      <c r="IN968" s="42"/>
      <c r="IO968" s="42"/>
      <c r="IP968" s="42"/>
      <c r="IQ968" s="42"/>
      <c r="IR968" s="42"/>
      <c r="IS968" s="42"/>
      <c r="IT968" s="42"/>
      <c r="IU968" s="42"/>
      <c r="IV968" s="42"/>
      <c r="IW968" s="42"/>
      <c r="IX968" s="42"/>
      <c r="IY968" s="42"/>
      <c r="IZ968" s="42"/>
      <c r="JA968" s="42"/>
      <c r="JB968" s="42"/>
      <c r="JC968" s="42"/>
      <c r="JD968" s="42"/>
      <c r="JE968" s="42"/>
      <c r="JF968" s="42"/>
      <c r="JG968" s="42"/>
      <c r="JH968" s="42"/>
      <c r="JI968" s="42"/>
      <c r="JJ968" s="42"/>
      <c r="JK968" s="42"/>
      <c r="JL968" s="42"/>
      <c r="JM968" s="42"/>
      <c r="JN968" s="42"/>
      <c r="JO968" s="42"/>
      <c r="JP968" s="42"/>
      <c r="JQ968" s="42"/>
      <c r="JR968" s="42"/>
      <c r="JS968" s="42"/>
      <c r="JT968" s="42"/>
      <c r="JU968" s="42"/>
      <c r="JV968" s="42"/>
      <c r="JW968" s="42"/>
      <c r="JX968" s="42"/>
      <c r="JY968" s="42"/>
      <c r="JZ968" s="42"/>
      <c r="KA968" s="42"/>
    </row>
    <row r="969" spans="1:287" ht="12.75">
      <c r="A969" s="89"/>
      <c r="B969" s="89"/>
      <c r="J969" s="19"/>
      <c r="Q969" s="19"/>
      <c r="Y969" s="19"/>
      <c r="AF969" s="19"/>
      <c r="II969" s="42"/>
      <c r="IJ969" s="42"/>
      <c r="IK969" s="42"/>
      <c r="IL969" s="42"/>
      <c r="IM969" s="42"/>
      <c r="IN969" s="42"/>
      <c r="IO969" s="42"/>
      <c r="IP969" s="42"/>
      <c r="IQ969" s="42"/>
      <c r="IR969" s="42"/>
      <c r="IS969" s="42"/>
      <c r="IT969" s="42"/>
      <c r="IU969" s="42"/>
      <c r="IV969" s="42"/>
      <c r="IW969" s="42"/>
      <c r="IX969" s="42"/>
      <c r="IY969" s="42"/>
      <c r="IZ969" s="42"/>
      <c r="JA969" s="42"/>
      <c r="JB969" s="42"/>
      <c r="JC969" s="42"/>
      <c r="JD969" s="42"/>
      <c r="JE969" s="42"/>
      <c r="JF969" s="42"/>
      <c r="JG969" s="42"/>
      <c r="JH969" s="42"/>
      <c r="JI969" s="42"/>
      <c r="JJ969" s="42"/>
      <c r="JK969" s="42"/>
      <c r="JL969" s="42"/>
      <c r="JM969" s="42"/>
      <c r="JN969" s="42"/>
      <c r="JO969" s="42"/>
      <c r="JP969" s="42"/>
      <c r="JQ969" s="42"/>
      <c r="JR969" s="42"/>
      <c r="JS969" s="42"/>
      <c r="JT969" s="42"/>
      <c r="JU969" s="42"/>
      <c r="JV969" s="42"/>
      <c r="JW969" s="42"/>
      <c r="JX969" s="42"/>
      <c r="JY969" s="42"/>
      <c r="JZ969" s="42"/>
      <c r="KA969" s="42"/>
    </row>
    <row r="970" spans="1:287" ht="12.75">
      <c r="A970" s="89"/>
      <c r="B970" s="89"/>
      <c r="J970" s="19"/>
      <c r="Q970" s="19"/>
      <c r="Y970" s="19"/>
      <c r="AF970" s="19"/>
      <c r="II970" s="42"/>
      <c r="IJ970" s="42"/>
      <c r="IK970" s="42"/>
      <c r="IL970" s="42"/>
      <c r="IM970" s="42"/>
      <c r="IN970" s="42"/>
      <c r="IO970" s="42"/>
      <c r="IP970" s="42"/>
      <c r="IQ970" s="42"/>
      <c r="IR970" s="42"/>
      <c r="IS970" s="42"/>
      <c r="IT970" s="42"/>
      <c r="IU970" s="42"/>
      <c r="IV970" s="42"/>
      <c r="IW970" s="42"/>
      <c r="IX970" s="42"/>
      <c r="IY970" s="42"/>
      <c r="IZ970" s="42"/>
      <c r="JA970" s="42"/>
      <c r="JB970" s="42"/>
      <c r="JC970" s="42"/>
      <c r="JD970" s="42"/>
      <c r="JE970" s="42"/>
      <c r="JF970" s="42"/>
      <c r="JG970" s="42"/>
      <c r="JH970" s="42"/>
      <c r="JI970" s="42"/>
      <c r="JJ970" s="42"/>
      <c r="JK970" s="42"/>
      <c r="JL970" s="42"/>
      <c r="JM970" s="42"/>
      <c r="JN970" s="42"/>
      <c r="JO970" s="42"/>
      <c r="JP970" s="42"/>
      <c r="JQ970" s="42"/>
      <c r="JR970" s="42"/>
      <c r="JS970" s="42"/>
      <c r="JT970" s="42"/>
      <c r="JU970" s="42"/>
      <c r="JV970" s="42"/>
      <c r="JW970" s="42"/>
      <c r="JX970" s="42"/>
      <c r="JY970" s="42"/>
      <c r="JZ970" s="42"/>
      <c r="KA970" s="42"/>
    </row>
    <row r="971" spans="1:287" ht="12.75">
      <c r="A971" s="89"/>
      <c r="B971" s="89"/>
      <c r="J971" s="19"/>
      <c r="Q971" s="19"/>
      <c r="Y971" s="19"/>
      <c r="AF971" s="19"/>
      <c r="II971" s="42"/>
      <c r="IJ971" s="42"/>
      <c r="IK971" s="42"/>
      <c r="IL971" s="42"/>
      <c r="IM971" s="42"/>
      <c r="IN971" s="42"/>
      <c r="IO971" s="42"/>
      <c r="IP971" s="42"/>
      <c r="IQ971" s="42"/>
      <c r="IR971" s="42"/>
      <c r="IS971" s="42"/>
      <c r="IT971" s="42"/>
      <c r="IU971" s="42"/>
      <c r="IV971" s="42"/>
      <c r="IW971" s="42"/>
      <c r="IX971" s="42"/>
      <c r="IY971" s="42"/>
      <c r="IZ971" s="42"/>
      <c r="JA971" s="42"/>
      <c r="JB971" s="42"/>
      <c r="JC971" s="42"/>
      <c r="JD971" s="42"/>
      <c r="JE971" s="42"/>
      <c r="JF971" s="42"/>
      <c r="JG971" s="42"/>
      <c r="JH971" s="42"/>
      <c r="JI971" s="42"/>
      <c r="JJ971" s="42"/>
      <c r="JK971" s="42"/>
      <c r="JL971" s="42"/>
      <c r="JM971" s="42"/>
      <c r="JN971" s="42"/>
      <c r="JO971" s="42"/>
      <c r="JP971" s="42"/>
      <c r="JQ971" s="42"/>
      <c r="JR971" s="42"/>
      <c r="JS971" s="42"/>
      <c r="JT971" s="42"/>
      <c r="JU971" s="42"/>
      <c r="JV971" s="42"/>
      <c r="JW971" s="42"/>
      <c r="JX971" s="42"/>
      <c r="JY971" s="42"/>
      <c r="JZ971" s="42"/>
      <c r="KA971" s="42"/>
    </row>
    <row r="972" spans="1:287" ht="12.75">
      <c r="A972" s="89"/>
      <c r="B972" s="89"/>
      <c r="J972" s="19"/>
      <c r="Q972" s="19"/>
      <c r="Y972" s="19"/>
      <c r="AF972" s="19"/>
      <c r="II972" s="42"/>
      <c r="IJ972" s="42"/>
      <c r="IK972" s="42"/>
      <c r="IL972" s="42"/>
      <c r="IM972" s="42"/>
      <c r="IN972" s="42"/>
      <c r="IO972" s="42"/>
      <c r="IP972" s="42"/>
      <c r="IQ972" s="42"/>
      <c r="IR972" s="42"/>
      <c r="IS972" s="42"/>
      <c r="IT972" s="42"/>
      <c r="IU972" s="42"/>
      <c r="IV972" s="42"/>
      <c r="IW972" s="42"/>
      <c r="IX972" s="42"/>
      <c r="IY972" s="42"/>
      <c r="IZ972" s="42"/>
      <c r="JA972" s="42"/>
      <c r="JB972" s="42"/>
      <c r="JC972" s="42"/>
      <c r="JD972" s="42"/>
      <c r="JE972" s="42"/>
      <c r="JF972" s="42"/>
      <c r="JG972" s="42"/>
      <c r="JH972" s="42"/>
      <c r="JI972" s="42"/>
      <c r="JJ972" s="42"/>
      <c r="JK972" s="42"/>
      <c r="JL972" s="42"/>
      <c r="JM972" s="42"/>
      <c r="JN972" s="42"/>
      <c r="JO972" s="42"/>
      <c r="JP972" s="42"/>
      <c r="JQ972" s="42"/>
      <c r="JR972" s="42"/>
      <c r="JS972" s="42"/>
      <c r="JT972" s="42"/>
      <c r="JU972" s="42"/>
      <c r="JV972" s="42"/>
      <c r="JW972" s="42"/>
      <c r="JX972" s="42"/>
      <c r="JY972" s="42"/>
      <c r="JZ972" s="42"/>
      <c r="KA972" s="42"/>
    </row>
    <row r="973" spans="1:287" ht="12.75">
      <c r="A973" s="89"/>
      <c r="B973" s="89"/>
      <c r="J973" s="19"/>
      <c r="Q973" s="19"/>
      <c r="Y973" s="19"/>
      <c r="AF973" s="19"/>
      <c r="II973" s="42"/>
      <c r="IJ973" s="42"/>
      <c r="IK973" s="42"/>
      <c r="IL973" s="42"/>
      <c r="IM973" s="42"/>
      <c r="IN973" s="42"/>
      <c r="IO973" s="42"/>
      <c r="IP973" s="42"/>
      <c r="IQ973" s="42"/>
      <c r="IR973" s="42"/>
      <c r="IS973" s="42"/>
      <c r="IT973" s="42"/>
      <c r="IU973" s="42"/>
      <c r="IV973" s="42"/>
      <c r="IW973" s="42"/>
      <c r="IX973" s="42"/>
      <c r="IY973" s="42"/>
      <c r="IZ973" s="42"/>
      <c r="JA973" s="42"/>
      <c r="JB973" s="42"/>
      <c r="JC973" s="42"/>
      <c r="JD973" s="42"/>
      <c r="JE973" s="42"/>
      <c r="JF973" s="42"/>
      <c r="JG973" s="42"/>
      <c r="JH973" s="42"/>
      <c r="JI973" s="42"/>
      <c r="JJ973" s="42"/>
      <c r="JK973" s="42"/>
      <c r="JL973" s="42"/>
      <c r="JM973" s="42"/>
      <c r="JN973" s="42"/>
      <c r="JO973" s="42"/>
      <c r="JP973" s="42"/>
      <c r="JQ973" s="42"/>
      <c r="JR973" s="42"/>
      <c r="JS973" s="42"/>
      <c r="JT973" s="42"/>
      <c r="JU973" s="42"/>
      <c r="JV973" s="42"/>
      <c r="JW973" s="42"/>
      <c r="JX973" s="42"/>
      <c r="JY973" s="42"/>
      <c r="JZ973" s="42"/>
      <c r="KA973" s="42"/>
    </row>
    <row r="974" spans="1:287" ht="12.75">
      <c r="A974" s="89"/>
      <c r="B974" s="89"/>
      <c r="J974" s="19"/>
      <c r="Q974" s="19"/>
      <c r="Y974" s="19"/>
      <c r="AF974" s="19"/>
      <c r="II974" s="42"/>
      <c r="IJ974" s="42"/>
      <c r="IK974" s="42"/>
      <c r="IL974" s="42"/>
      <c r="IM974" s="42"/>
      <c r="IN974" s="42"/>
      <c r="IO974" s="42"/>
      <c r="IP974" s="42"/>
      <c r="IQ974" s="42"/>
      <c r="IR974" s="42"/>
      <c r="IS974" s="42"/>
      <c r="IT974" s="42"/>
      <c r="IU974" s="42"/>
      <c r="IV974" s="42"/>
      <c r="IW974" s="42"/>
      <c r="IX974" s="42"/>
      <c r="IY974" s="42"/>
      <c r="IZ974" s="42"/>
      <c r="JA974" s="42"/>
      <c r="JB974" s="42"/>
      <c r="JC974" s="42"/>
      <c r="JD974" s="42"/>
      <c r="JE974" s="42"/>
      <c r="JF974" s="42"/>
      <c r="JG974" s="42"/>
      <c r="JH974" s="42"/>
      <c r="JI974" s="42"/>
      <c r="JJ974" s="42"/>
      <c r="JK974" s="42"/>
      <c r="JL974" s="42"/>
      <c r="JM974" s="42"/>
      <c r="JN974" s="42"/>
      <c r="JO974" s="42"/>
      <c r="JP974" s="42"/>
      <c r="JQ974" s="42"/>
      <c r="JR974" s="42"/>
      <c r="JS974" s="42"/>
      <c r="JT974" s="42"/>
      <c r="JU974" s="42"/>
      <c r="JV974" s="42"/>
      <c r="JW974" s="42"/>
      <c r="JX974" s="42"/>
      <c r="JY974" s="42"/>
      <c r="JZ974" s="42"/>
      <c r="KA974" s="42"/>
    </row>
    <row r="975" spans="1:287" ht="12.75">
      <c r="A975" s="89"/>
      <c r="B975" s="89"/>
      <c r="J975" s="19"/>
      <c r="Q975" s="19"/>
      <c r="Y975" s="19"/>
      <c r="AF975" s="19"/>
      <c r="II975" s="42"/>
      <c r="IJ975" s="42"/>
      <c r="IK975" s="42"/>
      <c r="IL975" s="42"/>
      <c r="IM975" s="42"/>
      <c r="IN975" s="42"/>
      <c r="IO975" s="42"/>
      <c r="IP975" s="42"/>
      <c r="IQ975" s="42"/>
      <c r="IR975" s="42"/>
      <c r="IS975" s="42"/>
      <c r="IT975" s="42"/>
      <c r="IU975" s="42"/>
      <c r="IV975" s="42"/>
      <c r="IW975" s="42"/>
      <c r="IX975" s="42"/>
      <c r="IY975" s="42"/>
      <c r="IZ975" s="42"/>
      <c r="JA975" s="42"/>
      <c r="JB975" s="42"/>
      <c r="JC975" s="42"/>
      <c r="JD975" s="42"/>
      <c r="JE975" s="42"/>
      <c r="JF975" s="42"/>
      <c r="JG975" s="42"/>
      <c r="JH975" s="42"/>
      <c r="JI975" s="42"/>
      <c r="JJ975" s="42"/>
      <c r="JK975" s="42"/>
      <c r="JL975" s="42"/>
      <c r="JM975" s="42"/>
      <c r="JN975" s="42"/>
      <c r="JO975" s="42"/>
      <c r="JP975" s="42"/>
      <c r="JQ975" s="42"/>
      <c r="JR975" s="42"/>
      <c r="JS975" s="42"/>
      <c r="JT975" s="42"/>
      <c r="JU975" s="42"/>
      <c r="JV975" s="42"/>
      <c r="JW975" s="42"/>
      <c r="JX975" s="42"/>
      <c r="JY975" s="42"/>
      <c r="JZ975" s="42"/>
      <c r="KA975" s="42"/>
    </row>
    <row r="976" spans="1:287" ht="12.75">
      <c r="A976" s="89"/>
      <c r="B976" s="89"/>
      <c r="J976" s="19"/>
      <c r="Q976" s="19"/>
      <c r="Y976" s="19"/>
      <c r="AF976" s="19"/>
      <c r="II976" s="42"/>
      <c r="IJ976" s="42"/>
      <c r="IK976" s="42"/>
      <c r="IL976" s="42"/>
      <c r="IM976" s="42"/>
      <c r="IN976" s="42"/>
      <c r="IO976" s="42"/>
      <c r="IP976" s="42"/>
      <c r="IQ976" s="42"/>
      <c r="IR976" s="42"/>
      <c r="IS976" s="42"/>
      <c r="IT976" s="42"/>
      <c r="IU976" s="42"/>
      <c r="IV976" s="42"/>
      <c r="IW976" s="42"/>
      <c r="IX976" s="42"/>
      <c r="IY976" s="42"/>
      <c r="IZ976" s="42"/>
      <c r="JA976" s="42"/>
      <c r="JB976" s="42"/>
      <c r="JC976" s="42"/>
      <c r="JD976" s="42"/>
      <c r="JE976" s="42"/>
      <c r="JF976" s="42"/>
      <c r="JG976" s="42"/>
      <c r="JH976" s="42"/>
      <c r="JI976" s="42"/>
      <c r="JJ976" s="42"/>
      <c r="JK976" s="42"/>
      <c r="JL976" s="42"/>
      <c r="JM976" s="42"/>
      <c r="JN976" s="42"/>
      <c r="JO976" s="42"/>
      <c r="JP976" s="42"/>
      <c r="JQ976" s="42"/>
      <c r="JR976" s="42"/>
      <c r="JS976" s="42"/>
      <c r="JT976" s="42"/>
      <c r="JU976" s="42"/>
      <c r="JV976" s="42"/>
      <c r="JW976" s="42"/>
      <c r="JX976" s="42"/>
      <c r="JY976" s="42"/>
      <c r="JZ976" s="42"/>
      <c r="KA976" s="42"/>
    </row>
    <row r="977" spans="1:287" ht="12.75">
      <c r="A977" s="89"/>
      <c r="B977" s="89"/>
      <c r="J977" s="19"/>
      <c r="Q977" s="19"/>
      <c r="Y977" s="19"/>
      <c r="AF977" s="19"/>
      <c r="II977" s="42"/>
      <c r="IJ977" s="42"/>
      <c r="IK977" s="42"/>
      <c r="IL977" s="42"/>
      <c r="IM977" s="42"/>
      <c r="IN977" s="42"/>
      <c r="IO977" s="42"/>
      <c r="IP977" s="42"/>
      <c r="IQ977" s="42"/>
      <c r="IR977" s="42"/>
      <c r="IS977" s="42"/>
      <c r="IT977" s="42"/>
      <c r="IU977" s="42"/>
      <c r="IV977" s="42"/>
      <c r="IW977" s="42"/>
      <c r="IX977" s="42"/>
      <c r="IY977" s="42"/>
      <c r="IZ977" s="42"/>
      <c r="JA977" s="42"/>
      <c r="JB977" s="42"/>
      <c r="JC977" s="42"/>
      <c r="JD977" s="42"/>
      <c r="JE977" s="42"/>
      <c r="JF977" s="42"/>
      <c r="JG977" s="42"/>
      <c r="JH977" s="42"/>
      <c r="JI977" s="42"/>
      <c r="JJ977" s="42"/>
      <c r="JK977" s="42"/>
      <c r="JL977" s="42"/>
      <c r="JM977" s="42"/>
      <c r="JN977" s="42"/>
      <c r="JO977" s="42"/>
      <c r="JP977" s="42"/>
      <c r="JQ977" s="42"/>
      <c r="JR977" s="42"/>
      <c r="JS977" s="42"/>
      <c r="JT977" s="42"/>
      <c r="JU977" s="42"/>
      <c r="JV977" s="42"/>
      <c r="JW977" s="42"/>
      <c r="JX977" s="42"/>
      <c r="JY977" s="42"/>
      <c r="JZ977" s="42"/>
      <c r="KA977" s="42"/>
    </row>
    <row r="978" spans="1:287" ht="12.75">
      <c r="A978" s="89"/>
      <c r="B978" s="89"/>
      <c r="J978" s="19"/>
      <c r="Q978" s="19"/>
      <c r="Y978" s="19"/>
      <c r="AF978" s="19"/>
      <c r="II978" s="42"/>
      <c r="IJ978" s="42"/>
      <c r="IK978" s="42"/>
      <c r="IL978" s="42"/>
      <c r="IM978" s="42"/>
      <c r="IN978" s="42"/>
      <c r="IO978" s="42"/>
      <c r="IP978" s="42"/>
      <c r="IQ978" s="42"/>
      <c r="IR978" s="42"/>
      <c r="IS978" s="42"/>
      <c r="IT978" s="42"/>
      <c r="IU978" s="42"/>
      <c r="IV978" s="42"/>
      <c r="IW978" s="42"/>
      <c r="IX978" s="42"/>
      <c r="IY978" s="42"/>
      <c r="IZ978" s="42"/>
      <c r="JA978" s="42"/>
      <c r="JB978" s="42"/>
      <c r="JC978" s="42"/>
      <c r="JD978" s="42"/>
      <c r="JE978" s="42"/>
      <c r="JF978" s="42"/>
      <c r="JG978" s="42"/>
      <c r="JH978" s="42"/>
      <c r="JI978" s="42"/>
      <c r="JJ978" s="42"/>
      <c r="JK978" s="42"/>
      <c r="JL978" s="42"/>
      <c r="JM978" s="42"/>
      <c r="JN978" s="42"/>
      <c r="JO978" s="42"/>
      <c r="JP978" s="42"/>
      <c r="JQ978" s="42"/>
      <c r="JR978" s="42"/>
      <c r="JS978" s="42"/>
      <c r="JT978" s="42"/>
      <c r="JU978" s="42"/>
      <c r="JV978" s="42"/>
      <c r="JW978" s="42"/>
      <c r="JX978" s="42"/>
      <c r="JY978" s="42"/>
      <c r="JZ978" s="42"/>
      <c r="KA978" s="42"/>
    </row>
    <row r="979" spans="1:287" ht="12.75">
      <c r="A979" s="89"/>
      <c r="B979" s="89"/>
      <c r="J979" s="19"/>
      <c r="Q979" s="19"/>
      <c r="Y979" s="19"/>
      <c r="AF979" s="19"/>
      <c r="II979" s="42"/>
      <c r="IJ979" s="42"/>
      <c r="IK979" s="42"/>
      <c r="IL979" s="42"/>
      <c r="IM979" s="42"/>
      <c r="IN979" s="42"/>
      <c r="IO979" s="42"/>
      <c r="IP979" s="42"/>
      <c r="IQ979" s="42"/>
      <c r="IR979" s="42"/>
      <c r="IS979" s="42"/>
      <c r="IT979" s="42"/>
      <c r="IU979" s="42"/>
      <c r="IV979" s="42"/>
      <c r="IW979" s="42"/>
      <c r="IX979" s="42"/>
      <c r="IY979" s="42"/>
      <c r="IZ979" s="42"/>
      <c r="JA979" s="42"/>
      <c r="JB979" s="42"/>
      <c r="JC979" s="42"/>
      <c r="JD979" s="42"/>
      <c r="JE979" s="42"/>
      <c r="JF979" s="42"/>
      <c r="JG979" s="42"/>
      <c r="JH979" s="42"/>
      <c r="JI979" s="42"/>
      <c r="JJ979" s="42"/>
      <c r="JK979" s="42"/>
      <c r="JL979" s="42"/>
      <c r="JM979" s="42"/>
      <c r="JN979" s="42"/>
      <c r="JO979" s="42"/>
      <c r="JP979" s="42"/>
      <c r="JQ979" s="42"/>
      <c r="JR979" s="42"/>
      <c r="JS979" s="42"/>
      <c r="JT979" s="42"/>
      <c r="JU979" s="42"/>
      <c r="JV979" s="42"/>
      <c r="JW979" s="42"/>
      <c r="JX979" s="42"/>
      <c r="JY979" s="42"/>
      <c r="JZ979" s="42"/>
      <c r="KA979" s="42"/>
    </row>
    <row r="980" spans="1:287" ht="12.75">
      <c r="A980" s="89"/>
      <c r="B980" s="89"/>
      <c r="J980" s="19"/>
      <c r="Q980" s="19"/>
      <c r="Y980" s="19"/>
      <c r="AF980" s="19"/>
      <c r="II980" s="42"/>
      <c r="IJ980" s="42"/>
      <c r="IK980" s="42"/>
      <c r="IL980" s="42"/>
      <c r="IM980" s="42"/>
      <c r="IN980" s="42"/>
      <c r="IO980" s="42"/>
      <c r="IP980" s="42"/>
      <c r="IQ980" s="42"/>
      <c r="IR980" s="42"/>
      <c r="IS980" s="42"/>
      <c r="IT980" s="42"/>
      <c r="IU980" s="42"/>
      <c r="IV980" s="42"/>
      <c r="IW980" s="42"/>
      <c r="IX980" s="42"/>
      <c r="IY980" s="42"/>
      <c r="IZ980" s="42"/>
      <c r="JA980" s="42"/>
      <c r="JB980" s="42"/>
      <c r="JC980" s="42"/>
      <c r="JD980" s="42"/>
      <c r="JE980" s="42"/>
      <c r="JF980" s="42"/>
      <c r="JG980" s="42"/>
      <c r="JH980" s="42"/>
      <c r="JI980" s="42"/>
      <c r="JJ980" s="42"/>
      <c r="JK980" s="42"/>
      <c r="JL980" s="42"/>
      <c r="JM980" s="42"/>
      <c r="JN980" s="42"/>
      <c r="JO980" s="42"/>
      <c r="JP980" s="42"/>
      <c r="JQ980" s="42"/>
      <c r="JR980" s="42"/>
      <c r="JS980" s="42"/>
      <c r="JT980" s="42"/>
      <c r="JU980" s="42"/>
      <c r="JV980" s="42"/>
      <c r="JW980" s="42"/>
      <c r="JX980" s="42"/>
      <c r="JY980" s="42"/>
      <c r="JZ980" s="42"/>
      <c r="KA980" s="42"/>
    </row>
    <row r="981" spans="1:287" ht="12.75">
      <c r="A981" s="89"/>
      <c r="B981" s="89"/>
      <c r="J981" s="19"/>
      <c r="Q981" s="19"/>
      <c r="Y981" s="19"/>
      <c r="AF981" s="19"/>
      <c r="II981" s="42"/>
      <c r="IJ981" s="42"/>
      <c r="IK981" s="42"/>
      <c r="IL981" s="42"/>
      <c r="IM981" s="42"/>
      <c r="IN981" s="42"/>
      <c r="IO981" s="42"/>
      <c r="IP981" s="42"/>
      <c r="IQ981" s="42"/>
      <c r="IR981" s="42"/>
      <c r="IS981" s="42"/>
      <c r="IT981" s="42"/>
      <c r="IU981" s="42"/>
      <c r="IV981" s="42"/>
      <c r="IW981" s="42"/>
      <c r="IX981" s="42"/>
      <c r="IY981" s="42"/>
      <c r="IZ981" s="42"/>
      <c r="JA981" s="42"/>
      <c r="JB981" s="42"/>
      <c r="JC981" s="42"/>
      <c r="JD981" s="42"/>
      <c r="JE981" s="42"/>
      <c r="JF981" s="42"/>
      <c r="JG981" s="42"/>
      <c r="JH981" s="42"/>
      <c r="JI981" s="42"/>
      <c r="JJ981" s="42"/>
      <c r="JK981" s="42"/>
      <c r="JL981" s="42"/>
      <c r="JM981" s="42"/>
      <c r="JN981" s="42"/>
      <c r="JO981" s="42"/>
      <c r="JP981" s="42"/>
      <c r="JQ981" s="42"/>
      <c r="JR981" s="42"/>
      <c r="JS981" s="42"/>
      <c r="JT981" s="42"/>
      <c r="JU981" s="42"/>
      <c r="JV981" s="42"/>
      <c r="JW981" s="42"/>
      <c r="JX981" s="42"/>
      <c r="JY981" s="42"/>
      <c r="JZ981" s="42"/>
      <c r="KA981" s="42"/>
    </row>
    <row r="982" spans="1:287" ht="12.75">
      <c r="A982" s="89"/>
      <c r="B982" s="89"/>
      <c r="J982" s="19"/>
      <c r="Q982" s="19"/>
      <c r="Y982" s="19"/>
      <c r="AF982" s="19"/>
      <c r="II982" s="42"/>
      <c r="IJ982" s="42"/>
      <c r="IK982" s="42"/>
      <c r="IL982" s="42"/>
      <c r="IM982" s="42"/>
      <c r="IN982" s="42"/>
      <c r="IO982" s="42"/>
      <c r="IP982" s="42"/>
      <c r="IQ982" s="42"/>
      <c r="IR982" s="42"/>
      <c r="IS982" s="42"/>
      <c r="IT982" s="42"/>
      <c r="IU982" s="42"/>
      <c r="IV982" s="42"/>
      <c r="IW982" s="42"/>
      <c r="IX982" s="42"/>
      <c r="IY982" s="42"/>
      <c r="IZ982" s="42"/>
      <c r="JA982" s="42"/>
      <c r="JB982" s="42"/>
      <c r="JC982" s="42"/>
      <c r="JD982" s="42"/>
      <c r="JE982" s="42"/>
      <c r="JF982" s="42"/>
      <c r="JG982" s="42"/>
      <c r="JH982" s="42"/>
      <c r="JI982" s="42"/>
      <c r="JJ982" s="42"/>
      <c r="JK982" s="42"/>
      <c r="JL982" s="42"/>
      <c r="JM982" s="42"/>
      <c r="JN982" s="42"/>
      <c r="JO982" s="42"/>
      <c r="JP982" s="42"/>
      <c r="JQ982" s="42"/>
      <c r="JR982" s="42"/>
      <c r="JS982" s="42"/>
      <c r="JT982" s="42"/>
      <c r="JU982" s="42"/>
      <c r="JV982" s="42"/>
      <c r="JW982" s="42"/>
      <c r="JX982" s="42"/>
      <c r="JY982" s="42"/>
      <c r="JZ982" s="42"/>
      <c r="KA982" s="42"/>
    </row>
    <row r="983" spans="1:287" ht="12.75">
      <c r="A983" s="89"/>
      <c r="B983" s="89"/>
      <c r="J983" s="19"/>
      <c r="Q983" s="19"/>
      <c r="Y983" s="19"/>
      <c r="AF983" s="19"/>
      <c r="II983" s="42"/>
      <c r="IJ983" s="42"/>
      <c r="IK983" s="42"/>
      <c r="IL983" s="42"/>
      <c r="IM983" s="42"/>
      <c r="IN983" s="42"/>
      <c r="IO983" s="42"/>
      <c r="IP983" s="42"/>
      <c r="IQ983" s="42"/>
      <c r="IR983" s="42"/>
      <c r="IS983" s="42"/>
      <c r="IT983" s="42"/>
      <c r="IU983" s="42"/>
      <c r="IV983" s="42"/>
      <c r="IW983" s="42"/>
      <c r="IX983" s="42"/>
      <c r="IY983" s="42"/>
      <c r="IZ983" s="42"/>
      <c r="JA983" s="42"/>
      <c r="JB983" s="42"/>
      <c r="JC983" s="42"/>
      <c r="JD983" s="42"/>
      <c r="JE983" s="42"/>
      <c r="JF983" s="42"/>
      <c r="JG983" s="42"/>
      <c r="JH983" s="42"/>
      <c r="JI983" s="42"/>
      <c r="JJ983" s="42"/>
      <c r="JK983" s="42"/>
      <c r="JL983" s="42"/>
      <c r="JM983" s="42"/>
      <c r="JN983" s="42"/>
      <c r="JO983" s="42"/>
      <c r="JP983" s="42"/>
      <c r="JQ983" s="42"/>
      <c r="JR983" s="42"/>
      <c r="JS983" s="42"/>
      <c r="JT983" s="42"/>
      <c r="JU983" s="42"/>
      <c r="JV983" s="42"/>
      <c r="JW983" s="42"/>
      <c r="JX983" s="42"/>
      <c r="JY983" s="42"/>
      <c r="JZ983" s="42"/>
      <c r="KA983" s="42"/>
    </row>
    <row r="984" spans="1:287" ht="12.75">
      <c r="A984" s="89"/>
      <c r="B984" s="89"/>
      <c r="J984" s="19"/>
      <c r="Q984" s="19"/>
      <c r="Y984" s="19"/>
      <c r="AF984" s="19"/>
      <c r="II984" s="42"/>
      <c r="IJ984" s="42"/>
      <c r="IK984" s="42"/>
      <c r="IL984" s="42"/>
      <c r="IM984" s="42"/>
      <c r="IN984" s="42"/>
      <c r="IO984" s="42"/>
      <c r="IP984" s="42"/>
      <c r="IQ984" s="42"/>
      <c r="IR984" s="42"/>
      <c r="IS984" s="42"/>
      <c r="IT984" s="42"/>
      <c r="IU984" s="42"/>
      <c r="IV984" s="42"/>
      <c r="IW984" s="42"/>
      <c r="IX984" s="42"/>
      <c r="IY984" s="42"/>
      <c r="IZ984" s="42"/>
      <c r="JA984" s="42"/>
      <c r="JB984" s="42"/>
      <c r="JC984" s="42"/>
      <c r="JD984" s="42"/>
      <c r="JE984" s="42"/>
      <c r="JF984" s="42"/>
      <c r="JG984" s="42"/>
      <c r="JH984" s="42"/>
      <c r="JI984" s="42"/>
      <c r="JJ984" s="42"/>
      <c r="JK984" s="42"/>
      <c r="JL984" s="42"/>
      <c r="JM984" s="42"/>
      <c r="JN984" s="42"/>
      <c r="JO984" s="42"/>
      <c r="JP984" s="42"/>
      <c r="JQ984" s="42"/>
      <c r="JR984" s="42"/>
      <c r="JS984" s="42"/>
      <c r="JT984" s="42"/>
      <c r="JU984" s="42"/>
      <c r="JV984" s="42"/>
      <c r="JW984" s="42"/>
      <c r="JX984" s="42"/>
      <c r="JY984" s="42"/>
      <c r="JZ984" s="42"/>
      <c r="KA984" s="42"/>
    </row>
    <row r="985" spans="1:287" ht="12.75">
      <c r="A985" s="89"/>
      <c r="B985" s="89"/>
      <c r="J985" s="19"/>
      <c r="Q985" s="19"/>
      <c r="Y985" s="19"/>
      <c r="AF985" s="19"/>
      <c r="II985" s="42"/>
      <c r="IJ985" s="42"/>
      <c r="IK985" s="42"/>
      <c r="IL985" s="42"/>
      <c r="IM985" s="42"/>
      <c r="IN985" s="42"/>
      <c r="IO985" s="42"/>
      <c r="IP985" s="42"/>
      <c r="IQ985" s="42"/>
      <c r="IR985" s="42"/>
      <c r="IS985" s="42"/>
      <c r="IT985" s="42"/>
      <c r="IU985" s="42"/>
      <c r="IV985" s="42"/>
      <c r="IW985" s="42"/>
      <c r="IX985" s="42"/>
      <c r="IY985" s="42"/>
      <c r="IZ985" s="42"/>
      <c r="JA985" s="42"/>
      <c r="JB985" s="42"/>
      <c r="JC985" s="42"/>
      <c r="JD985" s="42"/>
      <c r="JE985" s="42"/>
      <c r="JF985" s="42"/>
      <c r="JG985" s="42"/>
      <c r="JH985" s="42"/>
      <c r="JI985" s="42"/>
      <c r="JJ985" s="42"/>
      <c r="JK985" s="42"/>
      <c r="JL985" s="42"/>
      <c r="JM985" s="42"/>
      <c r="JN985" s="42"/>
      <c r="JO985" s="42"/>
      <c r="JP985" s="42"/>
      <c r="JQ985" s="42"/>
      <c r="JR985" s="42"/>
      <c r="JS985" s="42"/>
      <c r="JT985" s="42"/>
      <c r="JU985" s="42"/>
      <c r="JV985" s="42"/>
      <c r="JW985" s="42"/>
      <c r="JX985" s="42"/>
      <c r="JY985" s="42"/>
      <c r="JZ985" s="42"/>
      <c r="KA985" s="42"/>
    </row>
    <row r="986" spans="1:287" ht="12.75">
      <c r="A986" s="89"/>
      <c r="B986" s="89"/>
      <c r="J986" s="19"/>
      <c r="Q986" s="19"/>
      <c r="Y986" s="19"/>
      <c r="AF986" s="19"/>
      <c r="II986" s="42"/>
      <c r="IJ986" s="42"/>
      <c r="IK986" s="42"/>
      <c r="IL986" s="42"/>
      <c r="IM986" s="42"/>
      <c r="IN986" s="42"/>
      <c r="IO986" s="42"/>
      <c r="IP986" s="42"/>
      <c r="IQ986" s="42"/>
      <c r="IR986" s="42"/>
      <c r="IS986" s="42"/>
      <c r="IT986" s="42"/>
      <c r="IU986" s="42"/>
      <c r="IV986" s="42"/>
      <c r="IW986" s="42"/>
      <c r="IX986" s="42"/>
      <c r="IY986" s="42"/>
      <c r="IZ986" s="42"/>
      <c r="JA986" s="42"/>
      <c r="JB986" s="42"/>
      <c r="JC986" s="42"/>
      <c r="JD986" s="42"/>
      <c r="JE986" s="42"/>
      <c r="JF986" s="42"/>
      <c r="JG986" s="42"/>
      <c r="JH986" s="42"/>
      <c r="JI986" s="42"/>
      <c r="JJ986" s="42"/>
      <c r="JK986" s="42"/>
      <c r="JL986" s="42"/>
      <c r="JM986" s="42"/>
      <c r="JN986" s="42"/>
      <c r="JO986" s="42"/>
      <c r="JP986" s="42"/>
      <c r="JQ986" s="42"/>
      <c r="JR986" s="42"/>
      <c r="JS986" s="42"/>
      <c r="JT986" s="42"/>
      <c r="JU986" s="42"/>
      <c r="JV986" s="42"/>
      <c r="JW986" s="42"/>
      <c r="JX986" s="42"/>
      <c r="JY986" s="42"/>
      <c r="JZ986" s="42"/>
      <c r="KA986" s="42"/>
    </row>
    <row r="987" spans="1:287" ht="12.75">
      <c r="A987" s="89"/>
      <c r="B987" s="89"/>
      <c r="J987" s="19"/>
      <c r="Q987" s="19"/>
      <c r="Y987" s="19"/>
      <c r="AF987" s="19"/>
      <c r="II987" s="42"/>
      <c r="IJ987" s="42"/>
      <c r="IK987" s="42"/>
      <c r="IL987" s="42"/>
      <c r="IM987" s="42"/>
      <c r="IN987" s="42"/>
      <c r="IO987" s="42"/>
      <c r="IP987" s="42"/>
      <c r="IQ987" s="42"/>
      <c r="IR987" s="42"/>
      <c r="IS987" s="42"/>
      <c r="IT987" s="42"/>
      <c r="IU987" s="42"/>
      <c r="IV987" s="42"/>
      <c r="IW987" s="42"/>
      <c r="IX987" s="42"/>
      <c r="IY987" s="42"/>
      <c r="IZ987" s="42"/>
      <c r="JA987" s="42"/>
      <c r="JB987" s="42"/>
      <c r="JC987" s="42"/>
      <c r="JD987" s="42"/>
      <c r="JE987" s="42"/>
      <c r="JF987" s="42"/>
      <c r="JG987" s="42"/>
      <c r="JH987" s="42"/>
      <c r="JI987" s="42"/>
      <c r="JJ987" s="42"/>
      <c r="JK987" s="42"/>
      <c r="JL987" s="42"/>
      <c r="JM987" s="42"/>
      <c r="JN987" s="42"/>
      <c r="JO987" s="42"/>
      <c r="JP987" s="42"/>
      <c r="JQ987" s="42"/>
      <c r="JR987" s="42"/>
      <c r="JS987" s="42"/>
      <c r="JT987" s="42"/>
      <c r="JU987" s="42"/>
      <c r="JV987" s="42"/>
      <c r="JW987" s="42"/>
      <c r="JX987" s="42"/>
      <c r="JY987" s="42"/>
      <c r="JZ987" s="42"/>
      <c r="KA987" s="42"/>
    </row>
    <row r="988" spans="1:287" ht="12.75">
      <c r="A988" s="89"/>
      <c r="B988" s="89"/>
      <c r="J988" s="19"/>
      <c r="Q988" s="19"/>
      <c r="Y988" s="19"/>
      <c r="AF988" s="19"/>
      <c r="II988" s="42"/>
      <c r="IJ988" s="42"/>
      <c r="IK988" s="42"/>
      <c r="IL988" s="42"/>
      <c r="IM988" s="42"/>
      <c r="IN988" s="42"/>
      <c r="IO988" s="42"/>
      <c r="IP988" s="42"/>
      <c r="IQ988" s="42"/>
      <c r="IR988" s="42"/>
      <c r="IS988" s="42"/>
      <c r="IT988" s="42"/>
      <c r="IU988" s="42"/>
      <c r="IV988" s="42"/>
      <c r="IW988" s="42"/>
      <c r="IX988" s="42"/>
      <c r="IY988" s="42"/>
      <c r="IZ988" s="42"/>
      <c r="JA988" s="42"/>
      <c r="JB988" s="42"/>
      <c r="JC988" s="42"/>
      <c r="JD988" s="42"/>
      <c r="JE988" s="42"/>
      <c r="JF988" s="42"/>
      <c r="JG988" s="42"/>
      <c r="JH988" s="42"/>
      <c r="JI988" s="42"/>
      <c r="JJ988" s="42"/>
      <c r="JK988" s="42"/>
      <c r="JL988" s="42"/>
      <c r="JM988" s="42"/>
      <c r="JN988" s="42"/>
      <c r="JO988" s="42"/>
      <c r="JP988" s="42"/>
      <c r="JQ988" s="42"/>
      <c r="JR988" s="42"/>
      <c r="JS988" s="42"/>
      <c r="JT988" s="42"/>
      <c r="JU988" s="42"/>
      <c r="JV988" s="42"/>
      <c r="JW988" s="42"/>
      <c r="JX988" s="42"/>
      <c r="JY988" s="42"/>
      <c r="JZ988" s="42"/>
      <c r="KA988" s="42"/>
    </row>
    <row r="989" spans="1:287" ht="12.75">
      <c r="A989" s="89"/>
      <c r="B989" s="89"/>
      <c r="J989" s="19"/>
      <c r="Q989" s="19"/>
      <c r="Y989" s="19"/>
      <c r="AF989" s="19"/>
      <c r="II989" s="42"/>
      <c r="IJ989" s="42"/>
      <c r="IK989" s="42"/>
      <c r="IL989" s="42"/>
      <c r="IM989" s="42"/>
      <c r="IN989" s="42"/>
      <c r="IO989" s="42"/>
      <c r="IP989" s="42"/>
      <c r="IQ989" s="42"/>
      <c r="IR989" s="42"/>
      <c r="IS989" s="42"/>
      <c r="IT989" s="42"/>
      <c r="IU989" s="42"/>
      <c r="IV989" s="42"/>
      <c r="IW989" s="42"/>
      <c r="IX989" s="42"/>
      <c r="IY989" s="42"/>
      <c r="IZ989" s="42"/>
      <c r="JA989" s="42"/>
      <c r="JB989" s="42"/>
      <c r="JC989" s="42"/>
      <c r="JD989" s="42"/>
      <c r="JE989" s="42"/>
      <c r="JF989" s="42"/>
      <c r="JG989" s="42"/>
      <c r="JH989" s="42"/>
      <c r="JI989" s="42"/>
      <c r="JJ989" s="42"/>
      <c r="JK989" s="42"/>
      <c r="JL989" s="42"/>
      <c r="JM989" s="42"/>
      <c r="JN989" s="42"/>
      <c r="JO989" s="42"/>
      <c r="JP989" s="42"/>
      <c r="JQ989" s="42"/>
      <c r="JR989" s="42"/>
      <c r="JS989" s="42"/>
      <c r="JT989" s="42"/>
      <c r="JU989" s="42"/>
      <c r="JV989" s="42"/>
      <c r="JW989" s="42"/>
      <c r="JX989" s="42"/>
      <c r="JY989" s="42"/>
      <c r="JZ989" s="42"/>
      <c r="KA989" s="42"/>
    </row>
    <row r="990" spans="1:287" ht="12.75">
      <c r="A990" s="89"/>
      <c r="B990" s="89"/>
      <c r="J990" s="19"/>
      <c r="Q990" s="19"/>
      <c r="Y990" s="19"/>
      <c r="AF990" s="19"/>
      <c r="II990" s="42"/>
      <c r="IJ990" s="42"/>
      <c r="IK990" s="42"/>
      <c r="IL990" s="42"/>
      <c r="IM990" s="42"/>
      <c r="IN990" s="42"/>
      <c r="IO990" s="42"/>
      <c r="IP990" s="42"/>
      <c r="IQ990" s="42"/>
      <c r="IR990" s="42"/>
      <c r="IS990" s="42"/>
      <c r="IT990" s="42"/>
      <c r="IU990" s="42"/>
      <c r="IV990" s="42"/>
      <c r="IW990" s="42"/>
      <c r="IX990" s="42"/>
      <c r="IY990" s="42"/>
      <c r="IZ990" s="42"/>
      <c r="JA990" s="42"/>
      <c r="JB990" s="42"/>
      <c r="JC990" s="42"/>
      <c r="JD990" s="42"/>
      <c r="JE990" s="42"/>
      <c r="JF990" s="42"/>
      <c r="JG990" s="42"/>
      <c r="JH990" s="42"/>
      <c r="JI990" s="42"/>
      <c r="JJ990" s="42"/>
      <c r="JK990" s="42"/>
      <c r="JL990" s="42"/>
      <c r="JM990" s="42"/>
      <c r="JN990" s="42"/>
      <c r="JO990" s="42"/>
      <c r="JP990" s="42"/>
      <c r="JQ990" s="42"/>
      <c r="JR990" s="42"/>
      <c r="JS990" s="42"/>
      <c r="JT990" s="42"/>
      <c r="JU990" s="42"/>
      <c r="JV990" s="42"/>
      <c r="JW990" s="42"/>
      <c r="JX990" s="42"/>
      <c r="JY990" s="42"/>
      <c r="JZ990" s="42"/>
      <c r="KA990" s="42"/>
    </row>
    <row r="991" spans="1:287" ht="12.75">
      <c r="A991" s="89"/>
      <c r="B991" s="89"/>
      <c r="J991" s="19"/>
      <c r="Q991" s="19"/>
      <c r="Y991" s="19"/>
      <c r="AF991" s="19"/>
      <c r="II991" s="42"/>
      <c r="IJ991" s="42"/>
      <c r="IK991" s="42"/>
      <c r="IL991" s="42"/>
      <c r="IM991" s="42"/>
      <c r="IN991" s="42"/>
      <c r="IO991" s="42"/>
      <c r="IP991" s="42"/>
      <c r="IQ991" s="42"/>
      <c r="IR991" s="42"/>
      <c r="IS991" s="42"/>
      <c r="IT991" s="42"/>
      <c r="IU991" s="42"/>
      <c r="IV991" s="42"/>
      <c r="IW991" s="42"/>
      <c r="IX991" s="42"/>
      <c r="IY991" s="42"/>
      <c r="IZ991" s="42"/>
      <c r="JA991" s="42"/>
      <c r="JB991" s="42"/>
      <c r="JC991" s="42"/>
      <c r="JD991" s="42"/>
      <c r="JE991" s="42"/>
      <c r="JF991" s="42"/>
      <c r="JG991" s="42"/>
      <c r="JH991" s="42"/>
      <c r="JI991" s="42"/>
      <c r="JJ991" s="42"/>
      <c r="JK991" s="42"/>
      <c r="JL991" s="42"/>
      <c r="JM991" s="42"/>
      <c r="JN991" s="42"/>
      <c r="JO991" s="42"/>
      <c r="JP991" s="42"/>
      <c r="JQ991" s="42"/>
      <c r="JR991" s="42"/>
      <c r="JS991" s="42"/>
      <c r="JT991" s="42"/>
      <c r="JU991" s="42"/>
      <c r="JV991" s="42"/>
      <c r="JW991" s="42"/>
      <c r="JX991" s="42"/>
      <c r="JY991" s="42"/>
      <c r="JZ991" s="42"/>
      <c r="KA991" s="42"/>
    </row>
    <row r="992" spans="1:287" ht="12.75">
      <c r="A992" s="89"/>
      <c r="B992" s="89"/>
      <c r="J992" s="19"/>
      <c r="Q992" s="19"/>
      <c r="Y992" s="19"/>
      <c r="AF992" s="19"/>
      <c r="II992" s="42"/>
      <c r="IJ992" s="42"/>
      <c r="IK992" s="42"/>
      <c r="IL992" s="42"/>
      <c r="IM992" s="42"/>
      <c r="IN992" s="42"/>
      <c r="IO992" s="42"/>
      <c r="IP992" s="42"/>
      <c r="IQ992" s="42"/>
      <c r="IR992" s="42"/>
      <c r="IS992" s="42"/>
      <c r="IT992" s="42"/>
      <c r="IU992" s="42"/>
      <c r="IV992" s="42"/>
      <c r="IW992" s="42"/>
      <c r="IX992" s="42"/>
      <c r="IY992" s="42"/>
      <c r="IZ992" s="42"/>
      <c r="JA992" s="42"/>
      <c r="JB992" s="42"/>
      <c r="JC992" s="42"/>
      <c r="JD992" s="42"/>
      <c r="JE992" s="42"/>
      <c r="JF992" s="42"/>
      <c r="JG992" s="42"/>
      <c r="JH992" s="42"/>
      <c r="JI992" s="42"/>
      <c r="JJ992" s="42"/>
      <c r="JK992" s="42"/>
      <c r="JL992" s="42"/>
      <c r="JM992" s="42"/>
      <c r="JN992" s="42"/>
      <c r="JO992" s="42"/>
      <c r="JP992" s="42"/>
      <c r="JQ992" s="42"/>
      <c r="JR992" s="42"/>
      <c r="JS992" s="42"/>
      <c r="JT992" s="42"/>
      <c r="JU992" s="42"/>
      <c r="JV992" s="42"/>
      <c r="JW992" s="42"/>
      <c r="JX992" s="42"/>
      <c r="JY992" s="42"/>
      <c r="JZ992" s="42"/>
      <c r="KA992" s="42"/>
    </row>
    <row r="993" spans="1:287" ht="12.75">
      <c r="A993" s="89"/>
      <c r="B993" s="89"/>
      <c r="J993" s="19"/>
      <c r="Q993" s="19"/>
      <c r="Y993" s="19"/>
      <c r="AF993" s="19"/>
      <c r="II993" s="42"/>
      <c r="IJ993" s="42"/>
      <c r="IK993" s="42"/>
      <c r="IL993" s="42"/>
      <c r="IM993" s="42"/>
      <c r="IN993" s="42"/>
      <c r="IO993" s="42"/>
      <c r="IP993" s="42"/>
      <c r="IQ993" s="42"/>
      <c r="IR993" s="42"/>
      <c r="IS993" s="42"/>
      <c r="IT993" s="42"/>
      <c r="IU993" s="42"/>
      <c r="IV993" s="42"/>
      <c r="IW993" s="42"/>
      <c r="IX993" s="42"/>
      <c r="IY993" s="42"/>
      <c r="IZ993" s="42"/>
      <c r="JA993" s="42"/>
      <c r="JB993" s="42"/>
      <c r="JC993" s="42"/>
      <c r="JD993" s="42"/>
      <c r="JE993" s="42"/>
      <c r="JF993" s="42"/>
      <c r="JG993" s="42"/>
      <c r="JH993" s="42"/>
      <c r="JI993" s="42"/>
      <c r="JJ993" s="42"/>
      <c r="JK993" s="42"/>
      <c r="JL993" s="42"/>
      <c r="JM993" s="42"/>
      <c r="JN993" s="42"/>
      <c r="JO993" s="42"/>
      <c r="JP993" s="42"/>
      <c r="JQ993" s="42"/>
      <c r="JR993" s="42"/>
      <c r="JS993" s="42"/>
      <c r="JT993" s="42"/>
      <c r="JU993" s="42"/>
      <c r="JV993" s="42"/>
      <c r="JW993" s="42"/>
      <c r="JX993" s="42"/>
      <c r="JY993" s="42"/>
      <c r="JZ993" s="42"/>
      <c r="KA993" s="42"/>
    </row>
    <row r="994" spans="1:287" ht="12.75">
      <c r="A994" s="89"/>
      <c r="B994" s="89"/>
      <c r="J994" s="19"/>
      <c r="Q994" s="19"/>
      <c r="Y994" s="19"/>
      <c r="AF994" s="19"/>
      <c r="II994" s="42"/>
      <c r="IJ994" s="42"/>
      <c r="IK994" s="42"/>
      <c r="IL994" s="42"/>
      <c r="IM994" s="42"/>
      <c r="IN994" s="42"/>
      <c r="IO994" s="42"/>
      <c r="IP994" s="42"/>
      <c r="IQ994" s="42"/>
      <c r="IR994" s="42"/>
      <c r="IS994" s="42"/>
      <c r="IT994" s="42"/>
      <c r="IU994" s="42"/>
      <c r="IV994" s="42"/>
      <c r="IW994" s="42"/>
      <c r="IX994" s="42"/>
      <c r="IY994" s="42"/>
      <c r="IZ994" s="42"/>
      <c r="JA994" s="42"/>
      <c r="JB994" s="42"/>
      <c r="JC994" s="42"/>
      <c r="JD994" s="42"/>
      <c r="JE994" s="42"/>
      <c r="JF994" s="42"/>
      <c r="JG994" s="42"/>
      <c r="JH994" s="42"/>
      <c r="JI994" s="42"/>
      <c r="JJ994" s="42"/>
      <c r="JK994" s="42"/>
      <c r="JL994" s="42"/>
      <c r="JM994" s="42"/>
      <c r="JN994" s="42"/>
      <c r="JO994" s="42"/>
      <c r="JP994" s="42"/>
      <c r="JQ994" s="42"/>
      <c r="JR994" s="42"/>
      <c r="JS994" s="42"/>
      <c r="JT994" s="42"/>
      <c r="JU994" s="42"/>
      <c r="JV994" s="42"/>
      <c r="JW994" s="42"/>
      <c r="JX994" s="42"/>
      <c r="JY994" s="42"/>
      <c r="JZ994" s="42"/>
      <c r="KA994" s="42"/>
    </row>
  </sheetData>
  <dataValidations count="1">
    <dataValidation type="decimal" allowBlank="1" showDropDown="1" showInputMessage="1" prompt="Enter a number between 24.50001 and 30.71001" sqref="R3:R6 AG3:AG6 AV3:AV6 BK3:BK6 BZ3:BZ7 CO3:CO7 AV8 BK8 DD3:DE8 DS3:DT8 EH3:EI8 C3:C39 R9:R39 AG10:AG39 AV10:AV39 BK10:BK39 BZ10:BZ39 CO10:CO39 DD10:DE39 DS10:DT39 EH10:EI39 EW3:EX39 FL3:FM39 GA3:GB39 GP3:GQ39 HE3:HF39 HT3:HU39 C42:C55 R42:R55 AG42:AG55 AV42:AV55 BK42:BK55 BZ42:BZ55 CO42:CO55 DD42:DE55 DS42:DT55 EH42:EI55 EW42:EX55 FL42:FM55 GA42:GB55 GP42:GQ55 HE42:HF55 HT42:HU55 C58 R58 AG58 AV58 BK58 BZ58 CO58 DD58:DE58 DS58:DT58 EH58:EI58 EW58:EX58 FL58:FM58 GA58:GB58 GP58:GQ58 HE58:HF58 HT58:HU58 R65:R101 AG65:AG102 AV65:AV102 BK65:BK102 BZ65:BZ102 C65:C109 EW65:EX125 EW126 BZ104:BZ130 CA131 C111:C141 R104:R141 AG104:AG141 AV104:AV141 BK104:BK141 BZ132:BZ141 CO65:CO141 DD65:DE141 DS65:DT141 EH65:EI141 EW127:EX141 FL65:FM141 GA65:GB141 GP65:GQ141 HE65:HF141 HT65:HU141 C146:C186 R146:R186 AG146:AG186 AV146:AV186 BK146:BK186 BZ146:BZ186 CO146:CO186 DD146:DE186 DS146:DT186 EH146:EI186 EW146:EX186 FL146:FM186 GA146:GB186 GP146:GQ186 HE146:HF186 HT146:HU186 C189:C196 R189:R196 AG189:AG196 AV189:AV196 BK189:BK196 BZ189:BZ196 CO189:CO196 DD189:DE196 DS189:DT196 EH189:EI196 EW189:EX196 FL189:FM196 GA189:GB196 GP189:GQ196 HE189:HF196 HT189:HU196 C198:C202 R198:R202 AG198:AG202 AV198:AV202 BK198:BK202 BZ198:BZ202 CO198:CO202 DD198:DE202 DS198:DT202 EH198:EI202 EW198:EX202 FL198:FM202 GA198:GB202 GP198:GQ202 HE198:HF202 HT198:HU202 C204 R204 AG204 AV204 BK204 BZ204 CO204 DD204:DE204 DS204:DT204 EH204:EI204 EW204:EX204 FL204:FM204 GA204:GB204 GP204:GQ204 HE204:HF204 HT204:HU204 AG208:AG225 C208:C233 R208:R233 AG227:AG233 AV208:AV233 BK208:BK233 BZ208:BZ233 CO208:CO233 DD208:DE233 DS208:DT233 EH208:EI233 EW208:EX233 FL208:FM233 GA208:GB233 GP208:GQ233 HE208:HF233 HT208:HU233 C235:C236 R235:R236 AG235:AG236 AV235:AV236 BK235:BK236 BZ235:BZ236 CO235:CO236 DD235:DE236 DS235:DT236 EH235:EI236 EW235:EX236 FL235:FM236 GA235:GB236 GP235:GQ236 HE235:HF236 HT235:HU236 C238:C244 R238:R244 AG238:AG244 AV238:AV244 BK238:BK244 BZ238:BZ244 CO238:CO244 DD238:DE244 DS238:DT244 EH238:EI244 EW238:EX244 FL238:FM244 GA238:GB244 GP238:GQ244 HE238:HF244 HT238:HU244 C246:C258 R246:R258 AG246:AG270 C260:C280 R261:R281 C283:C301 R283:R301 AG272:AG301 AV246:AV301 BK246:BK301 BZ246:BZ301 CO246:CO301 DD246:DE301 DS246:DT301 EH246:EI301 EW246:EX301 FL246:FM301 GA246:GB301 GP246:GQ301 HE246:HF301 HT246:HU301 C303:C309 R303:R309 AG303:AG309 AV303:AV309 BK303:BK309 BZ303:BZ309 CO303:CO309 DD303:DE309 DS303:DT309 EH303:EI309 EW303:EX309 FL303:FM309 GA303:GB309 GP303:GQ309 HE303:HF309 HT303:HU309 C311 R311 AG311 AV311 BK311 BZ311 CO311 DD311:DE311 DS311:DT311 EH311:EI311 EW311:EX311 FL311:FM311 GA311:GB311 GP311:GQ311 HE311:HF311 HT311:HU311 C313 R313 AG313 AV313 BK313 BZ313 CO313 DD313:DE313 DS313:DT313 EH313:EI313 EW313:EX313 FL313:FM313 GA313:GB313 GP313:GQ313 HE313:HF313 HT313:HU313 C315:C321 R315:R321 AG315:AG321 AV315:AV321 BK315:BK321 BZ315:BZ321 CO315:CO321 DD315:DE321 DS315:DT321 EH315:EI321 EW315:EX321 FL315:FM321 GA315:GB321 GP315:GQ321 HE315:HF321 HT315:HU321 C324:C327 R324:R327 AG324:AG327 AV324:AV327 BK324:BK327 BZ324:BZ327 CO324:CO327 DD324:DE327 DS324:DT327 EH324:EI327 EW324:EX327 FL324:FM327 GA324:GB327 GP324:GQ327 HE324:HF327 HT324:HU327 C329:C339 R329:R339 AG329:AG339 AV329:AV339 BK329:BK339 BZ329:BZ339 CO329:CO339 DD329:DE339 DS329:DT339 EH329:EI339 EW329:EX339 FL329:FM339 GA329:GB339 GP329:GQ339 HE329:HF339 HT329:HU339 C343:C344 R343:R344 AG343:AG344 AV343:AV344 BK343:BK344 BZ343:BZ344 CO343:CO344 DD343:DE344 DS343:DT344 EH343:EI344 EW343:EX344 FL343:FM344 GA343:GB344 GP343:GQ344 HE343:HF344 HT343:HU344" xr:uid="{00000000-0002-0000-0200-000000000000}">
      <formula1>24.50001</formula1>
      <formula2>30.71001</formula2>
    </dataValidation>
  </dataValidations>
  <hyperlinks>
    <hyperlink ref="AL317" r:id="rId1" xr:uid="{00000000-0004-0000-0200-000000000000}"/>
  </hyperlink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30"/>
  <sheetViews>
    <sheetView workbookViewId="0">
      <pane ySplit="1" topLeftCell="A2" activePane="bottomLeft" state="frozen"/>
      <selection pane="bottomLeft" activeCell="B3" sqref="B3"/>
    </sheetView>
  </sheetViews>
  <sheetFormatPr defaultColWidth="12.5703125" defaultRowHeight="15.75" customHeight="1"/>
  <cols>
    <col min="1" max="1" width="24.85546875" customWidth="1"/>
  </cols>
  <sheetData>
    <row r="1" spans="1:17" ht="76.5">
      <c r="A1" s="123">
        <v>0</v>
      </c>
      <c r="B1" s="123" t="s">
        <v>1535</v>
      </c>
      <c r="C1" s="123" t="s">
        <v>1536</v>
      </c>
      <c r="D1" s="123" t="s">
        <v>1537</v>
      </c>
      <c r="E1" s="92" t="s">
        <v>1538</v>
      </c>
      <c r="F1" s="92" t="s">
        <v>1539</v>
      </c>
      <c r="G1" s="92" t="s">
        <v>1540</v>
      </c>
      <c r="H1" s="92" t="s">
        <v>1541</v>
      </c>
      <c r="I1" s="92" t="s">
        <v>1542</v>
      </c>
      <c r="J1" s="92" t="s">
        <v>1543</v>
      </c>
      <c r="K1" s="92" t="s">
        <v>1544</v>
      </c>
      <c r="L1" s="92" t="s">
        <v>1545</v>
      </c>
      <c r="M1" s="92" t="s">
        <v>1546</v>
      </c>
      <c r="N1" s="92" t="s">
        <v>1547</v>
      </c>
      <c r="O1" s="92" t="s">
        <v>1548</v>
      </c>
      <c r="P1" s="92" t="s">
        <v>1549</v>
      </c>
      <c r="Q1" s="92" t="s">
        <v>1550</v>
      </c>
    </row>
    <row r="2" spans="1:17" ht="12.75">
      <c r="A2" s="15" t="s">
        <v>1551</v>
      </c>
      <c r="B2" s="15">
        <v>20</v>
      </c>
      <c r="C2" s="15">
        <v>30.052150000000001</v>
      </c>
      <c r="D2" s="15">
        <v>-84.316479999999999</v>
      </c>
      <c r="E2" s="15">
        <v>0</v>
      </c>
      <c r="F2" s="15">
        <v>0</v>
      </c>
      <c r="G2" s="15">
        <v>0</v>
      </c>
      <c r="H2" s="15">
        <v>0</v>
      </c>
      <c r="I2" s="15">
        <v>0</v>
      </c>
      <c r="J2" s="15">
        <v>0</v>
      </c>
      <c r="K2" s="15">
        <v>0</v>
      </c>
      <c r="L2" s="15">
        <v>0</v>
      </c>
      <c r="M2" s="15">
        <v>0</v>
      </c>
      <c r="N2" s="15">
        <v>0</v>
      </c>
      <c r="O2" s="15">
        <v>0</v>
      </c>
      <c r="P2" s="15">
        <v>0</v>
      </c>
      <c r="Q2" s="15" t="s">
        <v>1552</v>
      </c>
    </row>
    <row r="3" spans="1:17" ht="12.75">
      <c r="A3" s="15" t="s">
        <v>1551</v>
      </c>
      <c r="B3" s="15">
        <v>21</v>
      </c>
      <c r="C3" s="15">
        <v>30.050799999999999</v>
      </c>
      <c r="D3" s="15">
        <v>-84.315770000000001</v>
      </c>
      <c r="E3" s="15">
        <v>2</v>
      </c>
      <c r="F3" s="15" t="s">
        <v>1553</v>
      </c>
      <c r="G3" s="15">
        <v>0</v>
      </c>
      <c r="H3" s="15">
        <v>0</v>
      </c>
      <c r="I3" s="15">
        <v>0</v>
      </c>
      <c r="J3" s="15">
        <v>0</v>
      </c>
      <c r="K3" s="15">
        <v>0</v>
      </c>
      <c r="L3" s="15">
        <v>0</v>
      </c>
      <c r="M3" s="15">
        <v>0</v>
      </c>
      <c r="N3" s="15">
        <v>0</v>
      </c>
      <c r="O3" s="15">
        <v>0</v>
      </c>
      <c r="P3" s="15">
        <v>0</v>
      </c>
      <c r="Q3" s="15">
        <v>0</v>
      </c>
    </row>
    <row r="4" spans="1:17" ht="12.75">
      <c r="A4" s="15" t="s">
        <v>1551</v>
      </c>
      <c r="B4" s="15">
        <v>22</v>
      </c>
      <c r="C4" s="15">
        <v>30.046700000000001</v>
      </c>
      <c r="D4" s="15">
        <v>-84.319230000000005</v>
      </c>
      <c r="E4" s="15">
        <v>1</v>
      </c>
      <c r="F4" s="15">
        <v>0</v>
      </c>
      <c r="G4" s="15">
        <v>0</v>
      </c>
      <c r="H4" s="15">
        <v>0</v>
      </c>
      <c r="I4" s="15">
        <v>0</v>
      </c>
      <c r="J4" s="15">
        <v>0</v>
      </c>
      <c r="K4" s="15">
        <v>0</v>
      </c>
      <c r="L4" s="15">
        <v>0</v>
      </c>
      <c r="M4" s="15">
        <v>0</v>
      </c>
      <c r="N4" s="15">
        <v>0</v>
      </c>
      <c r="O4" s="15">
        <v>0</v>
      </c>
      <c r="P4" s="15">
        <v>0</v>
      </c>
      <c r="Q4" s="15">
        <v>0</v>
      </c>
    </row>
    <row r="5" spans="1:17" ht="12.75">
      <c r="A5" s="15" t="s">
        <v>1551</v>
      </c>
      <c r="B5" s="15">
        <v>23</v>
      </c>
      <c r="C5" s="15">
        <v>30.044989999999999</v>
      </c>
      <c r="D5" s="15">
        <v>-84.322620000000001</v>
      </c>
      <c r="E5" s="15">
        <v>2</v>
      </c>
      <c r="F5" s="15" t="s">
        <v>1554</v>
      </c>
      <c r="G5" s="15">
        <v>0</v>
      </c>
      <c r="H5" s="15">
        <v>0</v>
      </c>
      <c r="I5" s="15">
        <v>0</v>
      </c>
      <c r="J5" s="15">
        <v>0</v>
      </c>
      <c r="K5" s="15">
        <v>0</v>
      </c>
      <c r="L5" s="15">
        <v>0</v>
      </c>
      <c r="M5" s="15">
        <v>0</v>
      </c>
      <c r="N5" s="15">
        <v>0</v>
      </c>
      <c r="O5" s="15">
        <v>0</v>
      </c>
      <c r="P5" s="15">
        <v>0</v>
      </c>
      <c r="Q5" s="15">
        <v>0</v>
      </c>
    </row>
    <row r="6" spans="1:17" ht="12.75">
      <c r="A6" s="15" t="s">
        <v>1551</v>
      </c>
      <c r="B6" s="15">
        <v>24</v>
      </c>
      <c r="C6" s="15">
        <v>30.044820000000001</v>
      </c>
      <c r="D6" s="15">
        <v>-84.32544</v>
      </c>
      <c r="E6" s="15">
        <v>2</v>
      </c>
      <c r="F6" s="15" t="s">
        <v>1555</v>
      </c>
      <c r="G6" s="15">
        <v>0</v>
      </c>
      <c r="H6" s="15">
        <v>0</v>
      </c>
      <c r="I6" s="15">
        <v>0</v>
      </c>
      <c r="J6" s="15">
        <v>0</v>
      </c>
      <c r="K6" s="15">
        <v>0</v>
      </c>
      <c r="L6" s="15">
        <v>0</v>
      </c>
      <c r="M6" s="15">
        <v>0</v>
      </c>
      <c r="N6" s="15">
        <v>0</v>
      </c>
      <c r="O6" s="15">
        <v>0</v>
      </c>
      <c r="P6" s="15">
        <v>0</v>
      </c>
      <c r="Q6" s="15">
        <v>0</v>
      </c>
    </row>
    <row r="7" spans="1:17" ht="12.75">
      <c r="A7" s="15" t="s">
        <v>1551</v>
      </c>
      <c r="B7" s="15">
        <v>25</v>
      </c>
      <c r="C7" s="15">
        <v>30.042680000000001</v>
      </c>
      <c r="D7" s="15">
        <v>-84.325829999999996</v>
      </c>
      <c r="E7" s="15">
        <v>1</v>
      </c>
      <c r="F7" s="15">
        <v>0</v>
      </c>
      <c r="G7" s="15">
        <v>0</v>
      </c>
      <c r="H7" s="15">
        <v>0</v>
      </c>
      <c r="I7" s="15">
        <v>0</v>
      </c>
      <c r="J7" s="15">
        <v>0</v>
      </c>
      <c r="K7" s="15">
        <v>0</v>
      </c>
      <c r="L7" s="15">
        <v>0</v>
      </c>
      <c r="M7" s="15">
        <v>0</v>
      </c>
      <c r="N7" s="15">
        <v>0</v>
      </c>
      <c r="O7" s="15">
        <v>0</v>
      </c>
      <c r="P7" s="15">
        <v>0</v>
      </c>
      <c r="Q7" s="15">
        <v>0</v>
      </c>
    </row>
    <row r="8" spans="1:17" ht="12.75">
      <c r="A8" s="15" t="s">
        <v>1551</v>
      </c>
      <c r="B8" s="15">
        <v>26</v>
      </c>
      <c r="C8" s="15">
        <v>30.049219999999998</v>
      </c>
      <c r="D8" s="15">
        <v>-84.328800000000001</v>
      </c>
      <c r="E8" s="15">
        <v>1</v>
      </c>
      <c r="F8" s="15">
        <v>0</v>
      </c>
      <c r="G8" s="15">
        <v>0</v>
      </c>
      <c r="H8" s="15">
        <v>0</v>
      </c>
      <c r="I8" s="15">
        <v>0</v>
      </c>
      <c r="J8" s="15">
        <v>0</v>
      </c>
      <c r="K8" s="15">
        <v>0</v>
      </c>
      <c r="L8" s="15">
        <v>0</v>
      </c>
      <c r="M8" s="15">
        <v>0</v>
      </c>
      <c r="N8" s="15">
        <v>0</v>
      </c>
      <c r="O8" s="15">
        <v>0</v>
      </c>
      <c r="P8" s="15">
        <v>0</v>
      </c>
      <c r="Q8" s="15">
        <v>0</v>
      </c>
    </row>
    <row r="9" spans="1:17" ht="12.75">
      <c r="A9" s="15" t="s">
        <v>1551</v>
      </c>
      <c r="B9" s="15">
        <v>27</v>
      </c>
      <c r="C9" s="15">
        <v>30.054659999999998</v>
      </c>
      <c r="D9" s="15">
        <v>-84.325990000000004</v>
      </c>
      <c r="E9" s="15">
        <v>2</v>
      </c>
      <c r="F9" s="15" t="s">
        <v>1556</v>
      </c>
      <c r="G9" s="15">
        <v>0</v>
      </c>
      <c r="H9" s="15">
        <v>0</v>
      </c>
      <c r="I9" s="15">
        <v>0</v>
      </c>
      <c r="J9" s="15">
        <v>0</v>
      </c>
      <c r="K9" s="15">
        <v>0</v>
      </c>
      <c r="L9" s="15">
        <v>0</v>
      </c>
      <c r="M9" s="15">
        <v>0</v>
      </c>
      <c r="N9" s="15">
        <v>0</v>
      </c>
      <c r="O9" s="15">
        <v>0</v>
      </c>
      <c r="P9" s="15">
        <v>0</v>
      </c>
      <c r="Q9" s="15">
        <v>0</v>
      </c>
    </row>
    <row r="10" spans="1:17" ht="12.75">
      <c r="A10" s="15" t="s">
        <v>1551</v>
      </c>
      <c r="B10" s="15">
        <v>28</v>
      </c>
      <c r="C10" s="15">
        <v>30.052379999999999</v>
      </c>
      <c r="D10" s="15">
        <v>-84.326580000000007</v>
      </c>
      <c r="E10" s="15">
        <v>2</v>
      </c>
      <c r="F10" s="15" t="s">
        <v>1557</v>
      </c>
      <c r="G10" s="15">
        <v>0</v>
      </c>
      <c r="H10" s="15">
        <v>0</v>
      </c>
      <c r="I10" s="15">
        <v>0</v>
      </c>
      <c r="J10" s="15">
        <v>0</v>
      </c>
      <c r="K10" s="15">
        <v>0</v>
      </c>
      <c r="L10" s="15">
        <v>0</v>
      </c>
      <c r="M10" s="15">
        <v>0</v>
      </c>
      <c r="N10" s="15">
        <v>0</v>
      </c>
      <c r="O10" s="15">
        <v>0</v>
      </c>
      <c r="P10" s="15">
        <v>0</v>
      </c>
      <c r="Q10" s="15">
        <v>0</v>
      </c>
    </row>
    <row r="11" spans="1:17" ht="12.75">
      <c r="A11" s="15" t="s">
        <v>1551</v>
      </c>
      <c r="B11" s="15">
        <v>29</v>
      </c>
      <c r="C11" s="15">
        <v>30.05275</v>
      </c>
      <c r="D11" s="15">
        <v>-84.320650000000001</v>
      </c>
      <c r="E11" s="15">
        <v>2</v>
      </c>
      <c r="F11" s="15" t="s">
        <v>1558</v>
      </c>
      <c r="G11" s="15">
        <v>0</v>
      </c>
      <c r="H11" s="15">
        <v>0</v>
      </c>
      <c r="I11" s="15">
        <v>0</v>
      </c>
      <c r="J11" s="15">
        <v>0</v>
      </c>
      <c r="K11" s="15">
        <v>0</v>
      </c>
      <c r="L11" s="15">
        <v>0</v>
      </c>
      <c r="M11" s="15">
        <v>0</v>
      </c>
      <c r="N11" s="15">
        <v>0</v>
      </c>
      <c r="O11" s="15">
        <v>0</v>
      </c>
      <c r="P11" s="15">
        <v>0</v>
      </c>
      <c r="Q11" s="15">
        <v>0</v>
      </c>
    </row>
    <row r="12" spans="1:17" ht="12.75">
      <c r="A12" s="15" t="s">
        <v>1551</v>
      </c>
      <c r="B12" s="15">
        <v>30</v>
      </c>
      <c r="C12" s="15">
        <v>30.049510000000001</v>
      </c>
      <c r="D12" s="15">
        <v>-84.322109999999995</v>
      </c>
      <c r="E12" s="15">
        <v>0</v>
      </c>
      <c r="F12" s="15">
        <v>0</v>
      </c>
      <c r="G12" s="15">
        <v>0</v>
      </c>
      <c r="H12" s="15">
        <v>0</v>
      </c>
      <c r="I12" s="15">
        <v>0</v>
      </c>
      <c r="J12" s="15">
        <v>0</v>
      </c>
      <c r="K12" s="15">
        <v>1</v>
      </c>
      <c r="L12" s="15">
        <v>0</v>
      </c>
      <c r="M12" s="15">
        <v>0</v>
      </c>
      <c r="N12" s="15">
        <v>0</v>
      </c>
      <c r="O12" s="15">
        <v>0</v>
      </c>
      <c r="P12" s="15">
        <v>0</v>
      </c>
      <c r="Q12" s="15" t="s">
        <v>1559</v>
      </c>
    </row>
    <row r="13" spans="1:17" ht="12.75">
      <c r="A13" s="15" t="s">
        <v>1551</v>
      </c>
      <c r="B13" s="15">
        <v>31</v>
      </c>
      <c r="C13" s="15">
        <v>30.048929999999999</v>
      </c>
      <c r="D13" s="15">
        <v>-84.321060000000003</v>
      </c>
      <c r="E13" s="15">
        <v>1</v>
      </c>
      <c r="F13" s="15">
        <v>0</v>
      </c>
      <c r="G13" s="15">
        <v>0</v>
      </c>
      <c r="H13" s="15">
        <v>0</v>
      </c>
      <c r="I13" s="15">
        <v>0</v>
      </c>
      <c r="J13" s="15">
        <v>0</v>
      </c>
      <c r="K13" s="15">
        <v>0</v>
      </c>
      <c r="L13" s="15">
        <v>0</v>
      </c>
      <c r="M13" s="15">
        <v>0</v>
      </c>
      <c r="N13" s="15">
        <v>0</v>
      </c>
      <c r="O13" s="15">
        <v>0</v>
      </c>
      <c r="P13" s="15">
        <v>0</v>
      </c>
      <c r="Q13" s="15">
        <v>0</v>
      </c>
    </row>
    <row r="14" spans="1:17" ht="12.75">
      <c r="A14" s="15" t="s">
        <v>1551</v>
      </c>
      <c r="B14" s="15">
        <v>32</v>
      </c>
      <c r="C14" s="15">
        <v>30.056010000000001</v>
      </c>
      <c r="D14" s="15">
        <v>-84.335939999999994</v>
      </c>
      <c r="E14" s="15">
        <v>0</v>
      </c>
      <c r="F14" s="15">
        <v>0</v>
      </c>
      <c r="G14" s="15">
        <v>0</v>
      </c>
      <c r="H14" s="15">
        <v>0</v>
      </c>
      <c r="I14" s="15">
        <v>0</v>
      </c>
      <c r="J14" s="15">
        <v>0</v>
      </c>
      <c r="K14" s="15">
        <v>0</v>
      </c>
      <c r="L14" s="15">
        <v>0</v>
      </c>
      <c r="M14" s="15">
        <v>0</v>
      </c>
      <c r="N14" s="15">
        <v>0</v>
      </c>
      <c r="O14" s="15">
        <v>0</v>
      </c>
      <c r="P14" s="15">
        <v>0</v>
      </c>
      <c r="Q14" s="15" t="s">
        <v>1560</v>
      </c>
    </row>
    <row r="15" spans="1:17" ht="12.75">
      <c r="A15" s="15" t="s">
        <v>1551</v>
      </c>
      <c r="B15" s="15">
        <v>33</v>
      </c>
      <c r="C15" s="15">
        <v>30.095040000000001</v>
      </c>
      <c r="D15" s="15">
        <v>-84.266319999999993</v>
      </c>
      <c r="E15" s="15">
        <v>0</v>
      </c>
      <c r="F15" s="15">
        <v>0</v>
      </c>
      <c r="G15" s="15">
        <v>0</v>
      </c>
      <c r="H15" s="15">
        <v>0</v>
      </c>
      <c r="I15" s="15">
        <v>0</v>
      </c>
      <c r="J15" s="15">
        <v>0</v>
      </c>
      <c r="K15" s="15">
        <v>0</v>
      </c>
      <c r="L15" s="15">
        <v>0</v>
      </c>
      <c r="M15" s="15">
        <v>0</v>
      </c>
      <c r="N15" s="15">
        <v>0</v>
      </c>
      <c r="O15" s="15">
        <v>0</v>
      </c>
      <c r="P15" s="15">
        <v>0</v>
      </c>
      <c r="Q15" s="15" t="s">
        <v>1561</v>
      </c>
    </row>
    <row r="16" spans="1:17" ht="12.75">
      <c r="A16" s="15" t="s">
        <v>1551</v>
      </c>
      <c r="B16" s="15">
        <v>34</v>
      </c>
      <c r="C16" s="15">
        <v>30.104900000000001</v>
      </c>
      <c r="D16" s="15">
        <v>-84.26934</v>
      </c>
      <c r="E16" s="15">
        <v>0</v>
      </c>
      <c r="F16" s="15">
        <v>0</v>
      </c>
      <c r="G16" s="15">
        <v>0</v>
      </c>
      <c r="H16" s="15">
        <v>0</v>
      </c>
      <c r="I16" s="15">
        <v>0</v>
      </c>
      <c r="J16" s="15">
        <v>0</v>
      </c>
      <c r="K16" s="15">
        <v>0</v>
      </c>
      <c r="L16" s="15">
        <v>0</v>
      </c>
      <c r="M16" s="15">
        <v>0</v>
      </c>
      <c r="N16" s="15">
        <v>0</v>
      </c>
      <c r="O16" s="15">
        <v>0</v>
      </c>
      <c r="P16" s="15">
        <v>0</v>
      </c>
      <c r="Q16" s="15" t="s">
        <v>1562</v>
      </c>
    </row>
    <row r="17" spans="1:17" ht="12.75">
      <c r="A17" s="15" t="s">
        <v>1551</v>
      </c>
      <c r="B17" s="15">
        <v>35</v>
      </c>
      <c r="C17" s="15">
        <v>30.103079999999999</v>
      </c>
      <c r="D17" s="15">
        <v>-84.248260000000002</v>
      </c>
      <c r="E17" s="15">
        <v>0</v>
      </c>
      <c r="F17" s="15">
        <v>0</v>
      </c>
      <c r="G17" s="15">
        <v>0</v>
      </c>
      <c r="H17" s="15">
        <v>0</v>
      </c>
      <c r="I17" s="15">
        <v>0</v>
      </c>
      <c r="J17" s="15">
        <v>0</v>
      </c>
      <c r="K17" s="15">
        <v>0</v>
      </c>
      <c r="L17" s="15">
        <v>0</v>
      </c>
      <c r="M17" s="15">
        <v>0</v>
      </c>
      <c r="N17" s="15">
        <v>0</v>
      </c>
      <c r="O17" s="15">
        <v>0</v>
      </c>
      <c r="P17" s="15">
        <v>0</v>
      </c>
      <c r="Q17" s="15" t="s">
        <v>1563</v>
      </c>
    </row>
    <row r="18" spans="1:17" ht="12.75">
      <c r="A18" s="15" t="s">
        <v>1551</v>
      </c>
      <c r="B18" s="15">
        <v>36</v>
      </c>
      <c r="C18" s="15">
        <v>30.08447</v>
      </c>
      <c r="D18" s="15">
        <v>-84.213080000000005</v>
      </c>
      <c r="E18" s="15">
        <v>14</v>
      </c>
      <c r="F18" s="15" t="s">
        <v>1564</v>
      </c>
      <c r="G18" s="15">
        <v>0</v>
      </c>
      <c r="H18" s="15">
        <v>0</v>
      </c>
      <c r="I18" s="15">
        <v>0</v>
      </c>
      <c r="J18" s="15">
        <v>0</v>
      </c>
      <c r="K18" s="15">
        <v>0</v>
      </c>
      <c r="L18" s="15">
        <v>0</v>
      </c>
      <c r="M18" s="15">
        <v>0</v>
      </c>
      <c r="N18" s="15">
        <v>0</v>
      </c>
      <c r="O18" s="15">
        <v>0</v>
      </c>
      <c r="P18" s="15">
        <v>0</v>
      </c>
      <c r="Q18" s="15" t="s">
        <v>1565</v>
      </c>
    </row>
    <row r="19" spans="1:17" ht="12.75">
      <c r="A19" s="15" t="s">
        <v>1551</v>
      </c>
      <c r="B19" s="15">
        <v>37</v>
      </c>
      <c r="C19" s="15">
        <v>30.089559999999999</v>
      </c>
      <c r="D19" s="15">
        <v>-84.213660000000004</v>
      </c>
      <c r="E19" s="15">
        <v>1</v>
      </c>
      <c r="F19" s="15">
        <v>0</v>
      </c>
      <c r="G19" s="15">
        <v>0</v>
      </c>
      <c r="H19" s="15">
        <v>0</v>
      </c>
      <c r="I19" s="15">
        <v>0</v>
      </c>
      <c r="J19" s="15">
        <v>0</v>
      </c>
      <c r="K19" s="15">
        <v>0</v>
      </c>
      <c r="L19" s="15">
        <v>0</v>
      </c>
      <c r="M19" s="15">
        <v>0</v>
      </c>
      <c r="N19" s="15">
        <v>0</v>
      </c>
      <c r="O19" s="15">
        <v>0</v>
      </c>
      <c r="P19" s="15">
        <v>0</v>
      </c>
      <c r="Q19" s="15">
        <v>0</v>
      </c>
    </row>
    <row r="20" spans="1:17" ht="12.75">
      <c r="A20" s="15" t="s">
        <v>1551</v>
      </c>
      <c r="B20" s="15">
        <v>38</v>
      </c>
      <c r="C20" s="15">
        <v>30.079709999999999</v>
      </c>
      <c r="D20" s="15">
        <v>-84.191050000000004</v>
      </c>
      <c r="E20" s="15">
        <v>0</v>
      </c>
      <c r="F20" s="15">
        <v>0</v>
      </c>
      <c r="G20" s="15">
        <v>0</v>
      </c>
      <c r="H20" s="15">
        <v>0</v>
      </c>
      <c r="I20" s="15">
        <v>0</v>
      </c>
      <c r="J20" s="15">
        <v>0</v>
      </c>
      <c r="K20" s="15">
        <v>0</v>
      </c>
      <c r="L20" s="15">
        <v>0</v>
      </c>
      <c r="M20" s="15">
        <v>0</v>
      </c>
      <c r="N20" s="15">
        <v>0</v>
      </c>
      <c r="O20" s="15">
        <v>0</v>
      </c>
      <c r="P20" s="15">
        <v>0</v>
      </c>
      <c r="Q20" s="15" t="s">
        <v>1566</v>
      </c>
    </row>
    <row r="21" spans="1:17" ht="12.75">
      <c r="A21" s="15" t="s">
        <v>1551</v>
      </c>
      <c r="B21" s="15">
        <v>39</v>
      </c>
      <c r="C21" s="15">
        <v>30.09066</v>
      </c>
      <c r="D21" s="15">
        <v>-84.180940000000007</v>
      </c>
      <c r="E21" s="15">
        <v>10</v>
      </c>
      <c r="F21" s="15" t="s">
        <v>1567</v>
      </c>
      <c r="G21" s="15">
        <v>0</v>
      </c>
      <c r="H21" s="15">
        <v>0</v>
      </c>
      <c r="I21" s="15">
        <v>0</v>
      </c>
      <c r="J21" s="15">
        <v>0</v>
      </c>
      <c r="K21" s="15">
        <v>0</v>
      </c>
      <c r="L21" s="15">
        <v>0</v>
      </c>
      <c r="M21" s="15">
        <v>0</v>
      </c>
      <c r="N21" s="15">
        <v>0</v>
      </c>
      <c r="O21" s="15">
        <v>0</v>
      </c>
      <c r="P21" s="15">
        <v>0</v>
      </c>
      <c r="Q21" s="15">
        <v>0</v>
      </c>
    </row>
    <row r="22" spans="1:17" ht="12.75">
      <c r="A22" s="15" t="s">
        <v>1551</v>
      </c>
      <c r="B22" s="15">
        <v>40</v>
      </c>
      <c r="C22" s="15">
        <v>30.093820000000001</v>
      </c>
      <c r="D22" s="15">
        <v>-84.176379999999995</v>
      </c>
      <c r="E22" s="15">
        <v>10</v>
      </c>
      <c r="F22" s="15">
        <v>0</v>
      </c>
      <c r="G22" s="15">
        <v>0</v>
      </c>
      <c r="H22" s="15">
        <v>0</v>
      </c>
      <c r="I22" s="15">
        <v>0</v>
      </c>
      <c r="J22" s="15">
        <v>0</v>
      </c>
      <c r="K22" s="15">
        <v>0</v>
      </c>
      <c r="L22" s="15">
        <v>0</v>
      </c>
      <c r="M22" s="15">
        <v>0</v>
      </c>
      <c r="N22" s="15">
        <v>0</v>
      </c>
      <c r="O22" s="15">
        <v>0</v>
      </c>
      <c r="P22" s="15">
        <v>0</v>
      </c>
      <c r="Q22" s="15">
        <v>0</v>
      </c>
    </row>
    <row r="23" spans="1:17" ht="12.75">
      <c r="A23" s="15" t="s">
        <v>1551</v>
      </c>
      <c r="B23" s="15">
        <v>41</v>
      </c>
      <c r="C23" s="15">
        <v>30.098050000000001</v>
      </c>
      <c r="D23" s="15">
        <v>-84.172970000000007</v>
      </c>
      <c r="E23" s="15">
        <v>5</v>
      </c>
      <c r="F23" s="15" t="s">
        <v>1568</v>
      </c>
      <c r="G23" s="15">
        <v>0</v>
      </c>
      <c r="H23" s="15">
        <v>0</v>
      </c>
      <c r="I23" s="15">
        <v>0</v>
      </c>
      <c r="J23" s="15">
        <v>0</v>
      </c>
      <c r="K23" s="15">
        <v>0</v>
      </c>
      <c r="L23" s="15">
        <v>0</v>
      </c>
      <c r="M23" s="15">
        <v>0</v>
      </c>
      <c r="N23" s="15">
        <v>0</v>
      </c>
      <c r="O23" s="15">
        <v>0</v>
      </c>
      <c r="P23" s="15">
        <v>0</v>
      </c>
      <c r="Q23" s="15">
        <v>0</v>
      </c>
    </row>
    <row r="24" spans="1:17" ht="12.75">
      <c r="A24" s="15" t="s">
        <v>1551</v>
      </c>
      <c r="B24" s="15">
        <v>42</v>
      </c>
      <c r="C24" s="15">
        <v>30.097989999999999</v>
      </c>
      <c r="D24" s="15">
        <v>-84.176990000000004</v>
      </c>
      <c r="E24" s="15">
        <v>14</v>
      </c>
      <c r="F24" s="15" t="s">
        <v>1569</v>
      </c>
      <c r="G24" s="15">
        <v>0</v>
      </c>
      <c r="H24" s="15">
        <v>0</v>
      </c>
      <c r="I24" s="15">
        <v>0</v>
      </c>
      <c r="J24" s="15">
        <v>0</v>
      </c>
      <c r="K24" s="15">
        <v>0</v>
      </c>
      <c r="L24" s="15">
        <v>0</v>
      </c>
      <c r="M24" s="15">
        <v>0</v>
      </c>
      <c r="N24" s="15">
        <v>0</v>
      </c>
      <c r="O24" s="15">
        <v>0</v>
      </c>
      <c r="P24" s="15">
        <v>0</v>
      </c>
      <c r="Q24" s="15">
        <v>0</v>
      </c>
    </row>
    <row r="25" spans="1:17" ht="12.75">
      <c r="A25" s="15" t="s">
        <v>1551</v>
      </c>
      <c r="B25" s="15">
        <v>43</v>
      </c>
      <c r="C25" s="15">
        <v>30.089179999999999</v>
      </c>
      <c r="D25" s="15">
        <v>-84.178619999999995</v>
      </c>
      <c r="E25" s="15">
        <v>9</v>
      </c>
      <c r="F25" s="15">
        <v>0</v>
      </c>
      <c r="G25" s="15">
        <v>0</v>
      </c>
      <c r="H25" s="15">
        <v>0</v>
      </c>
      <c r="I25" s="15">
        <v>0</v>
      </c>
      <c r="J25" s="15">
        <v>0</v>
      </c>
      <c r="K25" s="15">
        <v>0</v>
      </c>
      <c r="L25" s="15">
        <v>0</v>
      </c>
      <c r="M25" s="15">
        <v>0</v>
      </c>
      <c r="N25" s="15">
        <v>0</v>
      </c>
      <c r="O25" s="15">
        <v>0</v>
      </c>
      <c r="P25" s="15">
        <v>0</v>
      </c>
      <c r="Q25" s="15">
        <v>0</v>
      </c>
    </row>
    <row r="26" spans="1:17" ht="12.75">
      <c r="A26" s="15" t="s">
        <v>1551</v>
      </c>
      <c r="B26" s="15">
        <v>44</v>
      </c>
      <c r="C26" s="15">
        <v>30.08736</v>
      </c>
      <c r="D26" s="15">
        <v>-84.177149999999997</v>
      </c>
      <c r="E26" s="15">
        <v>16</v>
      </c>
      <c r="F26" s="15">
        <v>0</v>
      </c>
      <c r="G26" s="15">
        <v>0</v>
      </c>
      <c r="H26" s="15">
        <v>0</v>
      </c>
      <c r="I26" s="15">
        <v>0</v>
      </c>
      <c r="J26" s="15">
        <v>0</v>
      </c>
      <c r="K26" s="15">
        <v>0</v>
      </c>
      <c r="L26" s="15">
        <v>0</v>
      </c>
      <c r="M26" s="15">
        <v>0</v>
      </c>
      <c r="N26" s="15">
        <v>0</v>
      </c>
      <c r="O26" s="15">
        <v>0</v>
      </c>
      <c r="P26" s="15">
        <v>0</v>
      </c>
      <c r="Q26" s="15">
        <v>0</v>
      </c>
    </row>
    <row r="27" spans="1:17" ht="12.75">
      <c r="A27" s="15" t="s">
        <v>1551</v>
      </c>
      <c r="B27" s="15">
        <v>45</v>
      </c>
      <c r="C27" s="15">
        <v>30.092500000000001</v>
      </c>
      <c r="D27" s="15">
        <v>-84.185230000000004</v>
      </c>
      <c r="E27" s="15">
        <v>1</v>
      </c>
      <c r="F27" s="15">
        <v>0</v>
      </c>
      <c r="G27" s="15">
        <v>0</v>
      </c>
      <c r="H27" s="15">
        <v>0</v>
      </c>
      <c r="I27" s="15">
        <v>0</v>
      </c>
      <c r="J27" s="15">
        <v>0</v>
      </c>
      <c r="K27" s="15">
        <v>0</v>
      </c>
      <c r="L27" s="15">
        <v>0</v>
      </c>
      <c r="M27" s="15">
        <v>0</v>
      </c>
      <c r="N27" s="15">
        <v>0</v>
      </c>
      <c r="O27" s="15">
        <v>0</v>
      </c>
      <c r="P27" s="15">
        <v>0</v>
      </c>
      <c r="Q27" s="15">
        <v>0</v>
      </c>
    </row>
    <row r="28" spans="1:17" ht="12.75">
      <c r="A28" s="15" t="s">
        <v>1551</v>
      </c>
      <c r="B28" s="15">
        <v>46</v>
      </c>
      <c r="C28" s="15">
        <v>30.0961</v>
      </c>
      <c r="D28" s="15">
        <v>-84.190529999999995</v>
      </c>
      <c r="E28" s="15">
        <v>2</v>
      </c>
      <c r="F28" s="15" t="s">
        <v>1570</v>
      </c>
      <c r="G28" s="15">
        <v>0</v>
      </c>
      <c r="H28" s="15">
        <v>0</v>
      </c>
      <c r="I28" s="15">
        <v>0</v>
      </c>
      <c r="J28" s="15">
        <v>0</v>
      </c>
      <c r="K28" s="15">
        <v>0</v>
      </c>
      <c r="L28" s="15">
        <v>0</v>
      </c>
      <c r="M28" s="15">
        <v>0</v>
      </c>
      <c r="N28" s="15">
        <v>0</v>
      </c>
      <c r="O28" s="15">
        <v>0</v>
      </c>
      <c r="P28" s="15">
        <v>0</v>
      </c>
      <c r="Q28" s="15">
        <v>0</v>
      </c>
    </row>
    <row r="29" spans="1:17" ht="15.75" customHeight="1">
      <c r="A29" s="13" t="s">
        <v>769</v>
      </c>
      <c r="B29" s="15">
        <v>20</v>
      </c>
      <c r="C29" s="15">
        <v>29.95065</v>
      </c>
      <c r="D29" s="15">
        <v>-81.314830000000001</v>
      </c>
      <c r="E29" s="15">
        <v>2</v>
      </c>
      <c r="F29" s="15" t="s">
        <v>1380</v>
      </c>
      <c r="G29" s="15">
        <v>0</v>
      </c>
      <c r="H29" s="15">
        <v>0</v>
      </c>
      <c r="I29" s="15">
        <v>0</v>
      </c>
      <c r="J29" s="15">
        <v>0</v>
      </c>
      <c r="K29" s="15">
        <v>0</v>
      </c>
      <c r="L29" s="15">
        <v>0</v>
      </c>
      <c r="M29" s="15">
        <v>0</v>
      </c>
      <c r="N29" s="15">
        <v>0</v>
      </c>
      <c r="O29" s="15">
        <v>0</v>
      </c>
      <c r="P29" s="15">
        <v>0</v>
      </c>
    </row>
    <row r="30" spans="1:17" ht="15.75" customHeight="1">
      <c r="A30" s="13" t="s">
        <v>769</v>
      </c>
      <c r="B30" s="15">
        <v>21</v>
      </c>
      <c r="C30" s="15">
        <v>29.615590000000001</v>
      </c>
      <c r="D30" s="15">
        <v>-82.335790000000003</v>
      </c>
      <c r="E30" s="15">
        <v>5</v>
      </c>
      <c r="F30" s="15" t="s">
        <v>1380</v>
      </c>
      <c r="G30" s="15">
        <v>0</v>
      </c>
      <c r="H30" s="15">
        <v>0</v>
      </c>
      <c r="I30" s="15">
        <v>0</v>
      </c>
      <c r="J30" s="15">
        <v>0</v>
      </c>
      <c r="K30" s="15">
        <v>0</v>
      </c>
      <c r="L30" s="15">
        <v>0</v>
      </c>
      <c r="M30" s="15">
        <v>0</v>
      </c>
      <c r="N30" s="15">
        <v>0</v>
      </c>
      <c r="O30" s="15">
        <v>0</v>
      </c>
      <c r="P30" s="1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4D79"/>
    <outlinePr summaryBelow="0" summaryRight="0"/>
    <pageSetUpPr fitToPage="1"/>
  </sheetPr>
  <dimension ref="H2:J3"/>
  <sheetViews>
    <sheetView workbookViewId="0"/>
  </sheetViews>
  <sheetFormatPr defaultColWidth="12.5703125" defaultRowHeight="15.75" customHeight="1"/>
  <cols>
    <col min="7" max="7" width="20.7109375" customWidth="1"/>
  </cols>
  <sheetData>
    <row r="2" spans="8:10">
      <c r="H2" s="15" t="s">
        <v>1571</v>
      </c>
      <c r="I2" s="17">
        <f>COUNTA('All Species'!C5:C349)</f>
        <v>271</v>
      </c>
      <c r="J2" s="17">
        <f>(I2/I3)*100</f>
        <v>343.03797468354429</v>
      </c>
    </row>
    <row r="3" spans="8:10">
      <c r="H3" s="15" t="s">
        <v>1572</v>
      </c>
      <c r="I3" s="17">
        <f>350-I2</f>
        <v>79</v>
      </c>
    </row>
  </sheetData>
  <printOptions horizontalCentered="1" gridLines="1"/>
  <pageMargins left="0.7" right="0.7" top="0.75" bottom="0.75" header="0" footer="0"/>
  <pageSetup fitToHeight="0" pageOrder="overThenDown" orientation="landscape" cellComments="atEnd"/>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982"/>
  <sheetViews>
    <sheetView workbookViewId="0">
      <pane ySplit="2" topLeftCell="A3" activePane="bottomLeft" state="frozen"/>
      <selection pane="bottomLeft" activeCell="B4" sqref="B4"/>
    </sheetView>
  </sheetViews>
  <sheetFormatPr defaultColWidth="12.5703125" defaultRowHeight="15.75" customHeight="1"/>
  <cols>
    <col min="1" max="1" width="31.7109375" customWidth="1"/>
    <col min="4" max="4" width="21.28515625" customWidth="1"/>
  </cols>
  <sheetData>
    <row r="1" spans="1:4" ht="15.75" customHeight="1">
      <c r="A1" s="9" t="s">
        <v>6</v>
      </c>
      <c r="B1" s="10" t="s">
        <v>7</v>
      </c>
      <c r="C1" s="10" t="s">
        <v>8</v>
      </c>
      <c r="D1" s="10" t="s">
        <v>9</v>
      </c>
    </row>
    <row r="2" spans="1:4" ht="15.75" customHeight="1">
      <c r="A2" s="12" t="s">
        <v>63</v>
      </c>
      <c r="B2" s="13"/>
      <c r="C2" s="14"/>
    </row>
    <row r="3" spans="1:4" ht="15.75" customHeight="1">
      <c r="A3" s="69" t="s">
        <v>769</v>
      </c>
      <c r="B3" s="69" t="s">
        <v>747</v>
      </c>
      <c r="C3" s="70">
        <v>44231</v>
      </c>
      <c r="D3" s="71" t="s">
        <v>770</v>
      </c>
    </row>
    <row r="4" spans="1:4" ht="15.75" customHeight="1">
      <c r="A4" s="13" t="s">
        <v>474</v>
      </c>
      <c r="B4" s="13" t="s">
        <v>475</v>
      </c>
      <c r="C4" s="14">
        <v>44234</v>
      </c>
      <c r="D4" s="15" t="s">
        <v>476</v>
      </c>
    </row>
    <row r="5" spans="1:4" ht="15.75" customHeight="1">
      <c r="A5" s="13" t="s">
        <v>478</v>
      </c>
      <c r="B5" s="13" t="s">
        <v>475</v>
      </c>
      <c r="C5" s="14">
        <v>44234</v>
      </c>
      <c r="D5" s="52" t="s">
        <v>479</v>
      </c>
    </row>
    <row r="6" spans="1:4" ht="15.75" customHeight="1">
      <c r="A6" s="13" t="s">
        <v>679</v>
      </c>
      <c r="B6" s="13" t="s">
        <v>649</v>
      </c>
      <c r="C6" s="14">
        <v>44234</v>
      </c>
      <c r="D6" s="15" t="s">
        <v>680</v>
      </c>
    </row>
    <row r="7" spans="1:4" ht="15.75" customHeight="1">
      <c r="A7" s="13" t="s">
        <v>235</v>
      </c>
      <c r="B7" s="13" t="s">
        <v>219</v>
      </c>
      <c r="C7" s="14">
        <v>44594</v>
      </c>
      <c r="D7" s="36" t="s">
        <v>236</v>
      </c>
    </row>
    <row r="8" spans="1:4" ht="15.75" customHeight="1">
      <c r="A8" s="13" t="s">
        <v>124</v>
      </c>
      <c r="B8" s="13" t="s">
        <v>106</v>
      </c>
      <c r="C8" s="14">
        <v>44596</v>
      </c>
      <c r="D8" s="15" t="s">
        <v>125</v>
      </c>
    </row>
    <row r="9" spans="1:4" ht="15.75" customHeight="1">
      <c r="A9" s="20" t="s">
        <v>144</v>
      </c>
      <c r="B9" s="24" t="s">
        <v>145</v>
      </c>
      <c r="C9" s="14">
        <v>44596</v>
      </c>
      <c r="D9" s="27" t="s">
        <v>146</v>
      </c>
    </row>
    <row r="10" spans="1:4" ht="15.75" customHeight="1">
      <c r="A10" s="13" t="s">
        <v>164</v>
      </c>
      <c r="B10" s="13" t="s">
        <v>165</v>
      </c>
      <c r="C10" s="14">
        <v>44596</v>
      </c>
      <c r="D10" s="15" t="s">
        <v>166</v>
      </c>
    </row>
    <row r="11" spans="1:4" ht="15.75" customHeight="1">
      <c r="A11" s="13" t="s">
        <v>200</v>
      </c>
      <c r="B11" s="13" t="s">
        <v>189</v>
      </c>
      <c r="C11" s="14">
        <v>44596</v>
      </c>
      <c r="D11" s="15" t="s">
        <v>194</v>
      </c>
    </row>
    <row r="12" spans="1:4" ht="15.75" customHeight="1">
      <c r="A12" s="13" t="s">
        <v>205</v>
      </c>
      <c r="B12" s="13" t="s">
        <v>189</v>
      </c>
      <c r="C12" s="14">
        <v>44596</v>
      </c>
      <c r="D12" s="15" t="s">
        <v>197</v>
      </c>
    </row>
    <row r="13" spans="1:4" ht="15.75" customHeight="1">
      <c r="A13" s="13" t="s">
        <v>208</v>
      </c>
      <c r="B13" s="13" t="s">
        <v>189</v>
      </c>
      <c r="C13" s="14">
        <v>44596</v>
      </c>
      <c r="D13" s="15" t="s">
        <v>209</v>
      </c>
    </row>
    <row r="14" spans="1:4" ht="15.75" customHeight="1">
      <c r="A14" s="20" t="s">
        <v>267</v>
      </c>
      <c r="B14" s="13" t="s">
        <v>268</v>
      </c>
      <c r="C14" s="40">
        <v>44596</v>
      </c>
      <c r="D14" s="39" t="s">
        <v>76</v>
      </c>
    </row>
    <row r="15" spans="1:4" ht="15.75" customHeight="1">
      <c r="A15" s="13" t="s">
        <v>385</v>
      </c>
      <c r="B15" s="13" t="s">
        <v>384</v>
      </c>
      <c r="C15" s="14">
        <v>44596</v>
      </c>
      <c r="D15" s="15" t="s">
        <v>386</v>
      </c>
    </row>
    <row r="16" spans="1:4" ht="15.75" customHeight="1">
      <c r="A16" s="13" t="s">
        <v>395</v>
      </c>
      <c r="B16" s="13" t="s">
        <v>384</v>
      </c>
      <c r="C16" s="32">
        <v>44596</v>
      </c>
      <c r="D16" s="15" t="s">
        <v>386</v>
      </c>
    </row>
    <row r="17" spans="1:4" ht="15.75" customHeight="1">
      <c r="A17" s="13" t="s">
        <v>450</v>
      </c>
      <c r="B17" s="13" t="s">
        <v>437</v>
      </c>
      <c r="C17" s="14">
        <v>44596</v>
      </c>
      <c r="D17" s="15" t="s">
        <v>451</v>
      </c>
    </row>
    <row r="18" spans="1:4" ht="15.75" customHeight="1">
      <c r="A18" s="20" t="s">
        <v>464</v>
      </c>
      <c r="B18" s="24" t="s">
        <v>437</v>
      </c>
      <c r="C18" s="14">
        <v>44596</v>
      </c>
      <c r="D18" s="15" t="s">
        <v>458</v>
      </c>
    </row>
    <row r="19" spans="1:4" ht="15.75" customHeight="1">
      <c r="A19" s="13" t="s">
        <v>523</v>
      </c>
      <c r="B19" s="13" t="s">
        <v>507</v>
      </c>
      <c r="C19" s="14">
        <v>44596</v>
      </c>
      <c r="D19" s="15" t="s">
        <v>524</v>
      </c>
    </row>
    <row r="20" spans="1:4" ht="15.75" customHeight="1">
      <c r="A20" s="13" t="s">
        <v>527</v>
      </c>
      <c r="B20" s="13" t="s">
        <v>528</v>
      </c>
      <c r="C20" s="14">
        <v>44596</v>
      </c>
      <c r="D20" s="15" t="s">
        <v>529</v>
      </c>
    </row>
    <row r="21" spans="1:4" ht="15.75" customHeight="1">
      <c r="A21" s="35" t="s">
        <v>538</v>
      </c>
      <c r="B21" s="35" t="s">
        <v>528</v>
      </c>
      <c r="C21" s="32">
        <v>44596</v>
      </c>
      <c r="D21" s="15" t="s">
        <v>539</v>
      </c>
    </row>
    <row r="22" spans="1:4" ht="15.75" customHeight="1">
      <c r="A22" s="13" t="s">
        <v>557</v>
      </c>
      <c r="B22" s="13" t="s">
        <v>528</v>
      </c>
      <c r="C22" s="14">
        <v>44596</v>
      </c>
      <c r="D22" s="15" t="s">
        <v>558</v>
      </c>
    </row>
    <row r="23" spans="1:4" ht="15.75" customHeight="1">
      <c r="A23" s="13" t="s">
        <v>612</v>
      </c>
      <c r="B23" s="13" t="s">
        <v>596</v>
      </c>
      <c r="C23" s="14">
        <v>44596</v>
      </c>
      <c r="D23" s="15" t="s">
        <v>613</v>
      </c>
    </row>
    <row r="24" spans="1:4" ht="15.75" customHeight="1">
      <c r="A24" s="13" t="s">
        <v>629</v>
      </c>
      <c r="B24" s="13" t="s">
        <v>596</v>
      </c>
      <c r="C24" s="14">
        <v>44596</v>
      </c>
      <c r="D24" s="15" t="s">
        <v>381</v>
      </c>
    </row>
    <row r="25" spans="1:4" ht="15.75" customHeight="1">
      <c r="A25" s="13" t="s">
        <v>630</v>
      </c>
      <c r="B25" s="13" t="s">
        <v>596</v>
      </c>
      <c r="C25" s="14">
        <v>44596</v>
      </c>
      <c r="D25" s="18" t="s">
        <v>381</v>
      </c>
    </row>
    <row r="26" spans="1:4" ht="15.75" customHeight="1">
      <c r="A26" s="29" t="s">
        <v>633</v>
      </c>
      <c r="B26" s="24" t="s">
        <v>596</v>
      </c>
      <c r="C26" s="14">
        <v>44596</v>
      </c>
      <c r="D26" s="15" t="s">
        <v>613</v>
      </c>
    </row>
    <row r="27" spans="1:4" ht="15.75" customHeight="1">
      <c r="A27" s="13" t="s">
        <v>658</v>
      </c>
      <c r="B27" s="13" t="s">
        <v>649</v>
      </c>
      <c r="C27" s="32">
        <v>44596</v>
      </c>
      <c r="D27" s="15" t="s">
        <v>659</v>
      </c>
    </row>
    <row r="28" spans="1:4" ht="15.75" customHeight="1">
      <c r="A28" s="62" t="s">
        <v>668</v>
      </c>
      <c r="B28" s="62" t="s">
        <v>649</v>
      </c>
      <c r="C28" s="14">
        <v>44596</v>
      </c>
      <c r="D28" s="15" t="s">
        <v>669</v>
      </c>
    </row>
    <row r="29" spans="1:4" ht="15.75" customHeight="1">
      <c r="A29" s="13" t="s">
        <v>671</v>
      </c>
      <c r="B29" s="13" t="s">
        <v>649</v>
      </c>
      <c r="C29" s="14">
        <v>44596</v>
      </c>
      <c r="D29" s="15" t="s">
        <v>672</v>
      </c>
    </row>
    <row r="30" spans="1:4" ht="15.75" customHeight="1">
      <c r="A30" s="13" t="s">
        <v>689</v>
      </c>
      <c r="B30" s="13" t="s">
        <v>649</v>
      </c>
      <c r="C30" s="14">
        <v>44596</v>
      </c>
      <c r="D30" s="15" t="s">
        <v>676</v>
      </c>
    </row>
    <row r="31" spans="1:4" ht="15.75" customHeight="1">
      <c r="A31" s="13" t="s">
        <v>698</v>
      </c>
      <c r="B31" s="13" t="s">
        <v>649</v>
      </c>
      <c r="C31" s="14">
        <v>44596</v>
      </c>
      <c r="D31" s="15" t="s">
        <v>659</v>
      </c>
    </row>
    <row r="32" spans="1:4" ht="15.75" customHeight="1">
      <c r="A32" s="13" t="s">
        <v>704</v>
      </c>
      <c r="B32" s="13" t="s">
        <v>649</v>
      </c>
      <c r="C32" s="14">
        <v>44596</v>
      </c>
      <c r="D32" s="15" t="s">
        <v>659</v>
      </c>
    </row>
    <row r="33" spans="1:4" ht="15.75" customHeight="1">
      <c r="A33" s="13" t="s">
        <v>712</v>
      </c>
      <c r="B33" s="13" t="s">
        <v>649</v>
      </c>
      <c r="C33" s="14">
        <v>44596</v>
      </c>
      <c r="D33" s="15" t="s">
        <v>713</v>
      </c>
    </row>
    <row r="34" spans="1:4" ht="15.75" customHeight="1">
      <c r="A34" s="13" t="s">
        <v>715</v>
      </c>
      <c r="B34" s="13" t="s">
        <v>649</v>
      </c>
      <c r="C34" s="14">
        <v>44596</v>
      </c>
      <c r="D34" s="15" t="s">
        <v>716</v>
      </c>
    </row>
    <row r="35" spans="1:4" ht="15.75" customHeight="1">
      <c r="A35" s="13" t="s">
        <v>752</v>
      </c>
      <c r="B35" s="13" t="s">
        <v>747</v>
      </c>
      <c r="C35" s="14">
        <v>44596</v>
      </c>
      <c r="D35" s="15" t="s">
        <v>753</v>
      </c>
    </row>
    <row r="36" spans="1:4" ht="15.75" customHeight="1">
      <c r="A36" s="13" t="s">
        <v>761</v>
      </c>
      <c r="B36" s="13" t="s">
        <v>747</v>
      </c>
      <c r="C36" s="14">
        <v>44596</v>
      </c>
      <c r="D36" s="15" t="s">
        <v>762</v>
      </c>
    </row>
    <row r="37" spans="1:4" ht="15.75" customHeight="1">
      <c r="A37" s="13" t="s">
        <v>763</v>
      </c>
      <c r="B37" s="13" t="s">
        <v>747</v>
      </c>
      <c r="C37" s="14">
        <v>44596</v>
      </c>
      <c r="D37" s="15" t="s">
        <v>764</v>
      </c>
    </row>
    <row r="38" spans="1:4" ht="15.75" customHeight="1">
      <c r="A38" s="13" t="s">
        <v>765</v>
      </c>
      <c r="B38" s="13" t="s">
        <v>747</v>
      </c>
      <c r="C38" s="14">
        <v>44596</v>
      </c>
      <c r="D38" s="15" t="s">
        <v>753</v>
      </c>
    </row>
    <row r="39" spans="1:4" ht="15.75" customHeight="1">
      <c r="A39" s="13" t="s">
        <v>766</v>
      </c>
      <c r="B39" s="13" t="s">
        <v>747</v>
      </c>
      <c r="C39" s="14">
        <v>44596</v>
      </c>
      <c r="D39" s="15" t="s">
        <v>767</v>
      </c>
    </row>
    <row r="40" spans="1:4" ht="15.75" customHeight="1">
      <c r="A40" s="13" t="s">
        <v>772</v>
      </c>
      <c r="B40" s="13" t="s">
        <v>747</v>
      </c>
      <c r="C40" s="14">
        <v>44596</v>
      </c>
      <c r="D40" s="15" t="s">
        <v>773</v>
      </c>
    </row>
    <row r="41" spans="1:4" ht="15.75" customHeight="1">
      <c r="A41" s="24" t="s">
        <v>787</v>
      </c>
      <c r="B41" s="24" t="s">
        <v>788</v>
      </c>
      <c r="C41" s="14">
        <v>44596</v>
      </c>
      <c r="D41" s="15" t="s">
        <v>789</v>
      </c>
    </row>
    <row r="42" spans="1:4" ht="15.75" customHeight="1">
      <c r="A42" s="13" t="s">
        <v>89</v>
      </c>
      <c r="B42" s="13" t="s">
        <v>65</v>
      </c>
      <c r="C42" s="14">
        <v>44597</v>
      </c>
      <c r="D42" s="15" t="s">
        <v>90</v>
      </c>
    </row>
    <row r="43" spans="1:4" ht="15.75" customHeight="1">
      <c r="A43" s="13" t="s">
        <v>172</v>
      </c>
      <c r="B43" s="13" t="s">
        <v>165</v>
      </c>
      <c r="C43" s="14">
        <v>44597</v>
      </c>
      <c r="D43" s="15" t="s">
        <v>173</v>
      </c>
    </row>
    <row r="44" spans="1:4" ht="15.75" customHeight="1">
      <c r="A44" s="13" t="s">
        <v>193</v>
      </c>
      <c r="B44" s="13" t="s">
        <v>189</v>
      </c>
      <c r="C44" s="14">
        <v>44597</v>
      </c>
      <c r="D44" s="15" t="s">
        <v>194</v>
      </c>
    </row>
    <row r="45" spans="1:4" ht="15.75" customHeight="1">
      <c r="A45" s="13" t="s">
        <v>369</v>
      </c>
      <c r="B45" s="13" t="s">
        <v>364</v>
      </c>
      <c r="C45" s="14">
        <v>44597</v>
      </c>
      <c r="D45" s="15" t="s">
        <v>90</v>
      </c>
    </row>
    <row r="46" spans="1:4" ht="15.75" customHeight="1">
      <c r="A46" s="24" t="s">
        <v>531</v>
      </c>
      <c r="B46" s="24" t="s">
        <v>528</v>
      </c>
      <c r="C46" s="14">
        <v>44597</v>
      </c>
      <c r="D46" s="15" t="s">
        <v>532</v>
      </c>
    </row>
    <row r="47" spans="1:4" ht="15.75" customHeight="1">
      <c r="A47" s="24" t="s">
        <v>555</v>
      </c>
      <c r="B47" s="24" t="s">
        <v>528</v>
      </c>
      <c r="C47" s="14">
        <v>44597</v>
      </c>
      <c r="D47" s="15" t="s">
        <v>532</v>
      </c>
    </row>
    <row r="48" spans="1:4" ht="15.75" customHeight="1">
      <c r="A48" s="24" t="s">
        <v>560</v>
      </c>
      <c r="B48" s="24" t="s">
        <v>528</v>
      </c>
      <c r="C48" s="14">
        <v>44597</v>
      </c>
      <c r="D48" s="15" t="s">
        <v>532</v>
      </c>
    </row>
    <row r="49" spans="1:4">
      <c r="A49" s="24" t="s">
        <v>562</v>
      </c>
      <c r="B49" s="24" t="s">
        <v>528</v>
      </c>
      <c r="C49" s="14">
        <v>44597</v>
      </c>
      <c r="D49" s="15" t="s">
        <v>532</v>
      </c>
    </row>
    <row r="50" spans="1:4">
      <c r="A50" s="13" t="s">
        <v>587</v>
      </c>
      <c r="B50" s="13" t="s">
        <v>580</v>
      </c>
      <c r="C50" s="14">
        <v>44597</v>
      </c>
      <c r="D50" s="15" t="s">
        <v>76</v>
      </c>
    </row>
    <row r="51" spans="1:4" ht="31.5">
      <c r="A51" s="24" t="s">
        <v>620</v>
      </c>
      <c r="B51" s="24" t="s">
        <v>596</v>
      </c>
      <c r="C51" s="32">
        <v>44597</v>
      </c>
      <c r="D51" s="15" t="s">
        <v>621</v>
      </c>
    </row>
    <row r="52" spans="1:4">
      <c r="A52" s="29" t="s">
        <v>626</v>
      </c>
      <c r="B52" s="24" t="s">
        <v>596</v>
      </c>
      <c r="C52" s="14">
        <v>44597</v>
      </c>
      <c r="D52" s="15" t="s">
        <v>627</v>
      </c>
    </row>
    <row r="53" spans="1:4">
      <c r="A53" s="13" t="s">
        <v>699</v>
      </c>
      <c r="B53" s="13" t="s">
        <v>649</v>
      </c>
      <c r="C53" s="14">
        <v>44597</v>
      </c>
      <c r="D53" s="15" t="s">
        <v>700</v>
      </c>
    </row>
    <row r="54" spans="1:4" ht="31.5">
      <c r="A54" s="29" t="s">
        <v>702</v>
      </c>
      <c r="B54" s="63" t="s">
        <v>649</v>
      </c>
      <c r="C54" s="14">
        <v>44597</v>
      </c>
      <c r="D54" s="15" t="s">
        <v>676</v>
      </c>
    </row>
    <row r="55" spans="1:4">
      <c r="A55" s="13" t="s">
        <v>717</v>
      </c>
      <c r="B55" s="13" t="s">
        <v>649</v>
      </c>
      <c r="C55" s="14">
        <v>44597</v>
      </c>
      <c r="D55" s="15" t="s">
        <v>700</v>
      </c>
    </row>
    <row r="56" spans="1:4">
      <c r="A56" s="13" t="s">
        <v>64</v>
      </c>
      <c r="B56" s="13" t="s">
        <v>65</v>
      </c>
      <c r="C56" s="14">
        <v>44598</v>
      </c>
      <c r="D56" s="15" t="s">
        <v>66</v>
      </c>
    </row>
    <row r="57" spans="1:4">
      <c r="A57" s="13" t="s">
        <v>72</v>
      </c>
      <c r="B57" s="13" t="s">
        <v>65</v>
      </c>
      <c r="C57" s="14">
        <v>44598</v>
      </c>
      <c r="D57" s="15" t="s">
        <v>73</v>
      </c>
    </row>
    <row r="58" spans="1:4">
      <c r="A58" s="13" t="s">
        <v>75</v>
      </c>
      <c r="B58" s="13" t="s">
        <v>65</v>
      </c>
      <c r="C58" s="14">
        <v>44598</v>
      </c>
      <c r="D58" s="15" t="s">
        <v>76</v>
      </c>
    </row>
    <row r="59" spans="1:4">
      <c r="A59" s="13" t="s">
        <v>84</v>
      </c>
      <c r="B59" s="13" t="s">
        <v>65</v>
      </c>
      <c r="C59" s="14">
        <v>44598</v>
      </c>
      <c r="D59" s="15" t="s">
        <v>73</v>
      </c>
    </row>
    <row r="60" spans="1:4">
      <c r="A60" s="13" t="s">
        <v>85</v>
      </c>
      <c r="B60" s="13" t="s">
        <v>65</v>
      </c>
      <c r="C60" s="14">
        <v>44598</v>
      </c>
      <c r="D60" s="15" t="s">
        <v>76</v>
      </c>
    </row>
    <row r="61" spans="1:4">
      <c r="A61" s="13" t="s">
        <v>86</v>
      </c>
      <c r="B61" s="13" t="s">
        <v>65</v>
      </c>
      <c r="C61" s="14">
        <v>44598</v>
      </c>
      <c r="D61" s="15" t="s">
        <v>87</v>
      </c>
    </row>
    <row r="62" spans="1:4">
      <c r="A62" s="20" t="s">
        <v>93</v>
      </c>
      <c r="B62" s="13" t="s">
        <v>65</v>
      </c>
      <c r="C62" s="14">
        <v>44598</v>
      </c>
      <c r="D62" s="15" t="s">
        <v>66</v>
      </c>
    </row>
    <row r="63" spans="1:4">
      <c r="A63" s="13" t="s">
        <v>94</v>
      </c>
      <c r="B63" s="13" t="s">
        <v>65</v>
      </c>
      <c r="C63" s="14">
        <v>44598</v>
      </c>
      <c r="D63" s="15" t="s">
        <v>95</v>
      </c>
    </row>
    <row r="64" spans="1:4">
      <c r="A64" s="13" t="s">
        <v>97</v>
      </c>
      <c r="B64" s="13" t="s">
        <v>65</v>
      </c>
      <c r="C64" s="14">
        <v>44598</v>
      </c>
      <c r="D64" s="15" t="s">
        <v>98</v>
      </c>
    </row>
    <row r="65" spans="1:4">
      <c r="A65" s="13" t="s">
        <v>101</v>
      </c>
      <c r="B65" s="13" t="s">
        <v>65</v>
      </c>
      <c r="C65" s="14">
        <v>44598</v>
      </c>
      <c r="D65" s="15" t="s">
        <v>95</v>
      </c>
    </row>
    <row r="66" spans="1:4">
      <c r="A66" s="13" t="s">
        <v>102</v>
      </c>
      <c r="B66" s="13" t="s">
        <v>65</v>
      </c>
      <c r="C66" s="14">
        <v>44598</v>
      </c>
      <c r="D66" s="15" t="s">
        <v>66</v>
      </c>
    </row>
    <row r="67" spans="1:4">
      <c r="A67" s="13" t="s">
        <v>103</v>
      </c>
      <c r="B67" s="13" t="s">
        <v>65</v>
      </c>
      <c r="C67" s="14">
        <v>44598</v>
      </c>
      <c r="D67" s="15" t="s">
        <v>104</v>
      </c>
    </row>
    <row r="68" spans="1:4">
      <c r="A68" s="13" t="s">
        <v>188</v>
      </c>
      <c r="B68" s="13" t="s">
        <v>189</v>
      </c>
      <c r="C68" s="14">
        <v>44598</v>
      </c>
      <c r="D68" s="15" t="s">
        <v>190</v>
      </c>
    </row>
    <row r="69" spans="1:4">
      <c r="A69" s="13" t="s">
        <v>334</v>
      </c>
      <c r="B69" s="13" t="s">
        <v>282</v>
      </c>
      <c r="C69" s="14">
        <v>44598</v>
      </c>
      <c r="D69" s="15" t="s">
        <v>335</v>
      </c>
    </row>
    <row r="70" spans="1:4">
      <c r="A70" s="13" t="s">
        <v>354</v>
      </c>
      <c r="B70" s="13" t="s">
        <v>282</v>
      </c>
      <c r="C70" s="14">
        <v>44598</v>
      </c>
      <c r="D70" s="15" t="s">
        <v>355</v>
      </c>
    </row>
    <row r="71" spans="1:4">
      <c r="A71" s="13" t="s">
        <v>357</v>
      </c>
      <c r="B71" s="13" t="s">
        <v>282</v>
      </c>
      <c r="C71" s="14">
        <v>44598</v>
      </c>
      <c r="D71" s="15" t="s">
        <v>325</v>
      </c>
    </row>
    <row r="72" spans="1:4">
      <c r="A72" s="29" t="s">
        <v>438</v>
      </c>
      <c r="B72" s="24" t="s">
        <v>437</v>
      </c>
      <c r="C72" s="14">
        <v>44598</v>
      </c>
      <c r="D72" s="15" t="s">
        <v>439</v>
      </c>
    </row>
    <row r="73" spans="1:4" ht="31.5">
      <c r="A73" s="24" t="s">
        <v>454</v>
      </c>
      <c r="B73" s="24" t="s">
        <v>437</v>
      </c>
      <c r="C73" s="14">
        <v>44598</v>
      </c>
      <c r="D73" s="15" t="s">
        <v>455</v>
      </c>
    </row>
    <row r="74" spans="1:4" ht="26.25">
      <c r="A74" s="24" t="s">
        <v>535</v>
      </c>
      <c r="B74" s="24" t="s">
        <v>528</v>
      </c>
      <c r="C74" s="14">
        <v>44598</v>
      </c>
      <c r="D74" s="18" t="s">
        <v>536</v>
      </c>
    </row>
    <row r="75" spans="1:4">
      <c r="A75" s="24" t="s">
        <v>547</v>
      </c>
      <c r="B75" s="24" t="s">
        <v>528</v>
      </c>
      <c r="C75" s="14">
        <v>44598</v>
      </c>
      <c r="D75" s="15" t="s">
        <v>536</v>
      </c>
    </row>
    <row r="76" spans="1:4">
      <c r="A76" s="13" t="s">
        <v>696</v>
      </c>
      <c r="B76" s="13" t="s">
        <v>649</v>
      </c>
      <c r="C76" s="14">
        <v>44598</v>
      </c>
      <c r="D76" s="15" t="s">
        <v>676</v>
      </c>
    </row>
    <row r="77" spans="1:4">
      <c r="A77" s="13" t="s">
        <v>728</v>
      </c>
      <c r="B77" s="13" t="s">
        <v>720</v>
      </c>
      <c r="C77" s="14">
        <v>44598</v>
      </c>
      <c r="D77" s="15" t="s">
        <v>729</v>
      </c>
    </row>
    <row r="78" spans="1:4" ht="31.5">
      <c r="A78" s="13" t="s">
        <v>734</v>
      </c>
      <c r="B78" s="13" t="s">
        <v>720</v>
      </c>
      <c r="C78" s="14">
        <v>44598</v>
      </c>
      <c r="D78" s="15" t="s">
        <v>735</v>
      </c>
    </row>
    <row r="79" spans="1:4" ht="31.5">
      <c r="A79" s="13" t="s">
        <v>738</v>
      </c>
      <c r="B79" s="13" t="s">
        <v>720</v>
      </c>
      <c r="C79" s="14">
        <v>44598</v>
      </c>
      <c r="D79" s="15" t="s">
        <v>739</v>
      </c>
    </row>
    <row r="80" spans="1:4">
      <c r="A80" s="24" t="s">
        <v>129</v>
      </c>
      <c r="B80" s="24" t="s">
        <v>106</v>
      </c>
      <c r="C80" s="14">
        <v>44599</v>
      </c>
      <c r="D80" s="15" t="s">
        <v>130</v>
      </c>
    </row>
    <row r="81" spans="1:4">
      <c r="A81" s="13" t="s">
        <v>136</v>
      </c>
      <c r="B81" s="13" t="s">
        <v>106</v>
      </c>
      <c r="C81" s="14">
        <v>44599</v>
      </c>
      <c r="D81" s="15" t="s">
        <v>137</v>
      </c>
    </row>
    <row r="82" spans="1:4">
      <c r="A82" s="13" t="s">
        <v>201</v>
      </c>
      <c r="B82" s="13" t="s">
        <v>189</v>
      </c>
      <c r="C82" s="14">
        <v>44599</v>
      </c>
      <c r="D82" s="15" t="s">
        <v>202</v>
      </c>
    </row>
    <row r="83" spans="1:4" ht="31.5">
      <c r="A83" s="13" t="s">
        <v>218</v>
      </c>
      <c r="B83" s="35" t="s">
        <v>219</v>
      </c>
      <c r="C83" s="32">
        <v>44599</v>
      </c>
      <c r="D83" s="36" t="s">
        <v>220</v>
      </c>
    </row>
    <row r="84" spans="1:4" ht="31.5">
      <c r="A84" s="35" t="s">
        <v>223</v>
      </c>
      <c r="B84" s="35" t="s">
        <v>219</v>
      </c>
      <c r="C84" s="32">
        <v>44599</v>
      </c>
      <c r="D84" s="15" t="s">
        <v>220</v>
      </c>
    </row>
    <row r="85" spans="1:4" ht="31.5">
      <c r="A85" s="35" t="s">
        <v>225</v>
      </c>
      <c r="B85" s="35" t="s">
        <v>219</v>
      </c>
      <c r="C85" s="32">
        <v>44599</v>
      </c>
      <c r="D85" s="15" t="s">
        <v>220</v>
      </c>
    </row>
    <row r="86" spans="1:4" ht="31.5">
      <c r="A86" s="13" t="s">
        <v>253</v>
      </c>
      <c r="B86" s="13" t="s">
        <v>251</v>
      </c>
      <c r="C86" s="14">
        <v>44599</v>
      </c>
      <c r="D86" s="18" t="s">
        <v>254</v>
      </c>
    </row>
    <row r="87" spans="1:4" ht="31.5">
      <c r="A87" s="13" t="s">
        <v>256</v>
      </c>
      <c r="B87" s="13" t="s">
        <v>251</v>
      </c>
      <c r="C87" s="14">
        <v>44599</v>
      </c>
      <c r="D87" s="15" t="s">
        <v>257</v>
      </c>
    </row>
    <row r="88" spans="1:4" ht="31.5">
      <c r="A88" s="13" t="s">
        <v>260</v>
      </c>
      <c r="B88" s="13" t="s">
        <v>251</v>
      </c>
      <c r="C88" s="14">
        <v>44599</v>
      </c>
      <c r="D88" s="15" t="s">
        <v>261</v>
      </c>
    </row>
    <row r="89" spans="1:4">
      <c r="A89" s="20" t="s">
        <v>269</v>
      </c>
      <c r="B89" s="13" t="s">
        <v>268</v>
      </c>
      <c r="C89" s="14">
        <v>44599</v>
      </c>
      <c r="D89" s="39" t="s">
        <v>76</v>
      </c>
    </row>
    <row r="90" spans="1:4">
      <c r="A90" s="20" t="s">
        <v>270</v>
      </c>
      <c r="B90" s="13" t="s">
        <v>268</v>
      </c>
      <c r="C90" s="14">
        <v>44599</v>
      </c>
      <c r="D90" s="39" t="s">
        <v>76</v>
      </c>
    </row>
    <row r="91" spans="1:4">
      <c r="A91" s="13" t="s">
        <v>321</v>
      </c>
      <c r="B91" s="13" t="s">
        <v>282</v>
      </c>
      <c r="C91" s="32">
        <v>44599</v>
      </c>
      <c r="D91" s="15" t="s">
        <v>322</v>
      </c>
    </row>
    <row r="92" spans="1:4">
      <c r="A92" s="13" t="s">
        <v>327</v>
      </c>
      <c r="B92" s="13" t="s">
        <v>282</v>
      </c>
      <c r="C92" s="30">
        <v>44599</v>
      </c>
      <c r="D92" s="15" t="s">
        <v>317</v>
      </c>
    </row>
    <row r="93" spans="1:4">
      <c r="A93" s="13" t="s">
        <v>333</v>
      </c>
      <c r="B93" s="13" t="s">
        <v>282</v>
      </c>
      <c r="C93" s="43">
        <v>44599</v>
      </c>
      <c r="D93" s="15" t="s">
        <v>322</v>
      </c>
    </row>
    <row r="94" spans="1:4" ht="31.5">
      <c r="A94" s="13" t="s">
        <v>350</v>
      </c>
      <c r="B94" s="13" t="s">
        <v>282</v>
      </c>
      <c r="C94" s="14">
        <v>44599</v>
      </c>
      <c r="D94" s="15" t="s">
        <v>351</v>
      </c>
    </row>
    <row r="95" spans="1:4" ht="31.5">
      <c r="A95" s="13" t="s">
        <v>363</v>
      </c>
      <c r="B95" s="13" t="s">
        <v>364</v>
      </c>
      <c r="C95" s="14">
        <v>44599</v>
      </c>
      <c r="D95" s="15" t="s">
        <v>365</v>
      </c>
    </row>
    <row r="96" spans="1:4">
      <c r="A96" s="13" t="s">
        <v>366</v>
      </c>
      <c r="B96" s="13" t="s">
        <v>364</v>
      </c>
      <c r="C96" s="14">
        <v>44599</v>
      </c>
      <c r="D96" s="15" t="s">
        <v>90</v>
      </c>
    </row>
    <row r="97" spans="1:4">
      <c r="A97" s="13" t="s">
        <v>368</v>
      </c>
      <c r="B97" s="13" t="s">
        <v>364</v>
      </c>
      <c r="C97" s="14">
        <v>44599</v>
      </c>
      <c r="D97" s="15" t="s">
        <v>317</v>
      </c>
    </row>
    <row r="98" spans="1:4">
      <c r="A98" s="13" t="s">
        <v>371</v>
      </c>
      <c r="B98" s="13" t="s">
        <v>364</v>
      </c>
      <c r="C98" s="14">
        <v>44599</v>
      </c>
      <c r="D98" s="15" t="s">
        <v>317</v>
      </c>
    </row>
    <row r="99" spans="1:4">
      <c r="A99" s="13" t="s">
        <v>372</v>
      </c>
      <c r="B99" s="13" t="s">
        <v>364</v>
      </c>
      <c r="C99" s="14">
        <v>44599</v>
      </c>
      <c r="D99" s="15" t="s">
        <v>283</v>
      </c>
    </row>
    <row r="100" spans="1:4">
      <c r="A100" s="13" t="s">
        <v>374</v>
      </c>
      <c r="B100" s="13" t="s">
        <v>364</v>
      </c>
      <c r="C100" s="14">
        <v>44599</v>
      </c>
      <c r="D100" s="15" t="s">
        <v>375</v>
      </c>
    </row>
    <row r="101" spans="1:4">
      <c r="A101" s="13" t="s">
        <v>377</v>
      </c>
      <c r="B101" s="13" t="s">
        <v>364</v>
      </c>
      <c r="C101" s="14">
        <v>44599</v>
      </c>
      <c r="D101" s="15" t="s">
        <v>90</v>
      </c>
    </row>
    <row r="102" spans="1:4">
      <c r="A102" s="29" t="s">
        <v>390</v>
      </c>
      <c r="B102" s="24" t="s">
        <v>384</v>
      </c>
      <c r="C102" s="14">
        <v>44599</v>
      </c>
      <c r="D102" s="15" t="s">
        <v>391</v>
      </c>
    </row>
    <row r="103" spans="1:4" ht="31.5">
      <c r="A103" s="13" t="s">
        <v>400</v>
      </c>
      <c r="B103" s="13" t="s">
        <v>401</v>
      </c>
      <c r="C103" s="43">
        <v>44599</v>
      </c>
      <c r="D103" s="15" t="s">
        <v>402</v>
      </c>
    </row>
    <row r="104" spans="1:4" ht="31.5">
      <c r="A104" s="20" t="s">
        <v>415</v>
      </c>
      <c r="B104" s="13" t="s">
        <v>401</v>
      </c>
      <c r="C104" s="14">
        <v>44599</v>
      </c>
      <c r="D104" s="15" t="s">
        <v>416</v>
      </c>
    </row>
    <row r="105" spans="1:4" ht="31.5">
      <c r="A105" s="35" t="s">
        <v>421</v>
      </c>
      <c r="B105" s="35" t="s">
        <v>422</v>
      </c>
      <c r="C105" s="44">
        <v>44599</v>
      </c>
      <c r="D105" s="45" t="s">
        <v>423</v>
      </c>
    </row>
    <row r="106" spans="1:4" ht="31.5">
      <c r="A106" s="13" t="s">
        <v>425</v>
      </c>
      <c r="B106" s="13" t="s">
        <v>422</v>
      </c>
      <c r="C106" s="30">
        <v>44599</v>
      </c>
      <c r="D106" s="15" t="s">
        <v>426</v>
      </c>
    </row>
    <row r="107" spans="1:4" ht="31.5">
      <c r="A107" s="13" t="s">
        <v>429</v>
      </c>
      <c r="B107" s="13" t="s">
        <v>422</v>
      </c>
      <c r="C107" s="14">
        <v>44599</v>
      </c>
      <c r="D107" s="45" t="s">
        <v>423</v>
      </c>
    </row>
    <row r="108" spans="1:4">
      <c r="A108" s="24" t="s">
        <v>431</v>
      </c>
      <c r="B108" s="24" t="s">
        <v>422</v>
      </c>
      <c r="C108" s="30">
        <v>44599</v>
      </c>
      <c r="D108" s="15" t="s">
        <v>432</v>
      </c>
    </row>
    <row r="109" spans="1:4">
      <c r="A109" s="20" t="s">
        <v>442</v>
      </c>
      <c r="B109" s="13" t="s">
        <v>437</v>
      </c>
      <c r="C109" s="14">
        <v>44599</v>
      </c>
      <c r="D109" s="15" t="s">
        <v>443</v>
      </c>
    </row>
    <row r="110" spans="1:4">
      <c r="A110" s="13" t="s">
        <v>465</v>
      </c>
      <c r="B110" s="13" t="s">
        <v>437</v>
      </c>
      <c r="C110" s="14">
        <v>44599</v>
      </c>
      <c r="D110" s="15" t="s">
        <v>466</v>
      </c>
    </row>
    <row r="111" spans="1:4" ht="31.5">
      <c r="A111" s="13" t="s">
        <v>471</v>
      </c>
      <c r="B111" s="13" t="s">
        <v>437</v>
      </c>
      <c r="C111" s="14">
        <v>44599</v>
      </c>
      <c r="D111" s="15" t="s">
        <v>472</v>
      </c>
    </row>
    <row r="112" spans="1:4">
      <c r="A112" s="13" t="s">
        <v>492</v>
      </c>
      <c r="B112" s="13" t="s">
        <v>488</v>
      </c>
      <c r="C112" s="14">
        <v>44599</v>
      </c>
      <c r="D112" s="15" t="s">
        <v>493</v>
      </c>
    </row>
    <row r="113" spans="1:4">
      <c r="A113" s="13" t="s">
        <v>518</v>
      </c>
      <c r="B113" s="13" t="s">
        <v>507</v>
      </c>
      <c r="C113" s="14">
        <v>44599</v>
      </c>
      <c r="D113" s="18" t="s">
        <v>519</v>
      </c>
    </row>
    <row r="114" spans="1:4">
      <c r="A114" s="13" t="s">
        <v>546</v>
      </c>
      <c r="B114" s="13" t="s">
        <v>528</v>
      </c>
      <c r="C114" s="14">
        <v>44599</v>
      </c>
      <c r="D114" s="15" t="s">
        <v>539</v>
      </c>
    </row>
    <row r="115" spans="1:4">
      <c r="A115" s="13" t="s">
        <v>565</v>
      </c>
      <c r="B115" s="55" t="s">
        <v>566</v>
      </c>
      <c r="C115" s="14">
        <v>44599</v>
      </c>
      <c r="D115" s="15" t="s">
        <v>220</v>
      </c>
    </row>
    <row r="116" spans="1:4">
      <c r="A116" s="13" t="s">
        <v>570</v>
      </c>
      <c r="B116" s="13" t="s">
        <v>566</v>
      </c>
      <c r="C116" s="14">
        <v>44599</v>
      </c>
      <c r="D116" s="15" t="s">
        <v>571</v>
      </c>
    </row>
    <row r="117" spans="1:4">
      <c r="A117" s="13" t="s">
        <v>593</v>
      </c>
      <c r="B117" s="13" t="s">
        <v>589</v>
      </c>
      <c r="C117" s="30">
        <v>44599</v>
      </c>
      <c r="D117" s="15" t="s">
        <v>493</v>
      </c>
    </row>
    <row r="118" spans="1:4">
      <c r="A118" s="13" t="s">
        <v>594</v>
      </c>
      <c r="B118" s="13" t="s">
        <v>589</v>
      </c>
      <c r="C118" s="14">
        <v>44599</v>
      </c>
      <c r="D118" s="15" t="s">
        <v>493</v>
      </c>
    </row>
    <row r="119" spans="1:4" ht="31.5">
      <c r="A119" s="13" t="s">
        <v>642</v>
      </c>
      <c r="B119" s="24" t="s">
        <v>635</v>
      </c>
      <c r="C119" s="32">
        <v>44599</v>
      </c>
      <c r="D119" s="15" t="s">
        <v>643</v>
      </c>
    </row>
    <row r="120" spans="1:4">
      <c r="A120" s="13" t="s">
        <v>648</v>
      </c>
      <c r="B120" s="13" t="s">
        <v>649</v>
      </c>
      <c r="C120" s="32">
        <v>44599</v>
      </c>
      <c r="D120" s="15" t="s">
        <v>650</v>
      </c>
    </row>
    <row r="121" spans="1:4" ht="31.5">
      <c r="A121" s="13" t="s">
        <v>661</v>
      </c>
      <c r="B121" s="13" t="s">
        <v>649</v>
      </c>
      <c r="C121" s="14">
        <v>44599</v>
      </c>
      <c r="D121" s="15" t="s">
        <v>662</v>
      </c>
    </row>
    <row r="122" spans="1:4">
      <c r="A122" s="13" t="s">
        <v>682</v>
      </c>
      <c r="B122" s="13" t="s">
        <v>649</v>
      </c>
      <c r="C122" s="14">
        <v>44599</v>
      </c>
      <c r="D122" s="15" t="s">
        <v>659</v>
      </c>
    </row>
    <row r="123" spans="1:4" ht="31.5">
      <c r="A123" s="13" t="s">
        <v>691</v>
      </c>
      <c r="B123" s="13" t="s">
        <v>649</v>
      </c>
      <c r="C123" s="14">
        <v>44599</v>
      </c>
      <c r="D123" s="15" t="s">
        <v>406</v>
      </c>
    </row>
    <row r="124" spans="1:4">
      <c r="A124" s="13" t="s">
        <v>693</v>
      </c>
      <c r="B124" s="13" t="s">
        <v>649</v>
      </c>
      <c r="C124" s="14">
        <v>44599</v>
      </c>
      <c r="D124" s="15" t="s">
        <v>676</v>
      </c>
    </row>
    <row r="125" spans="1:4">
      <c r="A125" s="13" t="s">
        <v>718</v>
      </c>
      <c r="B125" s="13" t="s">
        <v>649</v>
      </c>
      <c r="C125" s="14">
        <v>44599</v>
      </c>
      <c r="D125" s="15" t="s">
        <v>700</v>
      </c>
    </row>
    <row r="126" spans="1:4" ht="63">
      <c r="A126" s="13" t="s">
        <v>730</v>
      </c>
      <c r="B126" s="13" t="s">
        <v>720</v>
      </c>
      <c r="C126" s="14">
        <v>44599</v>
      </c>
      <c r="D126" s="15" t="s">
        <v>731</v>
      </c>
    </row>
    <row r="127" spans="1:4" ht="31.5">
      <c r="A127" s="13" t="s">
        <v>755</v>
      </c>
      <c r="B127" s="13" t="s">
        <v>747</v>
      </c>
      <c r="C127" s="14">
        <v>44599</v>
      </c>
      <c r="D127" s="15" t="s">
        <v>756</v>
      </c>
    </row>
    <row r="128" spans="1:4">
      <c r="A128" s="13" t="s">
        <v>774</v>
      </c>
      <c r="B128" s="13" t="s">
        <v>775</v>
      </c>
      <c r="C128" s="14">
        <v>44599</v>
      </c>
      <c r="D128" s="15" t="s">
        <v>611</v>
      </c>
    </row>
    <row r="129" spans="1:4">
      <c r="A129" s="13" t="s">
        <v>777</v>
      </c>
      <c r="B129" s="13" t="s">
        <v>775</v>
      </c>
      <c r="C129" s="14">
        <v>44599</v>
      </c>
      <c r="D129" s="15" t="s">
        <v>611</v>
      </c>
    </row>
    <row r="130" spans="1:4" ht="31.5">
      <c r="A130" s="24" t="s">
        <v>801</v>
      </c>
      <c r="B130" s="24" t="s">
        <v>797</v>
      </c>
      <c r="C130" s="14">
        <v>44599</v>
      </c>
      <c r="D130" s="15" t="s">
        <v>802</v>
      </c>
    </row>
    <row r="131" spans="1:4" ht="47.25">
      <c r="A131" s="13" t="s">
        <v>805</v>
      </c>
      <c r="B131" s="13" t="s">
        <v>797</v>
      </c>
      <c r="C131" s="14">
        <v>44599</v>
      </c>
      <c r="D131" s="15" t="s">
        <v>806</v>
      </c>
    </row>
    <row r="132" spans="1:4">
      <c r="A132" s="80" t="s">
        <v>810</v>
      </c>
      <c r="B132" s="31" t="s">
        <v>797</v>
      </c>
      <c r="C132" s="81">
        <v>44599</v>
      </c>
      <c r="D132" s="72" t="s">
        <v>125</v>
      </c>
    </row>
    <row r="133" spans="1:4" ht="31.5">
      <c r="A133" s="35" t="s">
        <v>819</v>
      </c>
      <c r="B133" s="35" t="s">
        <v>797</v>
      </c>
      <c r="C133" s="32">
        <v>44599</v>
      </c>
      <c r="D133" s="15" t="s">
        <v>820</v>
      </c>
    </row>
    <row r="134" spans="1:4" ht="31.5">
      <c r="A134" s="85" t="s">
        <v>822</v>
      </c>
      <c r="B134" s="31" t="s">
        <v>797</v>
      </c>
      <c r="C134" s="32">
        <v>44599</v>
      </c>
      <c r="D134" s="15" t="s">
        <v>125</v>
      </c>
    </row>
    <row r="135" spans="1:4" ht="63">
      <c r="A135" s="35" t="s">
        <v>823</v>
      </c>
      <c r="B135" s="35" t="s">
        <v>797</v>
      </c>
      <c r="C135" s="32">
        <v>44599</v>
      </c>
      <c r="D135" s="18" t="s">
        <v>824</v>
      </c>
    </row>
    <row r="136" spans="1:4" ht="12.75">
      <c r="A136" s="48" t="s">
        <v>846</v>
      </c>
      <c r="B136" s="48" t="s">
        <v>847</v>
      </c>
      <c r="C136" s="30">
        <v>44599</v>
      </c>
      <c r="D136" s="15" t="s">
        <v>361</v>
      </c>
    </row>
    <row r="137" spans="1:4">
      <c r="A137" s="12" t="s">
        <v>861</v>
      </c>
      <c r="B137" s="12" t="s">
        <v>216</v>
      </c>
      <c r="C137" s="14">
        <v>44599</v>
      </c>
      <c r="D137" s="15" t="s">
        <v>793</v>
      </c>
    </row>
    <row r="138" spans="1:4">
      <c r="A138" s="24" t="s">
        <v>120</v>
      </c>
      <c r="B138" s="24" t="s">
        <v>106</v>
      </c>
      <c r="C138" s="14">
        <v>44600</v>
      </c>
      <c r="D138" s="15" t="s">
        <v>121</v>
      </c>
    </row>
    <row r="139" spans="1:4">
      <c r="A139" s="13" t="s">
        <v>196</v>
      </c>
      <c r="B139" s="13" t="s">
        <v>189</v>
      </c>
      <c r="C139" s="14">
        <v>44600</v>
      </c>
      <c r="D139" s="15" t="s">
        <v>197</v>
      </c>
    </row>
    <row r="140" spans="1:4">
      <c r="A140" s="13" t="s">
        <v>207</v>
      </c>
      <c r="B140" s="13" t="s">
        <v>189</v>
      </c>
      <c r="C140" s="14">
        <v>44600</v>
      </c>
      <c r="D140" s="15" t="s">
        <v>197</v>
      </c>
    </row>
    <row r="141" spans="1:4">
      <c r="A141" s="13" t="s">
        <v>211</v>
      </c>
      <c r="B141" s="13" t="s">
        <v>189</v>
      </c>
      <c r="C141" s="14">
        <v>44600</v>
      </c>
      <c r="D141" s="15" t="s">
        <v>197</v>
      </c>
    </row>
    <row r="142" spans="1:4">
      <c r="A142" s="13" t="s">
        <v>213</v>
      </c>
      <c r="B142" s="13" t="s">
        <v>189</v>
      </c>
      <c r="C142" s="14">
        <v>44600</v>
      </c>
      <c r="D142" s="15" t="s">
        <v>197</v>
      </c>
    </row>
    <row r="143" spans="1:4" ht="31.5">
      <c r="A143" s="29" t="s">
        <v>266</v>
      </c>
      <c r="B143" s="24" t="s">
        <v>251</v>
      </c>
      <c r="C143" s="14">
        <v>44600</v>
      </c>
      <c r="D143" s="15" t="s">
        <v>76</v>
      </c>
    </row>
    <row r="144" spans="1:4">
      <c r="A144" s="13" t="s">
        <v>295</v>
      </c>
      <c r="B144" s="13" t="s">
        <v>282</v>
      </c>
      <c r="C144" s="14">
        <v>44600</v>
      </c>
      <c r="D144" s="15" t="s">
        <v>296</v>
      </c>
    </row>
    <row r="145" spans="1:4">
      <c r="A145" s="13" t="s">
        <v>297</v>
      </c>
      <c r="B145" s="13" t="s">
        <v>282</v>
      </c>
      <c r="C145" s="14">
        <v>44600</v>
      </c>
      <c r="D145" s="15" t="s">
        <v>66</v>
      </c>
    </row>
    <row r="146" spans="1:4">
      <c r="A146" s="13" t="s">
        <v>164</v>
      </c>
      <c r="B146" s="13" t="s">
        <v>282</v>
      </c>
      <c r="C146" s="14">
        <v>44600</v>
      </c>
      <c r="D146" s="15" t="s">
        <v>296</v>
      </c>
    </row>
    <row r="147" spans="1:4">
      <c r="A147" s="13" t="s">
        <v>306</v>
      </c>
      <c r="B147" s="13" t="s">
        <v>282</v>
      </c>
      <c r="C147" s="14">
        <v>44600</v>
      </c>
      <c r="D147" s="15" t="s">
        <v>307</v>
      </c>
    </row>
    <row r="148" spans="1:4">
      <c r="A148" s="13" t="s">
        <v>310</v>
      </c>
      <c r="B148" s="13" t="s">
        <v>282</v>
      </c>
      <c r="C148" s="14">
        <v>44600</v>
      </c>
      <c r="D148" s="15" t="s">
        <v>66</v>
      </c>
    </row>
    <row r="149" spans="1:4">
      <c r="A149" s="13" t="s">
        <v>312</v>
      </c>
      <c r="B149" s="13" t="s">
        <v>282</v>
      </c>
      <c r="C149" s="14">
        <v>44600</v>
      </c>
      <c r="D149" s="15" t="s">
        <v>313</v>
      </c>
    </row>
    <row r="150" spans="1:4">
      <c r="A150" s="24" t="s">
        <v>316</v>
      </c>
      <c r="B150" s="24" t="s">
        <v>282</v>
      </c>
      <c r="C150" s="14">
        <v>44600</v>
      </c>
      <c r="D150" s="15" t="s">
        <v>317</v>
      </c>
    </row>
    <row r="151" spans="1:4">
      <c r="A151" s="13" t="s">
        <v>319</v>
      </c>
      <c r="B151" s="13" t="s">
        <v>282</v>
      </c>
      <c r="C151" s="14">
        <v>44600</v>
      </c>
      <c r="D151" s="15" t="s">
        <v>296</v>
      </c>
    </row>
    <row r="152" spans="1:4">
      <c r="A152" s="13" t="s">
        <v>320</v>
      </c>
      <c r="B152" s="13" t="s">
        <v>282</v>
      </c>
      <c r="C152" s="14">
        <v>44600</v>
      </c>
      <c r="D152" s="15" t="s">
        <v>66</v>
      </c>
    </row>
    <row r="153" spans="1:4">
      <c r="A153" s="13" t="s">
        <v>323</v>
      </c>
      <c r="B153" s="13" t="s">
        <v>282</v>
      </c>
      <c r="C153" s="14">
        <v>44600</v>
      </c>
      <c r="D153" s="15" t="s">
        <v>66</v>
      </c>
    </row>
    <row r="154" spans="1:4">
      <c r="A154" s="13" t="s">
        <v>324</v>
      </c>
      <c r="B154" s="13" t="s">
        <v>282</v>
      </c>
      <c r="C154" s="14">
        <v>44600</v>
      </c>
      <c r="D154" s="15" t="s">
        <v>325</v>
      </c>
    </row>
    <row r="155" spans="1:4">
      <c r="A155" s="13" t="s">
        <v>328</v>
      </c>
      <c r="B155" s="13" t="s">
        <v>282</v>
      </c>
      <c r="C155" s="14">
        <v>44600</v>
      </c>
      <c r="D155" s="15" t="s">
        <v>296</v>
      </c>
    </row>
    <row r="156" spans="1:4">
      <c r="A156" s="13" t="s">
        <v>329</v>
      </c>
      <c r="B156" s="13" t="s">
        <v>282</v>
      </c>
      <c r="C156" s="14">
        <v>44600</v>
      </c>
      <c r="D156" s="15" t="s">
        <v>330</v>
      </c>
    </row>
    <row r="157" spans="1:4">
      <c r="A157" s="24" t="s">
        <v>337</v>
      </c>
      <c r="B157" s="24" t="s">
        <v>282</v>
      </c>
      <c r="C157" s="14">
        <v>44600</v>
      </c>
      <c r="D157" s="15" t="s">
        <v>66</v>
      </c>
    </row>
    <row r="158" spans="1:4" ht="31.5">
      <c r="A158" s="13" t="s">
        <v>338</v>
      </c>
      <c r="B158" s="13" t="s">
        <v>282</v>
      </c>
      <c r="C158" s="14">
        <v>44600</v>
      </c>
      <c r="D158" s="15" t="s">
        <v>339</v>
      </c>
    </row>
    <row r="159" spans="1:4">
      <c r="A159" s="13" t="s">
        <v>342</v>
      </c>
      <c r="B159" s="13" t="s">
        <v>282</v>
      </c>
      <c r="C159" s="14">
        <v>44600</v>
      </c>
      <c r="D159" s="15" t="s">
        <v>339</v>
      </c>
    </row>
    <row r="160" spans="1:4">
      <c r="A160" s="13" t="s">
        <v>347</v>
      </c>
      <c r="B160" s="13" t="s">
        <v>282</v>
      </c>
      <c r="C160" s="14">
        <v>44600</v>
      </c>
      <c r="D160" s="15" t="s">
        <v>296</v>
      </c>
    </row>
    <row r="161" spans="1:4">
      <c r="A161" s="13" t="s">
        <v>349</v>
      </c>
      <c r="B161" s="13" t="s">
        <v>282</v>
      </c>
      <c r="C161" s="14">
        <v>44600</v>
      </c>
      <c r="D161" s="15" t="s">
        <v>66</v>
      </c>
    </row>
    <row r="162" spans="1:4">
      <c r="A162" s="13" t="s">
        <v>457</v>
      </c>
      <c r="B162" s="13" t="s">
        <v>437</v>
      </c>
      <c r="C162" s="14">
        <v>44600</v>
      </c>
      <c r="D162" s="15" t="s">
        <v>458</v>
      </c>
    </row>
    <row r="163" spans="1:4" ht="31.5">
      <c r="A163" s="13" t="s">
        <v>473</v>
      </c>
      <c r="B163" s="13" t="s">
        <v>437</v>
      </c>
      <c r="C163" s="14">
        <v>44600</v>
      </c>
      <c r="D163" s="15" t="s">
        <v>470</v>
      </c>
    </row>
    <row r="164" spans="1:4" ht="47.25">
      <c r="A164" s="13" t="s">
        <v>497</v>
      </c>
      <c r="B164" s="13" t="s">
        <v>488</v>
      </c>
      <c r="C164" s="32">
        <v>44600</v>
      </c>
      <c r="D164" s="15" t="s">
        <v>498</v>
      </c>
    </row>
    <row r="165" spans="1:4" ht="31.5">
      <c r="A165" s="13" t="s">
        <v>506</v>
      </c>
      <c r="B165" s="13" t="s">
        <v>507</v>
      </c>
      <c r="C165" s="14">
        <v>44600</v>
      </c>
      <c r="D165" s="15" t="s">
        <v>508</v>
      </c>
    </row>
    <row r="166" spans="1:4">
      <c r="A166" s="13" t="s">
        <v>514</v>
      </c>
      <c r="B166" s="13" t="s">
        <v>507</v>
      </c>
      <c r="C166" s="14">
        <v>44600</v>
      </c>
      <c r="D166" s="15" t="s">
        <v>515</v>
      </c>
    </row>
    <row r="167" spans="1:4">
      <c r="A167" s="13" t="s">
        <v>521</v>
      </c>
      <c r="B167" s="13" t="s">
        <v>507</v>
      </c>
      <c r="C167" s="14">
        <v>44600</v>
      </c>
      <c r="D167" s="15" t="s">
        <v>508</v>
      </c>
    </row>
    <row r="168" spans="1:4" ht="31.5">
      <c r="A168" s="13" t="s">
        <v>597</v>
      </c>
      <c r="B168" s="13" t="s">
        <v>596</v>
      </c>
      <c r="C168" s="14">
        <v>44600</v>
      </c>
      <c r="D168" s="15" t="s">
        <v>598</v>
      </c>
    </row>
    <row r="169" spans="1:4">
      <c r="A169" s="13" t="s">
        <v>601</v>
      </c>
      <c r="B169" s="13" t="s">
        <v>596</v>
      </c>
      <c r="C169" s="14">
        <v>44600</v>
      </c>
      <c r="D169" s="15" t="s">
        <v>602</v>
      </c>
    </row>
    <row r="170" spans="1:4" ht="31.5">
      <c r="A170" s="13" t="s">
        <v>623</v>
      </c>
      <c r="B170" s="13" t="s">
        <v>596</v>
      </c>
      <c r="C170" s="14">
        <v>44600</v>
      </c>
      <c r="D170" s="15" t="s">
        <v>624</v>
      </c>
    </row>
    <row r="171" spans="1:4">
      <c r="A171" s="13" t="s">
        <v>631</v>
      </c>
      <c r="B171" s="13" t="s">
        <v>596</v>
      </c>
      <c r="C171" s="14">
        <v>44600</v>
      </c>
      <c r="D171" s="18" t="s">
        <v>381</v>
      </c>
    </row>
    <row r="172" spans="1:4">
      <c r="A172" s="13" t="s">
        <v>632</v>
      </c>
      <c r="B172" s="13" t="s">
        <v>596</v>
      </c>
      <c r="C172" s="14">
        <v>44600</v>
      </c>
      <c r="D172" s="15" t="s">
        <v>381</v>
      </c>
    </row>
    <row r="173" spans="1:4">
      <c r="A173" s="13" t="s">
        <v>706</v>
      </c>
      <c r="B173" s="13" t="s">
        <v>649</v>
      </c>
      <c r="C173" s="14">
        <v>44600</v>
      </c>
      <c r="D173" s="15" t="s">
        <v>707</v>
      </c>
    </row>
    <row r="174" spans="1:4" ht="31.5">
      <c r="A174" s="13" t="s">
        <v>778</v>
      </c>
      <c r="B174" s="13" t="s">
        <v>775</v>
      </c>
      <c r="C174" s="14">
        <v>44600</v>
      </c>
      <c r="D174" s="15" t="s">
        <v>779</v>
      </c>
    </row>
    <row r="175" spans="1:4" ht="47.25">
      <c r="A175" s="13" t="s">
        <v>782</v>
      </c>
      <c r="B175" s="13" t="s">
        <v>775</v>
      </c>
      <c r="C175" s="14">
        <v>44600</v>
      </c>
      <c r="D175" s="15" t="s">
        <v>783</v>
      </c>
    </row>
    <row r="176" spans="1:4" ht="12.75">
      <c r="A176" s="48" t="s">
        <v>841</v>
      </c>
      <c r="B176" s="48" t="s">
        <v>282</v>
      </c>
      <c r="C176" s="43">
        <v>44600</v>
      </c>
      <c r="D176" s="15" t="s">
        <v>842</v>
      </c>
    </row>
    <row r="177" spans="1:4">
      <c r="A177" s="24" t="s">
        <v>115</v>
      </c>
      <c r="B177" s="24" t="s">
        <v>106</v>
      </c>
      <c r="C177" s="14">
        <v>44601</v>
      </c>
      <c r="D177" s="15" t="s">
        <v>116</v>
      </c>
    </row>
    <row r="178" spans="1:4">
      <c r="A178" s="13" t="s">
        <v>132</v>
      </c>
      <c r="B178" s="13" t="s">
        <v>106</v>
      </c>
      <c r="C178" s="14">
        <v>44601</v>
      </c>
      <c r="D178" s="15" t="s">
        <v>133</v>
      </c>
    </row>
    <row r="179" spans="1:4" ht="31.5">
      <c r="A179" s="20" t="s">
        <v>159</v>
      </c>
      <c r="B179" s="24" t="s">
        <v>145</v>
      </c>
      <c r="C179" s="14">
        <v>44601</v>
      </c>
      <c r="D179" s="15" t="s">
        <v>160</v>
      </c>
    </row>
    <row r="180" spans="1:4" ht="31.5">
      <c r="A180" s="20" t="s">
        <v>162</v>
      </c>
      <c r="B180" s="24" t="s">
        <v>145</v>
      </c>
      <c r="C180" s="14">
        <v>44601</v>
      </c>
      <c r="D180" s="15" t="s">
        <v>160</v>
      </c>
    </row>
    <row r="181" spans="1:4" ht="63">
      <c r="A181" s="29" t="s">
        <v>180</v>
      </c>
      <c r="B181" s="24" t="s">
        <v>165</v>
      </c>
      <c r="C181" s="30">
        <v>44601</v>
      </c>
      <c r="D181" s="15" t="s">
        <v>169</v>
      </c>
    </row>
    <row r="182" spans="1:4">
      <c r="A182" s="24" t="s">
        <v>182</v>
      </c>
      <c r="B182" s="31" t="s">
        <v>165</v>
      </c>
      <c r="C182" s="32">
        <v>44601</v>
      </c>
      <c r="D182" s="15" t="s">
        <v>169</v>
      </c>
    </row>
    <row r="183" spans="1:4" ht="47.25">
      <c r="A183" s="13" t="s">
        <v>227</v>
      </c>
      <c r="B183" s="35" t="s">
        <v>219</v>
      </c>
      <c r="C183" s="37">
        <v>44601</v>
      </c>
      <c r="D183" s="36" t="s">
        <v>228</v>
      </c>
    </row>
    <row r="184" spans="1:4" ht="47.25">
      <c r="A184" s="13" t="s">
        <v>230</v>
      </c>
      <c r="B184" s="35" t="s">
        <v>219</v>
      </c>
      <c r="C184" s="37">
        <v>44601</v>
      </c>
      <c r="D184" s="36" t="s">
        <v>228</v>
      </c>
    </row>
    <row r="185" spans="1:4" ht="47.25">
      <c r="A185" s="13" t="s">
        <v>231</v>
      </c>
      <c r="B185" s="35" t="s">
        <v>219</v>
      </c>
      <c r="C185" s="37">
        <v>44601</v>
      </c>
      <c r="D185" s="36" t="s">
        <v>228</v>
      </c>
    </row>
    <row r="186" spans="1:4" ht="47.25">
      <c r="A186" s="13" t="s">
        <v>239</v>
      </c>
      <c r="B186" s="35" t="s">
        <v>219</v>
      </c>
      <c r="C186" s="32">
        <v>44601</v>
      </c>
      <c r="D186" s="36" t="s">
        <v>228</v>
      </c>
    </row>
    <row r="187" spans="1:4">
      <c r="A187" s="13" t="s">
        <v>240</v>
      </c>
      <c r="B187" s="13" t="s">
        <v>219</v>
      </c>
      <c r="C187" s="14">
        <v>44601</v>
      </c>
      <c r="D187" s="36" t="s">
        <v>241</v>
      </c>
    </row>
    <row r="188" spans="1:4" ht="31.5">
      <c r="A188" s="13" t="s">
        <v>247</v>
      </c>
      <c r="B188" s="13" t="s">
        <v>219</v>
      </c>
      <c r="C188" s="14">
        <v>44601</v>
      </c>
      <c r="D188" s="15" t="s">
        <v>228</v>
      </c>
    </row>
    <row r="189" spans="1:4" ht="31.5">
      <c r="A189" s="13" t="s">
        <v>248</v>
      </c>
      <c r="B189" s="13" t="s">
        <v>219</v>
      </c>
      <c r="C189" s="14">
        <v>44601</v>
      </c>
      <c r="D189" s="15" t="s">
        <v>228</v>
      </c>
    </row>
    <row r="190" spans="1:4" ht="47.25">
      <c r="A190" s="13" t="s">
        <v>249</v>
      </c>
      <c r="B190" s="13" t="s">
        <v>219</v>
      </c>
      <c r="C190" s="14">
        <v>44601</v>
      </c>
      <c r="D190" s="18" t="s">
        <v>228</v>
      </c>
    </row>
    <row r="191" spans="1:4" ht="31.5">
      <c r="A191" s="20" t="s">
        <v>278</v>
      </c>
      <c r="B191" s="24" t="s">
        <v>272</v>
      </c>
      <c r="C191" s="43">
        <v>44601</v>
      </c>
      <c r="D191" s="15" t="s">
        <v>275</v>
      </c>
    </row>
    <row r="192" spans="1:4">
      <c r="A192" s="29" t="s">
        <v>281</v>
      </c>
      <c r="B192" s="13" t="s">
        <v>282</v>
      </c>
      <c r="C192" s="14">
        <v>44601</v>
      </c>
      <c r="D192" s="15" t="s">
        <v>283</v>
      </c>
    </row>
    <row r="193" spans="1:4">
      <c r="A193" s="29" t="s">
        <v>284</v>
      </c>
      <c r="B193" s="13" t="s">
        <v>282</v>
      </c>
      <c r="C193" s="14">
        <v>44601</v>
      </c>
      <c r="D193" s="15" t="s">
        <v>283</v>
      </c>
    </row>
    <row r="194" spans="1:4">
      <c r="A194" s="13" t="s">
        <v>285</v>
      </c>
      <c r="B194" s="13" t="s">
        <v>282</v>
      </c>
      <c r="C194" s="14">
        <v>44601</v>
      </c>
      <c r="D194" s="15" t="s">
        <v>286</v>
      </c>
    </row>
    <row r="195" spans="1:4">
      <c r="A195" s="13" t="s">
        <v>289</v>
      </c>
      <c r="B195" s="13" t="s">
        <v>282</v>
      </c>
      <c r="C195" s="14">
        <v>44601</v>
      </c>
      <c r="D195" s="15" t="s">
        <v>286</v>
      </c>
    </row>
    <row r="196" spans="1:4">
      <c r="A196" s="24" t="s">
        <v>291</v>
      </c>
      <c r="B196" s="24" t="s">
        <v>282</v>
      </c>
      <c r="C196" s="14">
        <v>44601</v>
      </c>
      <c r="D196" s="15" t="s">
        <v>286</v>
      </c>
    </row>
    <row r="197" spans="1:4">
      <c r="A197" s="13" t="s">
        <v>293</v>
      </c>
      <c r="B197" s="13" t="s">
        <v>282</v>
      </c>
      <c r="C197" s="14">
        <v>44601</v>
      </c>
      <c r="D197" s="15" t="s">
        <v>286</v>
      </c>
    </row>
    <row r="198" spans="1:4">
      <c r="A198" s="13" t="s">
        <v>302</v>
      </c>
      <c r="B198" s="13" t="s">
        <v>282</v>
      </c>
      <c r="C198" s="14">
        <v>44601</v>
      </c>
      <c r="D198" s="15" t="s">
        <v>303</v>
      </c>
    </row>
    <row r="199" spans="1:4">
      <c r="A199" s="13" t="s">
        <v>305</v>
      </c>
      <c r="B199" s="13" t="s">
        <v>282</v>
      </c>
      <c r="C199" s="14">
        <v>44601</v>
      </c>
      <c r="D199" s="15" t="s">
        <v>303</v>
      </c>
    </row>
    <row r="200" spans="1:4" ht="31.5">
      <c r="A200" s="24" t="s">
        <v>344</v>
      </c>
      <c r="B200" s="24" t="s">
        <v>282</v>
      </c>
      <c r="C200" s="14">
        <v>44601</v>
      </c>
      <c r="D200" s="15" t="s">
        <v>345</v>
      </c>
    </row>
    <row r="201" spans="1:4">
      <c r="A201" s="13" t="s">
        <v>379</v>
      </c>
      <c r="B201" s="13" t="s">
        <v>380</v>
      </c>
      <c r="C201" s="14">
        <v>44601</v>
      </c>
      <c r="D201" s="15" t="s">
        <v>381</v>
      </c>
    </row>
    <row r="202" spans="1:4" ht="31.5">
      <c r="A202" s="20" t="s">
        <v>413</v>
      </c>
      <c r="B202" s="13" t="s">
        <v>401</v>
      </c>
      <c r="C202" s="14">
        <v>44601</v>
      </c>
      <c r="D202" s="15" t="s">
        <v>406</v>
      </c>
    </row>
    <row r="203" spans="1:4">
      <c r="A203" s="13" t="s">
        <v>469</v>
      </c>
      <c r="B203" s="13" t="s">
        <v>437</v>
      </c>
      <c r="C203" s="14">
        <v>44601</v>
      </c>
      <c r="D203" s="15" t="s">
        <v>470</v>
      </c>
    </row>
    <row r="204" spans="1:4" ht="63">
      <c r="A204" s="13" t="s">
        <v>500</v>
      </c>
      <c r="B204" s="13" t="s">
        <v>488</v>
      </c>
      <c r="C204" s="14">
        <v>44601</v>
      </c>
      <c r="D204" s="15" t="s">
        <v>501</v>
      </c>
    </row>
    <row r="205" spans="1:4" ht="47.25">
      <c r="A205" s="35" t="s">
        <v>551</v>
      </c>
      <c r="B205" s="35" t="s">
        <v>528</v>
      </c>
      <c r="C205" s="32">
        <v>44601</v>
      </c>
      <c r="D205" s="15" t="s">
        <v>552</v>
      </c>
    </row>
    <row r="206" spans="1:4">
      <c r="A206" s="13" t="s">
        <v>574</v>
      </c>
      <c r="B206" s="13" t="s">
        <v>566</v>
      </c>
      <c r="C206" s="14">
        <v>44601</v>
      </c>
      <c r="D206" s="15" t="s">
        <v>575</v>
      </c>
    </row>
    <row r="207" spans="1:4">
      <c r="A207" s="13" t="s">
        <v>579</v>
      </c>
      <c r="B207" s="13" t="s">
        <v>580</v>
      </c>
      <c r="C207" s="14">
        <v>44601</v>
      </c>
      <c r="D207" s="15" t="s">
        <v>581</v>
      </c>
    </row>
    <row r="208" spans="1:4">
      <c r="A208" s="56" t="s">
        <v>588</v>
      </c>
      <c r="B208" s="13" t="s">
        <v>589</v>
      </c>
      <c r="C208" s="14">
        <v>44601</v>
      </c>
      <c r="D208" s="15" t="s">
        <v>590</v>
      </c>
    </row>
    <row r="209" spans="1:4" ht="47.25">
      <c r="A209" s="13" t="s">
        <v>591</v>
      </c>
      <c r="B209" s="13" t="s">
        <v>589</v>
      </c>
      <c r="C209" s="14">
        <v>44601</v>
      </c>
      <c r="D209" s="15" t="s">
        <v>361</v>
      </c>
    </row>
    <row r="210" spans="1:4" ht="31.5">
      <c r="A210" s="13" t="s">
        <v>592</v>
      </c>
      <c r="B210" s="13" t="s">
        <v>589</v>
      </c>
      <c r="C210" s="14">
        <v>44601</v>
      </c>
      <c r="D210" s="15" t="s">
        <v>361</v>
      </c>
    </row>
    <row r="211" spans="1:4">
      <c r="A211" s="13" t="s">
        <v>595</v>
      </c>
      <c r="B211" s="13" t="s">
        <v>596</v>
      </c>
      <c r="C211" s="14">
        <v>44601</v>
      </c>
      <c r="D211" s="15" t="s">
        <v>493</v>
      </c>
    </row>
    <row r="212" spans="1:4" ht="31.5">
      <c r="A212" s="13" t="s">
        <v>616</v>
      </c>
      <c r="B212" s="13" t="s">
        <v>596</v>
      </c>
      <c r="C212" s="14">
        <v>44601</v>
      </c>
      <c r="D212" s="15" t="s">
        <v>617</v>
      </c>
    </row>
    <row r="213" spans="1:4" ht="31.5">
      <c r="A213" s="35" t="s">
        <v>619</v>
      </c>
      <c r="B213" s="35" t="s">
        <v>596</v>
      </c>
      <c r="C213" s="14">
        <v>44601</v>
      </c>
      <c r="D213" s="15" t="s">
        <v>617</v>
      </c>
    </row>
    <row r="214" spans="1:4" ht="63">
      <c r="A214" s="29" t="s">
        <v>625</v>
      </c>
      <c r="B214" s="13" t="s">
        <v>596</v>
      </c>
      <c r="C214" s="14">
        <v>44601</v>
      </c>
      <c r="D214" s="15" t="s">
        <v>624</v>
      </c>
    </row>
    <row r="215" spans="1:4">
      <c r="A215" s="13" t="s">
        <v>646</v>
      </c>
      <c r="B215" s="24" t="s">
        <v>635</v>
      </c>
      <c r="C215" s="32">
        <v>44601</v>
      </c>
      <c r="D215" s="15" t="s">
        <v>647</v>
      </c>
    </row>
    <row r="216" spans="1:4">
      <c r="A216" s="13" t="s">
        <v>651</v>
      </c>
      <c r="B216" s="13" t="s">
        <v>649</v>
      </c>
      <c r="C216" s="14">
        <v>44601</v>
      </c>
      <c r="D216" s="15" t="s">
        <v>652</v>
      </c>
    </row>
    <row r="217" spans="1:4">
      <c r="A217" s="13" t="s">
        <v>665</v>
      </c>
      <c r="B217" s="13" t="s">
        <v>649</v>
      </c>
      <c r="C217" s="14">
        <v>44601</v>
      </c>
      <c r="D217" s="15" t="s">
        <v>666</v>
      </c>
    </row>
    <row r="218" spans="1:4">
      <c r="A218" s="13" t="s">
        <v>675</v>
      </c>
      <c r="B218" s="13" t="s">
        <v>649</v>
      </c>
      <c r="C218" s="14">
        <v>44601</v>
      </c>
      <c r="D218" s="15" t="s">
        <v>676</v>
      </c>
    </row>
    <row r="219" spans="1:4">
      <c r="A219" s="13" t="s">
        <v>683</v>
      </c>
      <c r="B219" s="13" t="s">
        <v>649</v>
      </c>
      <c r="C219" s="14">
        <v>44601</v>
      </c>
      <c r="D219" s="15" t="s">
        <v>684</v>
      </c>
    </row>
    <row r="220" spans="1:4" ht="31.5">
      <c r="A220" s="13" t="s">
        <v>685</v>
      </c>
      <c r="B220" s="13" t="s">
        <v>649</v>
      </c>
      <c r="C220" s="14">
        <v>44601</v>
      </c>
      <c r="D220" s="15" t="s">
        <v>686</v>
      </c>
    </row>
    <row r="221" spans="1:4">
      <c r="A221" s="13" t="s">
        <v>688</v>
      </c>
      <c r="B221" s="13" t="s">
        <v>649</v>
      </c>
      <c r="C221" s="14">
        <v>44601</v>
      </c>
      <c r="D221" s="15" t="s">
        <v>686</v>
      </c>
    </row>
    <row r="222" spans="1:4">
      <c r="A222" s="13" t="s">
        <v>695</v>
      </c>
      <c r="B222" s="13" t="s">
        <v>649</v>
      </c>
      <c r="C222" s="14">
        <v>44601</v>
      </c>
      <c r="D222" s="15" t="s">
        <v>666</v>
      </c>
    </row>
    <row r="223" spans="1:4">
      <c r="A223" s="13" t="s">
        <v>709</v>
      </c>
      <c r="B223" s="13" t="s">
        <v>649</v>
      </c>
      <c r="C223" s="14">
        <v>44601</v>
      </c>
      <c r="D223" s="15" t="s">
        <v>710</v>
      </c>
    </row>
    <row r="224" spans="1:4">
      <c r="A224" s="13" t="s">
        <v>722</v>
      </c>
      <c r="B224" s="13" t="s">
        <v>720</v>
      </c>
      <c r="C224" s="14">
        <v>44601</v>
      </c>
      <c r="D224" s="15" t="s">
        <v>723</v>
      </c>
    </row>
    <row r="225" spans="1:4">
      <c r="A225" s="13" t="s">
        <v>746</v>
      </c>
      <c r="B225" s="13" t="s">
        <v>747</v>
      </c>
      <c r="C225" s="14">
        <v>44601</v>
      </c>
      <c r="D225" s="15" t="s">
        <v>748</v>
      </c>
    </row>
    <row r="226" spans="1:4">
      <c r="A226" s="13" t="s">
        <v>751</v>
      </c>
      <c r="B226" s="13" t="s">
        <v>747</v>
      </c>
      <c r="C226" s="14">
        <v>44601</v>
      </c>
      <c r="D226" s="15" t="s">
        <v>748</v>
      </c>
    </row>
    <row r="227" spans="1:4" ht="31.5">
      <c r="A227" s="13" t="s">
        <v>758</v>
      </c>
      <c r="B227" s="13" t="s">
        <v>747</v>
      </c>
      <c r="C227" s="14">
        <v>44601</v>
      </c>
      <c r="D227" s="15" t="s">
        <v>759</v>
      </c>
    </row>
    <row r="228" spans="1:4">
      <c r="A228" s="13" t="s">
        <v>796</v>
      </c>
      <c r="B228" s="13" t="s">
        <v>797</v>
      </c>
      <c r="C228" s="14">
        <v>44601</v>
      </c>
      <c r="D228" s="15" t="s">
        <v>798</v>
      </c>
    </row>
    <row r="229" spans="1:4" ht="31.5">
      <c r="A229" s="35" t="s">
        <v>811</v>
      </c>
      <c r="B229" s="35" t="s">
        <v>797</v>
      </c>
      <c r="C229" s="30">
        <v>44601</v>
      </c>
      <c r="D229" s="15" t="s">
        <v>812</v>
      </c>
    </row>
    <row r="230" spans="1:4">
      <c r="A230" s="35" t="s">
        <v>827</v>
      </c>
      <c r="B230" s="35" t="s">
        <v>828</v>
      </c>
      <c r="C230" s="32">
        <v>44601</v>
      </c>
      <c r="D230" s="36" t="s">
        <v>283</v>
      </c>
    </row>
    <row r="231" spans="1:4">
      <c r="A231" s="35" t="s">
        <v>829</v>
      </c>
      <c r="B231" s="35" t="s">
        <v>828</v>
      </c>
      <c r="C231" s="32">
        <v>44601</v>
      </c>
      <c r="D231" s="15" t="s">
        <v>830</v>
      </c>
    </row>
    <row r="232" spans="1:4">
      <c r="A232" s="35" t="s">
        <v>832</v>
      </c>
      <c r="B232" s="35" t="s">
        <v>828</v>
      </c>
      <c r="C232" s="32">
        <v>44601</v>
      </c>
      <c r="D232" s="15" t="s">
        <v>66</v>
      </c>
    </row>
    <row r="233" spans="1:4" ht="15">
      <c r="A233" s="88" t="s">
        <v>849</v>
      </c>
      <c r="B233" s="48" t="s">
        <v>401</v>
      </c>
      <c r="C233" s="30">
        <v>44601</v>
      </c>
      <c r="D233" s="15" t="s">
        <v>850</v>
      </c>
    </row>
    <row r="234" spans="1:4">
      <c r="A234" s="13" t="s">
        <v>80</v>
      </c>
      <c r="B234" s="13" t="s">
        <v>65</v>
      </c>
      <c r="C234" s="14">
        <v>44602</v>
      </c>
      <c r="D234" s="15" t="s">
        <v>81</v>
      </c>
    </row>
    <row r="235" spans="1:4">
      <c r="A235" s="13" t="s">
        <v>105</v>
      </c>
      <c r="B235" s="13" t="s">
        <v>106</v>
      </c>
      <c r="C235" s="22">
        <v>44602</v>
      </c>
      <c r="D235" s="15" t="s">
        <v>107</v>
      </c>
    </row>
    <row r="236" spans="1:4">
      <c r="A236" s="13" t="s">
        <v>110</v>
      </c>
      <c r="B236" s="13" t="s">
        <v>106</v>
      </c>
      <c r="C236" s="14">
        <v>44602</v>
      </c>
      <c r="D236" s="15" t="s">
        <v>111</v>
      </c>
    </row>
    <row r="237" spans="1:4" ht="31.5">
      <c r="A237" s="13" t="s">
        <v>141</v>
      </c>
      <c r="B237" s="13" t="s">
        <v>106</v>
      </c>
      <c r="C237" s="14">
        <v>44602</v>
      </c>
      <c r="D237" s="15" t="s">
        <v>142</v>
      </c>
    </row>
    <row r="238" spans="1:4" ht="31.5">
      <c r="A238" s="20" t="s">
        <v>150</v>
      </c>
      <c r="B238" s="24" t="s">
        <v>145</v>
      </c>
      <c r="C238" s="14">
        <v>44602</v>
      </c>
      <c r="D238" s="15" t="s">
        <v>151</v>
      </c>
    </row>
    <row r="239" spans="1:4" ht="31.5">
      <c r="A239" s="13" t="s">
        <v>168</v>
      </c>
      <c r="B239" s="13" t="s">
        <v>165</v>
      </c>
      <c r="C239" s="14">
        <v>44602</v>
      </c>
      <c r="D239" s="15" t="s">
        <v>169</v>
      </c>
    </row>
    <row r="240" spans="1:4">
      <c r="A240" s="13" t="s">
        <v>176</v>
      </c>
      <c r="B240" s="13" t="s">
        <v>165</v>
      </c>
      <c r="C240" s="14">
        <v>44602</v>
      </c>
      <c r="D240" s="15" t="s">
        <v>169</v>
      </c>
    </row>
    <row r="241" spans="1:4" ht="31.5">
      <c r="A241" s="13" t="s">
        <v>177</v>
      </c>
      <c r="B241" s="13" t="s">
        <v>165</v>
      </c>
      <c r="C241" s="14">
        <v>44602</v>
      </c>
      <c r="D241" s="15" t="s">
        <v>169</v>
      </c>
    </row>
    <row r="242" spans="1:4">
      <c r="A242" s="13" t="s">
        <v>178</v>
      </c>
      <c r="B242" s="13" t="s">
        <v>165</v>
      </c>
      <c r="C242" s="14">
        <v>44602</v>
      </c>
      <c r="D242" s="15" t="s">
        <v>169</v>
      </c>
    </row>
    <row r="243" spans="1:4" ht="31.5">
      <c r="A243" s="13" t="s">
        <v>232</v>
      </c>
      <c r="B243" s="13" t="s">
        <v>219</v>
      </c>
      <c r="C243" s="14">
        <v>44602</v>
      </c>
      <c r="D243" s="36" t="s">
        <v>233</v>
      </c>
    </row>
    <row r="244" spans="1:4" ht="31.5">
      <c r="A244" s="13" t="s">
        <v>243</v>
      </c>
      <c r="B244" s="13" t="s">
        <v>219</v>
      </c>
      <c r="C244" s="14">
        <v>44602</v>
      </c>
      <c r="D244" s="15" t="s">
        <v>244</v>
      </c>
    </row>
    <row r="245" spans="1:4" ht="31.5">
      <c r="A245" s="13" t="s">
        <v>274</v>
      </c>
      <c r="B245" s="13" t="s">
        <v>272</v>
      </c>
      <c r="C245" s="43">
        <v>44602</v>
      </c>
      <c r="D245" s="15" t="s">
        <v>275</v>
      </c>
    </row>
    <row r="246" spans="1:4" ht="31.5">
      <c r="A246" s="13" t="s">
        <v>359</v>
      </c>
      <c r="B246" s="13" t="s">
        <v>360</v>
      </c>
      <c r="C246" s="14">
        <v>44602</v>
      </c>
      <c r="D246" s="15" t="s">
        <v>361</v>
      </c>
    </row>
    <row r="247" spans="1:4" ht="31.5">
      <c r="A247" s="20" t="s">
        <v>405</v>
      </c>
      <c r="B247" s="13" t="s">
        <v>401</v>
      </c>
      <c r="C247" s="14">
        <v>44602</v>
      </c>
      <c r="D247" s="15" t="s">
        <v>406</v>
      </c>
    </row>
    <row r="248" spans="1:4" ht="31.5">
      <c r="A248" s="24" t="s">
        <v>409</v>
      </c>
      <c r="B248" s="24" t="s">
        <v>401</v>
      </c>
      <c r="C248" s="14">
        <v>44602</v>
      </c>
      <c r="D248" s="15" t="s">
        <v>410</v>
      </c>
    </row>
    <row r="249" spans="1:4" ht="31.5">
      <c r="A249" s="24" t="s">
        <v>418</v>
      </c>
      <c r="B249" s="24" t="s">
        <v>401</v>
      </c>
      <c r="C249" s="14">
        <v>44602</v>
      </c>
      <c r="D249" s="15" t="s">
        <v>419</v>
      </c>
    </row>
    <row r="250" spans="1:4" ht="31.5">
      <c r="A250" s="13" t="s">
        <v>446</v>
      </c>
      <c r="B250" s="13" t="s">
        <v>437</v>
      </c>
      <c r="C250" s="32">
        <v>44602</v>
      </c>
      <c r="D250" s="15" t="s">
        <v>447</v>
      </c>
    </row>
    <row r="251" spans="1:4" ht="31.5">
      <c r="A251" s="13" t="s">
        <v>449</v>
      </c>
      <c r="B251" s="13" t="s">
        <v>437</v>
      </c>
      <c r="C251" s="14">
        <v>44602</v>
      </c>
      <c r="D251" s="15" t="s">
        <v>447</v>
      </c>
    </row>
    <row r="252" spans="1:4">
      <c r="A252" s="13" t="s">
        <v>462</v>
      </c>
      <c r="B252" s="13" t="s">
        <v>437</v>
      </c>
      <c r="C252" s="14">
        <v>44602</v>
      </c>
      <c r="D252" s="15" t="s">
        <v>463</v>
      </c>
    </row>
    <row r="253" spans="1:4">
      <c r="A253" s="24" t="s">
        <v>504</v>
      </c>
      <c r="B253" s="24" t="s">
        <v>505</v>
      </c>
      <c r="C253" s="14">
        <v>44602</v>
      </c>
      <c r="D253" s="15" t="s">
        <v>493</v>
      </c>
    </row>
    <row r="254" spans="1:4" ht="63">
      <c r="A254" s="29" t="s">
        <v>510</v>
      </c>
      <c r="B254" s="24" t="s">
        <v>507</v>
      </c>
      <c r="C254" s="14">
        <v>44602</v>
      </c>
      <c r="D254" s="15" t="s">
        <v>511</v>
      </c>
    </row>
    <row r="255" spans="1:4">
      <c r="A255" s="13" t="s">
        <v>568</v>
      </c>
      <c r="B255" s="55" t="s">
        <v>566</v>
      </c>
      <c r="C255" s="14">
        <v>44602</v>
      </c>
      <c r="D255" s="15" t="s">
        <v>236</v>
      </c>
    </row>
    <row r="256" spans="1:4">
      <c r="A256" s="13" t="s">
        <v>583</v>
      </c>
      <c r="B256" s="13" t="s">
        <v>580</v>
      </c>
      <c r="C256" s="14">
        <v>44602</v>
      </c>
      <c r="D256" s="15" t="s">
        <v>584</v>
      </c>
    </row>
    <row r="257" spans="1:4">
      <c r="A257" s="13" t="s">
        <v>586</v>
      </c>
      <c r="B257" s="13" t="s">
        <v>580</v>
      </c>
      <c r="C257" s="14">
        <v>44602</v>
      </c>
      <c r="D257" s="15" t="s">
        <v>584</v>
      </c>
    </row>
    <row r="258" spans="1:4">
      <c r="A258" s="13" t="s">
        <v>604</v>
      </c>
      <c r="B258" s="13" t="s">
        <v>596</v>
      </c>
      <c r="C258" s="14">
        <v>44602</v>
      </c>
      <c r="D258" s="15" t="s">
        <v>602</v>
      </c>
    </row>
    <row r="259" spans="1:4" ht="31.5">
      <c r="A259" s="13" t="s">
        <v>607</v>
      </c>
      <c r="B259" s="13" t="s">
        <v>596</v>
      </c>
      <c r="C259" s="60">
        <v>44602</v>
      </c>
      <c r="D259" s="15" t="s">
        <v>608</v>
      </c>
    </row>
    <row r="260" spans="1:4" ht="31.5">
      <c r="A260" s="13" t="s">
        <v>610</v>
      </c>
      <c r="B260" s="13" t="s">
        <v>596</v>
      </c>
      <c r="C260" s="14">
        <v>44602</v>
      </c>
      <c r="D260" s="15" t="s">
        <v>611</v>
      </c>
    </row>
    <row r="261" spans="1:4">
      <c r="A261" s="13" t="s">
        <v>634</v>
      </c>
      <c r="B261" s="13" t="s">
        <v>635</v>
      </c>
      <c r="C261" s="14">
        <v>44602</v>
      </c>
      <c r="D261" s="15" t="s">
        <v>636</v>
      </c>
    </row>
    <row r="262" spans="1:4">
      <c r="A262" s="13" t="s">
        <v>640</v>
      </c>
      <c r="B262" s="13" t="s">
        <v>635</v>
      </c>
      <c r="C262" s="32">
        <v>44602</v>
      </c>
      <c r="D262" s="15" t="s">
        <v>636</v>
      </c>
    </row>
    <row r="263" spans="1:4">
      <c r="A263" s="13" t="s">
        <v>654</v>
      </c>
      <c r="B263" s="13" t="s">
        <v>649</v>
      </c>
      <c r="C263" s="32">
        <v>44602</v>
      </c>
      <c r="D263" s="15" t="s">
        <v>655</v>
      </c>
    </row>
    <row r="264" spans="1:4">
      <c r="A264" s="13" t="s">
        <v>657</v>
      </c>
      <c r="B264" s="13" t="s">
        <v>649</v>
      </c>
      <c r="C264" s="14">
        <v>44602</v>
      </c>
      <c r="D264" s="15" t="s">
        <v>655</v>
      </c>
    </row>
    <row r="265" spans="1:4">
      <c r="A265" s="20" t="s">
        <v>725</v>
      </c>
      <c r="B265" s="13" t="s">
        <v>720</v>
      </c>
      <c r="C265" s="14">
        <v>44602</v>
      </c>
      <c r="D265" s="15" t="s">
        <v>726</v>
      </c>
    </row>
    <row r="266" spans="1:4">
      <c r="A266" s="13" t="s">
        <v>784</v>
      </c>
      <c r="B266" s="13" t="s">
        <v>775</v>
      </c>
      <c r="C266" s="14">
        <v>44602</v>
      </c>
      <c r="D266" s="15" t="s">
        <v>785</v>
      </c>
    </row>
    <row r="267" spans="1:4">
      <c r="A267" s="12" t="s">
        <v>792</v>
      </c>
      <c r="B267" s="12" t="s">
        <v>788</v>
      </c>
      <c r="C267" s="14">
        <v>44602</v>
      </c>
      <c r="D267" s="76" t="s">
        <v>793</v>
      </c>
    </row>
    <row r="268" spans="1:4" ht="47.25">
      <c r="A268" s="35" t="s">
        <v>817</v>
      </c>
      <c r="B268" s="31" t="s">
        <v>797</v>
      </c>
      <c r="C268" s="30">
        <v>44602</v>
      </c>
      <c r="D268" s="15" t="s">
        <v>275</v>
      </c>
    </row>
    <row r="269" spans="1:4">
      <c r="A269" s="31" t="s">
        <v>833</v>
      </c>
      <c r="B269" s="35" t="s">
        <v>834</v>
      </c>
      <c r="C269" s="14">
        <v>44602</v>
      </c>
      <c r="D269" s="15" t="s">
        <v>81</v>
      </c>
    </row>
    <row r="270" spans="1:4">
      <c r="A270" s="35" t="s">
        <v>835</v>
      </c>
      <c r="B270" s="35" t="s">
        <v>834</v>
      </c>
      <c r="C270" s="14">
        <v>44602</v>
      </c>
      <c r="D270" s="15" t="s">
        <v>81</v>
      </c>
    </row>
    <row r="271" spans="1:4">
      <c r="A271" s="86" t="s">
        <v>836</v>
      </c>
      <c r="B271" s="35" t="s">
        <v>834</v>
      </c>
      <c r="C271" s="14">
        <v>44602</v>
      </c>
      <c r="D271" s="15" t="s">
        <v>81</v>
      </c>
    </row>
    <row r="272" spans="1:4">
      <c r="A272" s="29" t="s">
        <v>837</v>
      </c>
      <c r="B272" s="24" t="s">
        <v>834</v>
      </c>
      <c r="C272" s="14">
        <v>44602</v>
      </c>
      <c r="D272" s="15" t="s">
        <v>81</v>
      </c>
    </row>
    <row r="273" spans="1:4">
      <c r="A273" s="13" t="s">
        <v>838</v>
      </c>
      <c r="B273" s="13" t="s">
        <v>834</v>
      </c>
      <c r="C273" s="14">
        <v>44602</v>
      </c>
      <c r="D273" s="15" t="s">
        <v>81</v>
      </c>
    </row>
    <row r="274" spans="1:4">
      <c r="A274" s="13" t="s">
        <v>839</v>
      </c>
      <c r="B274" s="13" t="s">
        <v>834</v>
      </c>
      <c r="C274" s="14">
        <v>44602</v>
      </c>
      <c r="D274" s="15" t="s">
        <v>81</v>
      </c>
    </row>
    <row r="275" spans="1:4">
      <c r="A275" s="13" t="s">
        <v>840</v>
      </c>
      <c r="B275" s="13" t="s">
        <v>834</v>
      </c>
      <c r="C275" s="14">
        <v>44602</v>
      </c>
      <c r="D275" s="15" t="s">
        <v>81</v>
      </c>
    </row>
    <row r="276" spans="1:4" ht="12.75">
      <c r="A276" s="48" t="s">
        <v>853</v>
      </c>
      <c r="B276" s="48" t="s">
        <v>401</v>
      </c>
      <c r="C276" s="30">
        <v>44602</v>
      </c>
      <c r="D276" s="15" t="s">
        <v>850</v>
      </c>
    </row>
    <row r="277" spans="1:4" ht="31.5">
      <c r="A277" s="13" t="s">
        <v>398</v>
      </c>
      <c r="B277" s="13" t="s">
        <v>399</v>
      </c>
      <c r="C277" s="43">
        <v>44603</v>
      </c>
      <c r="D277" s="15" t="s">
        <v>361</v>
      </c>
    </row>
    <row r="278" spans="1:4" ht="12.75">
      <c r="A278" s="48" t="s">
        <v>855</v>
      </c>
      <c r="B278" s="48" t="s">
        <v>145</v>
      </c>
      <c r="C278" s="30">
        <v>44605</v>
      </c>
      <c r="D278" s="15" t="s">
        <v>856</v>
      </c>
    </row>
    <row r="279" spans="1:4" ht="31.5">
      <c r="A279" s="20" t="s">
        <v>153</v>
      </c>
      <c r="B279" s="24" t="s">
        <v>145</v>
      </c>
      <c r="C279" s="14">
        <v>44618</v>
      </c>
      <c r="D279" s="15" t="s">
        <v>154</v>
      </c>
    </row>
    <row r="280" spans="1:4" ht="31.5">
      <c r="A280" s="13" t="s">
        <v>140</v>
      </c>
      <c r="B280" s="13" t="s">
        <v>106</v>
      </c>
      <c r="C280" s="14"/>
    </row>
    <row r="281" spans="1:4" ht="31.5">
      <c r="A281" s="20" t="s">
        <v>158</v>
      </c>
      <c r="B281" s="24" t="s">
        <v>145</v>
      </c>
      <c r="C281" s="14"/>
    </row>
    <row r="282" spans="1:4">
      <c r="A282" s="13" t="s">
        <v>171</v>
      </c>
      <c r="B282" s="13" t="s">
        <v>165</v>
      </c>
      <c r="C282" s="14"/>
    </row>
    <row r="283" spans="1:4">
      <c r="A283" s="29" t="s">
        <v>184</v>
      </c>
      <c r="B283" s="13" t="s">
        <v>185</v>
      </c>
      <c r="C283" s="14"/>
    </row>
    <row r="284" spans="1:4" ht="31.5">
      <c r="A284" s="29" t="s">
        <v>186</v>
      </c>
      <c r="B284" s="13" t="s">
        <v>187</v>
      </c>
      <c r="C284" s="14"/>
    </row>
    <row r="285" spans="1:4">
      <c r="A285" s="13" t="s">
        <v>212</v>
      </c>
      <c r="B285" s="13" t="s">
        <v>189</v>
      </c>
      <c r="C285" s="14"/>
    </row>
    <row r="286" spans="1:4">
      <c r="A286" s="13" t="s">
        <v>214</v>
      </c>
      <c r="B286" s="13" t="s">
        <v>189</v>
      </c>
      <c r="C286" s="14"/>
    </row>
    <row r="287" spans="1:4" ht="31.5">
      <c r="A287" s="24" t="s">
        <v>215</v>
      </c>
      <c r="B287" s="31" t="s">
        <v>216</v>
      </c>
      <c r="C287" s="14"/>
    </row>
    <row r="288" spans="1:4">
      <c r="A288" s="13" t="s">
        <v>217</v>
      </c>
      <c r="B288" s="13" t="s">
        <v>216</v>
      </c>
      <c r="C288" s="14"/>
    </row>
    <row r="289" spans="1:4">
      <c r="A289" s="13" t="s">
        <v>250</v>
      </c>
      <c r="B289" s="13" t="s">
        <v>251</v>
      </c>
      <c r="C289" s="14"/>
      <c r="D289" s="15" t="s">
        <v>252</v>
      </c>
    </row>
    <row r="290" spans="1:4">
      <c r="A290" s="13" t="s">
        <v>263</v>
      </c>
      <c r="B290" s="13" t="s">
        <v>251</v>
      </c>
      <c r="C290" s="14"/>
      <c r="D290" s="15" t="s">
        <v>252</v>
      </c>
    </row>
    <row r="291" spans="1:4">
      <c r="A291" s="13" t="s">
        <v>264</v>
      </c>
      <c r="B291" s="13" t="s">
        <v>251</v>
      </c>
      <c r="C291" s="38"/>
      <c r="D291" s="15" t="s">
        <v>252</v>
      </c>
    </row>
    <row r="292" spans="1:4">
      <c r="A292" s="13" t="s">
        <v>265</v>
      </c>
      <c r="B292" s="13" t="s">
        <v>251</v>
      </c>
      <c r="C292" s="38"/>
      <c r="D292" s="15" t="s">
        <v>252</v>
      </c>
    </row>
    <row r="293" spans="1:4">
      <c r="A293" s="13" t="s">
        <v>271</v>
      </c>
      <c r="B293" s="13" t="s">
        <v>272</v>
      </c>
      <c r="C293" s="14"/>
    </row>
    <row r="294" spans="1:4" ht="31.5">
      <c r="A294" s="13" t="s">
        <v>273</v>
      </c>
      <c r="B294" s="13" t="s">
        <v>272</v>
      </c>
      <c r="C294" s="14"/>
    </row>
    <row r="295" spans="1:4" ht="31.5">
      <c r="A295" s="13" t="s">
        <v>280</v>
      </c>
      <c r="B295" s="13" t="s">
        <v>272</v>
      </c>
      <c r="C295" s="14"/>
    </row>
    <row r="296" spans="1:4">
      <c r="A296" s="13" t="s">
        <v>299</v>
      </c>
      <c r="B296" s="13" t="s">
        <v>282</v>
      </c>
      <c r="C296" s="14"/>
      <c r="D296" s="15" t="s">
        <v>300</v>
      </c>
    </row>
    <row r="297" spans="1:4">
      <c r="A297" s="13" t="s">
        <v>353</v>
      </c>
      <c r="B297" s="13" t="s">
        <v>282</v>
      </c>
      <c r="C297" s="14"/>
      <c r="D297" s="15" t="s">
        <v>300</v>
      </c>
    </row>
    <row r="298" spans="1:4">
      <c r="A298" s="24" t="s">
        <v>383</v>
      </c>
      <c r="B298" s="24" t="s">
        <v>384</v>
      </c>
      <c r="C298" s="14"/>
    </row>
    <row r="299" spans="1:4" ht="31.5">
      <c r="A299" s="13" t="s">
        <v>389</v>
      </c>
      <c r="B299" s="13" t="s">
        <v>384</v>
      </c>
      <c r="C299" s="38"/>
    </row>
    <row r="300" spans="1:4">
      <c r="A300" s="13" t="s">
        <v>394</v>
      </c>
      <c r="B300" s="13" t="s">
        <v>384</v>
      </c>
      <c r="C300" s="30"/>
    </row>
    <row r="301" spans="1:4" ht="31.5">
      <c r="A301" s="20" t="s">
        <v>404</v>
      </c>
      <c r="B301" s="13" t="s">
        <v>401</v>
      </c>
      <c r="C301" s="32"/>
    </row>
    <row r="302" spans="1:4">
      <c r="A302" s="13" t="s">
        <v>428</v>
      </c>
      <c r="B302" s="13" t="s">
        <v>422</v>
      </c>
      <c r="C302" s="14"/>
    </row>
    <row r="303" spans="1:4">
      <c r="A303" s="35" t="s">
        <v>434</v>
      </c>
      <c r="B303" s="35" t="s">
        <v>435</v>
      </c>
      <c r="C303" s="49"/>
      <c r="D303" s="45"/>
    </row>
    <row r="304" spans="1:4">
      <c r="A304" s="20" t="s">
        <v>436</v>
      </c>
      <c r="B304" s="24" t="s">
        <v>437</v>
      </c>
      <c r="C304" s="14"/>
    </row>
    <row r="305" spans="1:3">
      <c r="A305" s="20" t="s">
        <v>441</v>
      </c>
      <c r="B305" s="24" t="s">
        <v>437</v>
      </c>
      <c r="C305" s="38"/>
    </row>
    <row r="306" spans="1:3" ht="31.5">
      <c r="A306" s="29" t="s">
        <v>461</v>
      </c>
      <c r="B306" s="13" t="s">
        <v>437</v>
      </c>
      <c r="C306" s="14"/>
    </row>
    <row r="307" spans="1:3">
      <c r="A307" s="29" t="s">
        <v>468</v>
      </c>
      <c r="B307" s="24" t="s">
        <v>437</v>
      </c>
      <c r="C307" s="14"/>
    </row>
    <row r="308" spans="1:3">
      <c r="A308" s="53" t="s">
        <v>481</v>
      </c>
      <c r="B308" s="24" t="s">
        <v>475</v>
      </c>
      <c r="C308" s="14"/>
    </row>
    <row r="309" spans="1:3">
      <c r="A309" s="13" t="s">
        <v>482</v>
      </c>
      <c r="B309" s="13" t="s">
        <v>483</v>
      </c>
      <c r="C309" s="14"/>
    </row>
    <row r="310" spans="1:3">
      <c r="A310" s="13" t="s">
        <v>484</v>
      </c>
      <c r="B310" s="13" t="s">
        <v>483</v>
      </c>
      <c r="C310" s="14"/>
    </row>
    <row r="311" spans="1:3" ht="31.5">
      <c r="A311" s="13" t="s">
        <v>485</v>
      </c>
      <c r="B311" s="13" t="s">
        <v>486</v>
      </c>
      <c r="C311" s="14"/>
    </row>
    <row r="312" spans="1:3" ht="47.25">
      <c r="A312" s="13" t="s">
        <v>487</v>
      </c>
      <c r="B312" s="13" t="s">
        <v>488</v>
      </c>
      <c r="C312" s="14"/>
    </row>
    <row r="313" spans="1:3">
      <c r="A313" s="13" t="s">
        <v>489</v>
      </c>
      <c r="B313" s="13" t="s">
        <v>488</v>
      </c>
      <c r="C313" s="14"/>
    </row>
    <row r="314" spans="1:3">
      <c r="A314" s="20" t="s">
        <v>491</v>
      </c>
      <c r="B314" s="24" t="s">
        <v>488</v>
      </c>
      <c r="C314" s="14"/>
    </row>
    <row r="315" spans="1:3" ht="31.5">
      <c r="A315" s="13" t="s">
        <v>495</v>
      </c>
      <c r="B315" s="13" t="s">
        <v>488</v>
      </c>
      <c r="C315" s="14"/>
    </row>
    <row r="316" spans="1:3" ht="47.25">
      <c r="A316" s="13" t="s">
        <v>496</v>
      </c>
      <c r="B316" s="13" t="s">
        <v>488</v>
      </c>
      <c r="C316" s="14"/>
    </row>
    <row r="317" spans="1:3">
      <c r="A317" s="13" t="s">
        <v>517</v>
      </c>
      <c r="B317" s="13" t="s">
        <v>507</v>
      </c>
      <c r="C317" s="14"/>
    </row>
    <row r="318" spans="1:3" ht="31.5">
      <c r="A318" s="13" t="s">
        <v>540</v>
      </c>
      <c r="B318" s="13" t="s">
        <v>528</v>
      </c>
      <c r="C318" s="14"/>
    </row>
    <row r="319" spans="1:3" ht="31.5">
      <c r="A319" s="35" t="s">
        <v>541</v>
      </c>
      <c r="B319" s="35" t="s">
        <v>528</v>
      </c>
      <c r="C319" s="32"/>
    </row>
    <row r="320" spans="1:3" ht="31.5">
      <c r="A320" s="35" t="s">
        <v>542</v>
      </c>
      <c r="B320" s="35" t="s">
        <v>528</v>
      </c>
      <c r="C320" s="32"/>
    </row>
    <row r="321" spans="1:4" ht="31.5">
      <c r="A321" s="35" t="s">
        <v>543</v>
      </c>
      <c r="B321" s="35" t="s">
        <v>528</v>
      </c>
      <c r="C321" s="32"/>
    </row>
    <row r="322" spans="1:4">
      <c r="A322" s="29" t="s">
        <v>544</v>
      </c>
      <c r="B322" s="13" t="s">
        <v>528</v>
      </c>
      <c r="C322" s="32"/>
    </row>
    <row r="323" spans="1:4" ht="31.5">
      <c r="A323" s="13" t="s">
        <v>545</v>
      </c>
      <c r="B323" s="13" t="s">
        <v>528</v>
      </c>
      <c r="C323" s="14"/>
    </row>
    <row r="324" spans="1:4">
      <c r="A324" s="35" t="s">
        <v>548</v>
      </c>
      <c r="B324" s="35" t="s">
        <v>528</v>
      </c>
      <c r="C324" s="32"/>
    </row>
    <row r="325" spans="1:4" ht="31.5">
      <c r="A325" s="35" t="s">
        <v>549</v>
      </c>
      <c r="B325" s="35" t="s">
        <v>528</v>
      </c>
      <c r="C325" s="32"/>
    </row>
    <row r="326" spans="1:4" ht="31.5">
      <c r="A326" s="13" t="s">
        <v>550</v>
      </c>
      <c r="B326" s="13" t="s">
        <v>528</v>
      </c>
      <c r="C326" s="14"/>
    </row>
    <row r="327" spans="1:4" ht="31.5">
      <c r="A327" s="13" t="s">
        <v>554</v>
      </c>
      <c r="B327" s="13" t="s">
        <v>528</v>
      </c>
      <c r="C327" s="14"/>
    </row>
    <row r="328" spans="1:4">
      <c r="A328" s="24" t="s">
        <v>559</v>
      </c>
      <c r="B328" s="24" t="s">
        <v>528</v>
      </c>
      <c r="C328" s="14"/>
    </row>
    <row r="329" spans="1:4" ht="31.5">
      <c r="A329" s="13" t="s">
        <v>564</v>
      </c>
      <c r="B329" s="13" t="s">
        <v>528</v>
      </c>
      <c r="C329" s="14"/>
      <c r="D329" s="18"/>
    </row>
    <row r="330" spans="1:4" ht="47.25">
      <c r="A330" s="29" t="s">
        <v>577</v>
      </c>
      <c r="B330" s="24" t="s">
        <v>578</v>
      </c>
      <c r="C330" s="14"/>
    </row>
    <row r="331" spans="1:4" ht="31.5">
      <c r="A331" s="20" t="s">
        <v>600</v>
      </c>
      <c r="B331" s="24" t="s">
        <v>596</v>
      </c>
      <c r="C331" s="14"/>
    </row>
    <row r="332" spans="1:4" ht="31.5">
      <c r="A332" s="13" t="s">
        <v>605</v>
      </c>
      <c r="B332" s="13" t="s">
        <v>596</v>
      </c>
      <c r="C332" s="14"/>
    </row>
    <row r="333" spans="1:4" ht="47.25">
      <c r="A333" s="24" t="s">
        <v>606</v>
      </c>
      <c r="B333" s="24" t="s">
        <v>596</v>
      </c>
      <c r="C333" s="14"/>
    </row>
    <row r="334" spans="1:4">
      <c r="A334" s="13" t="s">
        <v>609</v>
      </c>
      <c r="B334" s="13" t="s">
        <v>596</v>
      </c>
      <c r="C334" s="14"/>
    </row>
    <row r="335" spans="1:4" ht="12.75">
      <c r="A335" s="61" t="s">
        <v>615</v>
      </c>
      <c r="B335" s="61" t="s">
        <v>596</v>
      </c>
      <c r="C335" s="14"/>
      <c r="D335" s="18"/>
    </row>
    <row r="336" spans="1:4">
      <c r="A336" s="20" t="s">
        <v>628</v>
      </c>
      <c r="B336" s="24" t="s">
        <v>596</v>
      </c>
      <c r="C336" s="14"/>
      <c r="D336" s="18"/>
    </row>
    <row r="337" spans="1:4">
      <c r="A337" s="13" t="s">
        <v>638</v>
      </c>
      <c r="B337" s="24" t="s">
        <v>635</v>
      </c>
      <c r="C337" s="14"/>
    </row>
    <row r="338" spans="1:4">
      <c r="A338" s="13" t="s">
        <v>639</v>
      </c>
      <c r="B338" s="24" t="s">
        <v>635</v>
      </c>
      <c r="C338" s="14"/>
    </row>
    <row r="339" spans="1:4">
      <c r="A339" s="13" t="s">
        <v>645</v>
      </c>
      <c r="B339" s="24" t="s">
        <v>635</v>
      </c>
      <c r="C339" s="30"/>
    </row>
    <row r="340" spans="1:4">
      <c r="A340" s="29" t="s">
        <v>719</v>
      </c>
      <c r="B340" s="24" t="s">
        <v>720</v>
      </c>
      <c r="C340" s="14"/>
    </row>
    <row r="341" spans="1:4">
      <c r="A341" s="24" t="s">
        <v>721</v>
      </c>
      <c r="B341" s="24" t="s">
        <v>720</v>
      </c>
      <c r="C341" s="14"/>
    </row>
    <row r="342" spans="1:4">
      <c r="A342" s="13" t="s">
        <v>740</v>
      </c>
      <c r="B342" s="13" t="s">
        <v>720</v>
      </c>
      <c r="C342" s="14"/>
    </row>
    <row r="343" spans="1:4" ht="31.5">
      <c r="A343" s="20" t="s">
        <v>741</v>
      </c>
      <c r="B343" s="24" t="s">
        <v>720</v>
      </c>
      <c r="C343" s="65"/>
      <c r="D343" s="42"/>
    </row>
    <row r="344" spans="1:4" ht="31.5">
      <c r="A344" s="24" t="s">
        <v>742</v>
      </c>
      <c r="B344" s="24" t="s">
        <v>720</v>
      </c>
      <c r="C344" s="17"/>
    </row>
    <row r="345" spans="1:4">
      <c r="A345" s="24" t="s">
        <v>743</v>
      </c>
      <c r="B345" s="24" t="s">
        <v>744</v>
      </c>
      <c r="C345" s="32"/>
    </row>
    <row r="346" spans="1:4">
      <c r="A346" s="24" t="s">
        <v>745</v>
      </c>
      <c r="B346" s="24" t="s">
        <v>744</v>
      </c>
      <c r="C346" s="14"/>
    </row>
    <row r="347" spans="1:4" ht="31.5">
      <c r="A347" s="13" t="s">
        <v>781</v>
      </c>
      <c r="B347" s="13" t="s">
        <v>775</v>
      </c>
      <c r="C347" s="14"/>
      <c r="D347" s="51"/>
    </row>
    <row r="348" spans="1:4" ht="31.5">
      <c r="A348" s="24" t="s">
        <v>791</v>
      </c>
      <c r="B348" s="24" t="s">
        <v>788</v>
      </c>
      <c r="C348" s="14"/>
    </row>
    <row r="349" spans="1:4">
      <c r="A349" s="13" t="s">
        <v>800</v>
      </c>
      <c r="B349" s="13" t="s">
        <v>797</v>
      </c>
      <c r="C349" s="14"/>
    </row>
    <row r="350" spans="1:4" ht="31.5">
      <c r="A350" s="24" t="s">
        <v>804</v>
      </c>
      <c r="B350" s="31" t="s">
        <v>797</v>
      </c>
      <c r="C350" s="14"/>
    </row>
    <row r="351" spans="1:4" ht="31.5">
      <c r="A351" s="35" t="s">
        <v>809</v>
      </c>
      <c r="B351" s="35" t="s">
        <v>797</v>
      </c>
      <c r="C351" s="32"/>
    </row>
    <row r="352" spans="1:4" ht="47.25">
      <c r="A352" s="35" t="s">
        <v>815</v>
      </c>
      <c r="B352" s="35" t="s">
        <v>797</v>
      </c>
      <c r="C352" s="30"/>
    </row>
    <row r="353" spans="1:4" ht="47.25">
      <c r="A353" s="84" t="s">
        <v>816</v>
      </c>
      <c r="B353" s="35" t="s">
        <v>797</v>
      </c>
      <c r="C353" s="30"/>
    </row>
    <row r="354" spans="1:4" ht="12.75">
      <c r="A354" s="87"/>
      <c r="B354" s="87"/>
      <c r="C354" s="17"/>
    </row>
    <row r="355" spans="1:4" ht="12.75">
      <c r="A355" s="48" t="s">
        <v>860</v>
      </c>
      <c r="B355" s="87"/>
      <c r="C355" s="17"/>
      <c r="D355" s="15" t="s">
        <v>375</v>
      </c>
    </row>
    <row r="356" spans="1:4" ht="12.75">
      <c r="A356" s="87"/>
      <c r="B356" s="87"/>
      <c r="C356" s="17"/>
    </row>
    <row r="357" spans="1:4" ht="12.75">
      <c r="A357" s="87"/>
      <c r="B357" s="87"/>
      <c r="C357" s="17"/>
    </row>
    <row r="358" spans="1:4" ht="12.75">
      <c r="A358" s="87"/>
      <c r="B358" s="87"/>
      <c r="C358" s="17"/>
    </row>
    <row r="359" spans="1:4" ht="12.75">
      <c r="A359" s="87"/>
      <c r="B359" s="87"/>
      <c r="C359" s="17"/>
    </row>
    <row r="360" spans="1:4" ht="12.75">
      <c r="A360" s="89"/>
      <c r="B360" s="89"/>
      <c r="C360" s="17"/>
    </row>
    <row r="361" spans="1:4" ht="12.75">
      <c r="A361" s="89"/>
      <c r="B361" s="89"/>
      <c r="C361" s="17"/>
    </row>
    <row r="362" spans="1:4" ht="12.75">
      <c r="A362" s="89"/>
      <c r="B362" s="89"/>
      <c r="C362" s="17"/>
    </row>
    <row r="363" spans="1:4" ht="12.75">
      <c r="A363" s="89"/>
      <c r="B363" s="89"/>
      <c r="C363" s="17"/>
    </row>
    <row r="364" spans="1:4" ht="12.75">
      <c r="A364" s="89"/>
      <c r="B364" s="89"/>
      <c r="C364" s="17"/>
    </row>
    <row r="365" spans="1:4" ht="12.75">
      <c r="A365" s="89"/>
      <c r="B365" s="89"/>
      <c r="C365" s="17"/>
    </row>
    <row r="366" spans="1:4" ht="12.75">
      <c r="A366" s="89"/>
      <c r="B366" s="89"/>
      <c r="C366" s="17"/>
    </row>
    <row r="367" spans="1:4" ht="12.75">
      <c r="A367" s="89"/>
      <c r="B367" s="89"/>
      <c r="C367" s="17"/>
    </row>
    <row r="368" spans="1:4" ht="12.75">
      <c r="A368" s="89"/>
      <c r="B368" s="89"/>
      <c r="C368" s="17"/>
    </row>
    <row r="369" spans="1:3" ht="12.75">
      <c r="A369" s="89"/>
      <c r="B369" s="89"/>
      <c r="C369" s="17"/>
    </row>
    <row r="370" spans="1:3" ht="12.75">
      <c r="A370" s="89"/>
      <c r="B370" s="89"/>
      <c r="C370" s="17"/>
    </row>
    <row r="371" spans="1:3" ht="12.75">
      <c r="A371" s="89"/>
      <c r="B371" s="89"/>
      <c r="C371" s="17"/>
    </row>
    <row r="372" spans="1:3" ht="12.75">
      <c r="A372" s="89"/>
      <c r="B372" s="89"/>
      <c r="C372" s="17"/>
    </row>
    <row r="373" spans="1:3" ht="12.75">
      <c r="A373" s="89"/>
      <c r="B373" s="89"/>
      <c r="C373" s="17"/>
    </row>
    <row r="374" spans="1:3" ht="12.75">
      <c r="A374" s="89"/>
      <c r="B374" s="89"/>
      <c r="C374" s="17"/>
    </row>
    <row r="375" spans="1:3" ht="12.75">
      <c r="A375" s="89"/>
      <c r="B375" s="89"/>
      <c r="C375" s="17"/>
    </row>
    <row r="376" spans="1:3" ht="12.75">
      <c r="A376" s="89"/>
      <c r="B376" s="89"/>
      <c r="C376" s="17"/>
    </row>
    <row r="377" spans="1:3" ht="12.75">
      <c r="A377" s="89"/>
      <c r="B377" s="89"/>
      <c r="C377" s="17"/>
    </row>
    <row r="378" spans="1:3" ht="12.75">
      <c r="A378" s="89"/>
      <c r="B378" s="89"/>
      <c r="C378" s="17"/>
    </row>
    <row r="379" spans="1:3" ht="12.75">
      <c r="A379" s="89"/>
      <c r="B379" s="89"/>
      <c r="C379" s="17"/>
    </row>
    <row r="380" spans="1:3" ht="12.75">
      <c r="A380" s="89"/>
      <c r="B380" s="89"/>
      <c r="C380" s="17"/>
    </row>
    <row r="381" spans="1:3" ht="12.75">
      <c r="A381" s="89"/>
      <c r="B381" s="89"/>
      <c r="C381" s="17"/>
    </row>
    <row r="382" spans="1:3" ht="12.75">
      <c r="A382" s="89"/>
      <c r="B382" s="89"/>
      <c r="C382" s="17"/>
    </row>
    <row r="383" spans="1:3" ht="12.75">
      <c r="A383" s="89"/>
      <c r="B383" s="89"/>
      <c r="C383" s="17"/>
    </row>
    <row r="384" spans="1:3" ht="12.75">
      <c r="A384" s="89"/>
      <c r="B384" s="89"/>
      <c r="C384" s="17"/>
    </row>
    <row r="385" spans="1:3" ht="12.75">
      <c r="A385" s="89"/>
      <c r="B385" s="89"/>
      <c r="C385" s="17"/>
    </row>
    <row r="386" spans="1:3" ht="12.75">
      <c r="A386" s="89"/>
      <c r="B386" s="89"/>
      <c r="C386" s="17"/>
    </row>
    <row r="387" spans="1:3" ht="12.75">
      <c r="A387" s="89"/>
      <c r="B387" s="89"/>
      <c r="C387" s="17"/>
    </row>
    <row r="388" spans="1:3" ht="12.75">
      <c r="A388" s="89"/>
      <c r="B388" s="89"/>
      <c r="C388" s="17"/>
    </row>
    <row r="389" spans="1:3" ht="12.75">
      <c r="A389" s="89"/>
      <c r="B389" s="89"/>
      <c r="C389" s="17"/>
    </row>
    <row r="390" spans="1:3" ht="12.75">
      <c r="A390" s="89"/>
      <c r="B390" s="89"/>
      <c r="C390" s="17"/>
    </row>
    <row r="391" spans="1:3" ht="12.75">
      <c r="A391" s="89"/>
      <c r="B391" s="89"/>
      <c r="C391" s="17"/>
    </row>
    <row r="392" spans="1:3" ht="12.75">
      <c r="A392" s="89"/>
      <c r="B392" s="89"/>
      <c r="C392" s="17"/>
    </row>
    <row r="393" spans="1:3" ht="12.75">
      <c r="A393" s="89"/>
      <c r="B393" s="89"/>
      <c r="C393" s="17"/>
    </row>
    <row r="394" spans="1:3" ht="12.75">
      <c r="A394" s="89"/>
      <c r="B394" s="89"/>
      <c r="C394" s="17"/>
    </row>
    <row r="395" spans="1:3" ht="12.75">
      <c r="A395" s="89"/>
      <c r="B395" s="89"/>
      <c r="C395" s="17"/>
    </row>
    <row r="396" spans="1:3" ht="12.75">
      <c r="A396" s="89"/>
      <c r="B396" s="89"/>
      <c r="C396" s="17"/>
    </row>
    <row r="397" spans="1:3" ht="12.75">
      <c r="A397" s="89"/>
      <c r="B397" s="89"/>
      <c r="C397" s="17"/>
    </row>
    <row r="398" spans="1:3" ht="12.75">
      <c r="A398" s="89"/>
      <c r="B398" s="89"/>
      <c r="C398" s="17"/>
    </row>
    <row r="399" spans="1:3" ht="12.75">
      <c r="A399" s="89"/>
      <c r="B399" s="89"/>
      <c r="C399" s="17"/>
    </row>
    <row r="400" spans="1:3" ht="12.75">
      <c r="A400" s="89"/>
      <c r="B400" s="89"/>
      <c r="C400" s="17"/>
    </row>
    <row r="401" spans="1:3" ht="12.75">
      <c r="A401" s="89"/>
      <c r="B401" s="89"/>
      <c r="C401" s="17"/>
    </row>
    <row r="402" spans="1:3" ht="12.75">
      <c r="A402" s="89"/>
      <c r="B402" s="89"/>
      <c r="C402" s="17"/>
    </row>
    <row r="403" spans="1:3" ht="12.75">
      <c r="A403" s="89"/>
      <c r="B403" s="89"/>
      <c r="C403" s="17"/>
    </row>
    <row r="404" spans="1:3" ht="12.75">
      <c r="A404" s="89"/>
      <c r="B404" s="89"/>
      <c r="C404" s="17"/>
    </row>
    <row r="405" spans="1:3" ht="12.75">
      <c r="A405" s="89"/>
      <c r="B405" s="89"/>
      <c r="C405" s="17"/>
    </row>
    <row r="406" spans="1:3" ht="12.75">
      <c r="A406" s="89"/>
      <c r="B406" s="89"/>
      <c r="C406" s="17"/>
    </row>
    <row r="407" spans="1:3" ht="12.75">
      <c r="A407" s="89"/>
      <c r="B407" s="89"/>
      <c r="C407" s="17"/>
    </row>
    <row r="408" spans="1:3" ht="12.75">
      <c r="A408" s="89"/>
      <c r="B408" s="89"/>
      <c r="C408" s="17"/>
    </row>
    <row r="409" spans="1:3" ht="12.75">
      <c r="A409" s="89"/>
      <c r="B409" s="89"/>
      <c r="C409" s="17"/>
    </row>
    <row r="410" spans="1:3" ht="12.75">
      <c r="A410" s="89"/>
      <c r="B410" s="89"/>
      <c r="C410" s="17"/>
    </row>
    <row r="411" spans="1:3" ht="12.75">
      <c r="A411" s="89"/>
      <c r="B411" s="89"/>
      <c r="C411" s="17"/>
    </row>
    <row r="412" spans="1:3" ht="12.75">
      <c r="A412" s="89"/>
      <c r="B412" s="89"/>
      <c r="C412" s="17"/>
    </row>
    <row r="413" spans="1:3" ht="12.75">
      <c r="A413" s="89"/>
      <c r="B413" s="89"/>
      <c r="C413" s="17"/>
    </row>
    <row r="414" spans="1:3" ht="12.75">
      <c r="A414" s="89"/>
      <c r="B414" s="89"/>
      <c r="C414" s="17"/>
    </row>
    <row r="415" spans="1:3" ht="12.75">
      <c r="A415" s="89"/>
      <c r="B415" s="89"/>
      <c r="C415" s="17"/>
    </row>
    <row r="416" spans="1:3" ht="12.75">
      <c r="A416" s="89"/>
      <c r="B416" s="89"/>
      <c r="C416" s="17"/>
    </row>
    <row r="417" spans="1:3" ht="12.75">
      <c r="A417" s="89"/>
      <c r="B417" s="89"/>
      <c r="C417" s="17"/>
    </row>
    <row r="418" spans="1:3" ht="12.75">
      <c r="A418" s="89"/>
      <c r="B418" s="89"/>
      <c r="C418" s="17"/>
    </row>
    <row r="419" spans="1:3" ht="12.75">
      <c r="A419" s="89"/>
      <c r="B419" s="89"/>
      <c r="C419" s="17"/>
    </row>
    <row r="420" spans="1:3" ht="12.75">
      <c r="A420" s="89"/>
      <c r="B420" s="89"/>
      <c r="C420" s="17"/>
    </row>
    <row r="421" spans="1:3" ht="12.75">
      <c r="A421" s="89"/>
      <c r="B421" s="89"/>
      <c r="C421" s="17"/>
    </row>
    <row r="422" spans="1:3" ht="12.75">
      <c r="A422" s="89"/>
      <c r="B422" s="89"/>
      <c r="C422" s="17"/>
    </row>
    <row r="423" spans="1:3" ht="12.75">
      <c r="A423" s="89"/>
      <c r="B423" s="89"/>
      <c r="C423" s="17"/>
    </row>
    <row r="424" spans="1:3" ht="12.75">
      <c r="A424" s="89"/>
      <c r="B424" s="89"/>
      <c r="C424" s="17"/>
    </row>
    <row r="425" spans="1:3" ht="12.75">
      <c r="A425" s="89"/>
      <c r="B425" s="89"/>
      <c r="C425" s="17"/>
    </row>
    <row r="426" spans="1:3" ht="12.75">
      <c r="A426" s="89"/>
      <c r="B426" s="89"/>
      <c r="C426" s="17"/>
    </row>
    <row r="427" spans="1:3" ht="12.75">
      <c r="A427" s="89"/>
      <c r="B427" s="89"/>
      <c r="C427" s="17"/>
    </row>
    <row r="428" spans="1:3" ht="12.75">
      <c r="A428" s="89"/>
      <c r="B428" s="89"/>
      <c r="C428" s="17"/>
    </row>
    <row r="429" spans="1:3" ht="12.75">
      <c r="A429" s="89"/>
      <c r="B429" s="89"/>
      <c r="C429" s="17"/>
    </row>
    <row r="430" spans="1:3" ht="12.75">
      <c r="A430" s="89"/>
      <c r="B430" s="89"/>
      <c r="C430" s="17"/>
    </row>
    <row r="431" spans="1:3" ht="12.75">
      <c r="A431" s="89"/>
      <c r="B431" s="89"/>
      <c r="C431" s="17"/>
    </row>
    <row r="432" spans="1:3" ht="12.75">
      <c r="A432" s="89"/>
      <c r="B432" s="89"/>
      <c r="C432" s="17"/>
    </row>
    <row r="433" spans="1:3" ht="12.75">
      <c r="A433" s="89"/>
      <c r="B433" s="89"/>
      <c r="C433" s="17"/>
    </row>
    <row r="434" spans="1:3" ht="12.75">
      <c r="A434" s="89"/>
      <c r="B434" s="89"/>
      <c r="C434" s="17"/>
    </row>
    <row r="435" spans="1:3" ht="12.75">
      <c r="A435" s="89"/>
      <c r="B435" s="89"/>
      <c r="C435" s="17"/>
    </row>
    <row r="436" spans="1:3" ht="12.75">
      <c r="A436" s="89"/>
      <c r="B436" s="89"/>
      <c r="C436" s="17"/>
    </row>
    <row r="437" spans="1:3" ht="12.75">
      <c r="A437" s="89"/>
      <c r="B437" s="89"/>
      <c r="C437" s="17"/>
    </row>
    <row r="438" spans="1:3" ht="12.75">
      <c r="A438" s="89"/>
      <c r="B438" s="89"/>
      <c r="C438" s="17"/>
    </row>
    <row r="439" spans="1:3" ht="12.75">
      <c r="A439" s="89"/>
      <c r="B439" s="89"/>
      <c r="C439" s="17"/>
    </row>
    <row r="440" spans="1:3" ht="12.75">
      <c r="A440" s="89"/>
      <c r="B440" s="89"/>
      <c r="C440" s="17"/>
    </row>
    <row r="441" spans="1:3" ht="12.75">
      <c r="A441" s="89"/>
      <c r="B441" s="89"/>
      <c r="C441" s="17"/>
    </row>
    <row r="442" spans="1:3" ht="12.75">
      <c r="A442" s="89"/>
      <c r="B442" s="89"/>
      <c r="C442" s="17"/>
    </row>
    <row r="443" spans="1:3" ht="12.75">
      <c r="A443" s="89"/>
      <c r="B443" s="89"/>
      <c r="C443" s="17"/>
    </row>
    <row r="444" spans="1:3" ht="12.75">
      <c r="A444" s="89"/>
      <c r="B444" s="89"/>
      <c r="C444" s="17"/>
    </row>
    <row r="445" spans="1:3" ht="12.75">
      <c r="A445" s="89"/>
      <c r="B445" s="89"/>
      <c r="C445" s="17"/>
    </row>
    <row r="446" spans="1:3" ht="12.75">
      <c r="A446" s="89"/>
      <c r="B446" s="89"/>
      <c r="C446" s="17"/>
    </row>
    <row r="447" spans="1:3" ht="12.75">
      <c r="A447" s="89"/>
      <c r="B447" s="89"/>
      <c r="C447" s="17"/>
    </row>
    <row r="448" spans="1:3" ht="12.75">
      <c r="A448" s="89"/>
      <c r="B448" s="89"/>
      <c r="C448" s="17"/>
    </row>
    <row r="449" spans="1:3" ht="12.75">
      <c r="A449" s="89"/>
      <c r="B449" s="89"/>
      <c r="C449" s="17"/>
    </row>
    <row r="450" spans="1:3" ht="12.75">
      <c r="A450" s="89"/>
      <c r="B450" s="89"/>
      <c r="C450" s="17"/>
    </row>
    <row r="451" spans="1:3" ht="12.75">
      <c r="A451" s="89"/>
      <c r="B451" s="89"/>
      <c r="C451" s="17"/>
    </row>
    <row r="452" spans="1:3" ht="12.75">
      <c r="A452" s="89"/>
      <c r="B452" s="89"/>
      <c r="C452" s="17"/>
    </row>
    <row r="453" spans="1:3" ht="12.75">
      <c r="A453" s="89"/>
      <c r="B453" s="89"/>
      <c r="C453" s="17"/>
    </row>
    <row r="454" spans="1:3" ht="12.75">
      <c r="A454" s="89"/>
      <c r="B454" s="89"/>
      <c r="C454" s="17"/>
    </row>
    <row r="455" spans="1:3" ht="12.75">
      <c r="A455" s="89"/>
      <c r="B455" s="89"/>
      <c r="C455" s="17"/>
    </row>
    <row r="456" spans="1:3" ht="12.75">
      <c r="A456" s="89"/>
      <c r="B456" s="89"/>
      <c r="C456" s="17"/>
    </row>
    <row r="457" spans="1:3" ht="12.75">
      <c r="A457" s="89"/>
      <c r="B457" s="89"/>
      <c r="C457" s="17"/>
    </row>
    <row r="458" spans="1:3" ht="12.75">
      <c r="A458" s="89"/>
      <c r="B458" s="89"/>
      <c r="C458" s="17"/>
    </row>
    <row r="459" spans="1:3" ht="12.75">
      <c r="A459" s="89"/>
      <c r="B459" s="89"/>
      <c r="C459" s="17"/>
    </row>
    <row r="460" spans="1:3" ht="12.75">
      <c r="A460" s="89"/>
      <c r="B460" s="89"/>
      <c r="C460" s="17"/>
    </row>
    <row r="461" spans="1:3" ht="12.75">
      <c r="A461" s="89"/>
      <c r="B461" s="89"/>
      <c r="C461" s="17"/>
    </row>
    <row r="462" spans="1:3" ht="12.75">
      <c r="A462" s="89"/>
      <c r="B462" s="89"/>
      <c r="C462" s="17"/>
    </row>
    <row r="463" spans="1:3" ht="12.75">
      <c r="A463" s="89"/>
      <c r="B463" s="89"/>
      <c r="C463" s="17"/>
    </row>
    <row r="464" spans="1:3" ht="12.75">
      <c r="A464" s="89"/>
      <c r="B464" s="89"/>
      <c r="C464" s="17"/>
    </row>
    <row r="465" spans="1:3" ht="12.75">
      <c r="A465" s="89"/>
      <c r="B465" s="89"/>
      <c r="C465" s="17"/>
    </row>
    <row r="466" spans="1:3" ht="12.75">
      <c r="A466" s="89"/>
      <c r="B466" s="89"/>
      <c r="C466" s="17"/>
    </row>
    <row r="467" spans="1:3" ht="12.75">
      <c r="A467" s="89"/>
      <c r="B467" s="89"/>
      <c r="C467" s="17"/>
    </row>
    <row r="468" spans="1:3" ht="12.75">
      <c r="A468" s="89"/>
      <c r="B468" s="89"/>
      <c r="C468" s="17"/>
    </row>
    <row r="469" spans="1:3" ht="12.75">
      <c r="A469" s="89"/>
      <c r="B469" s="89"/>
      <c r="C469" s="17"/>
    </row>
    <row r="470" spans="1:3" ht="12.75">
      <c r="A470" s="89"/>
      <c r="B470" s="89"/>
      <c r="C470" s="17"/>
    </row>
    <row r="471" spans="1:3" ht="12.75">
      <c r="A471" s="89"/>
      <c r="B471" s="89"/>
      <c r="C471" s="17"/>
    </row>
    <row r="472" spans="1:3" ht="12.75">
      <c r="A472" s="89"/>
      <c r="B472" s="89"/>
      <c r="C472" s="17"/>
    </row>
    <row r="473" spans="1:3" ht="12.75">
      <c r="A473" s="89"/>
      <c r="B473" s="89"/>
      <c r="C473" s="17"/>
    </row>
    <row r="474" spans="1:3" ht="12.75">
      <c r="A474" s="89"/>
      <c r="B474" s="89"/>
      <c r="C474" s="17"/>
    </row>
    <row r="475" spans="1:3" ht="12.75">
      <c r="A475" s="89"/>
      <c r="B475" s="89"/>
      <c r="C475" s="17"/>
    </row>
    <row r="476" spans="1:3" ht="12.75">
      <c r="A476" s="89"/>
      <c r="B476" s="89"/>
      <c r="C476" s="17"/>
    </row>
    <row r="477" spans="1:3" ht="12.75">
      <c r="A477" s="89"/>
      <c r="B477" s="89"/>
      <c r="C477" s="17"/>
    </row>
    <row r="478" spans="1:3" ht="12.75">
      <c r="A478" s="89"/>
      <c r="B478" s="89"/>
      <c r="C478" s="17"/>
    </row>
    <row r="479" spans="1:3" ht="12.75">
      <c r="A479" s="89"/>
      <c r="B479" s="89"/>
      <c r="C479" s="17"/>
    </row>
    <row r="480" spans="1:3" ht="12.75">
      <c r="A480" s="89"/>
      <c r="B480" s="89"/>
      <c r="C480" s="17"/>
    </row>
    <row r="481" spans="1:3" ht="12.75">
      <c r="A481" s="89"/>
      <c r="B481" s="89"/>
      <c r="C481" s="17"/>
    </row>
    <row r="482" spans="1:3" ht="12.75">
      <c r="A482" s="89"/>
      <c r="B482" s="89"/>
      <c r="C482" s="17"/>
    </row>
    <row r="483" spans="1:3" ht="12.75">
      <c r="A483" s="89"/>
      <c r="B483" s="89"/>
      <c r="C483" s="17"/>
    </row>
    <row r="484" spans="1:3" ht="12.75">
      <c r="A484" s="89"/>
      <c r="B484" s="89"/>
      <c r="C484" s="17"/>
    </row>
    <row r="485" spans="1:3" ht="12.75">
      <c r="A485" s="89"/>
      <c r="B485" s="89"/>
      <c r="C485" s="17"/>
    </row>
    <row r="486" spans="1:3" ht="12.75">
      <c r="A486" s="89"/>
      <c r="B486" s="89"/>
      <c r="C486" s="17"/>
    </row>
    <row r="487" spans="1:3" ht="12.75">
      <c r="A487" s="89"/>
      <c r="B487" s="89"/>
      <c r="C487" s="17"/>
    </row>
    <row r="488" spans="1:3" ht="12.75">
      <c r="A488" s="89"/>
      <c r="B488" s="89"/>
      <c r="C488" s="17"/>
    </row>
    <row r="489" spans="1:3" ht="12.75">
      <c r="A489" s="89"/>
      <c r="B489" s="89"/>
      <c r="C489" s="17"/>
    </row>
    <row r="490" spans="1:3" ht="12.75">
      <c r="A490" s="89"/>
      <c r="B490" s="89"/>
      <c r="C490" s="17"/>
    </row>
    <row r="491" spans="1:3" ht="12.75">
      <c r="A491" s="89"/>
      <c r="B491" s="89"/>
      <c r="C491" s="17"/>
    </row>
    <row r="492" spans="1:3" ht="12.75">
      <c r="A492" s="89"/>
      <c r="B492" s="89"/>
      <c r="C492" s="17"/>
    </row>
    <row r="493" spans="1:3" ht="12.75">
      <c r="A493" s="89"/>
      <c r="B493" s="89"/>
      <c r="C493" s="17"/>
    </row>
    <row r="494" spans="1:3" ht="12.75">
      <c r="A494" s="89"/>
      <c r="B494" s="89"/>
      <c r="C494" s="17"/>
    </row>
    <row r="495" spans="1:3" ht="12.75">
      <c r="A495" s="89"/>
      <c r="B495" s="89"/>
      <c r="C495" s="17"/>
    </row>
    <row r="496" spans="1:3" ht="12.75">
      <c r="A496" s="89"/>
      <c r="B496" s="89"/>
      <c r="C496" s="17"/>
    </row>
    <row r="497" spans="1:3" ht="12.75">
      <c r="A497" s="89"/>
      <c r="B497" s="89"/>
      <c r="C497" s="17"/>
    </row>
    <row r="498" spans="1:3" ht="12.75">
      <c r="A498" s="89"/>
      <c r="B498" s="89"/>
      <c r="C498" s="17"/>
    </row>
    <row r="499" spans="1:3" ht="12.75">
      <c r="A499" s="89"/>
      <c r="B499" s="89"/>
      <c r="C499" s="17"/>
    </row>
    <row r="500" spans="1:3" ht="12.75">
      <c r="A500" s="89"/>
      <c r="B500" s="89"/>
      <c r="C500" s="17"/>
    </row>
    <row r="501" spans="1:3" ht="12.75">
      <c r="A501" s="89"/>
      <c r="B501" s="89"/>
      <c r="C501" s="17"/>
    </row>
    <row r="502" spans="1:3" ht="12.75">
      <c r="A502" s="89"/>
      <c r="B502" s="89"/>
      <c r="C502" s="17"/>
    </row>
    <row r="503" spans="1:3" ht="12.75">
      <c r="A503" s="89"/>
      <c r="B503" s="89"/>
      <c r="C503" s="17"/>
    </row>
    <row r="504" spans="1:3" ht="12.75">
      <c r="A504" s="89"/>
      <c r="B504" s="89"/>
      <c r="C504" s="17"/>
    </row>
    <row r="505" spans="1:3" ht="12.75">
      <c r="A505" s="89"/>
      <c r="B505" s="89"/>
      <c r="C505" s="17"/>
    </row>
    <row r="506" spans="1:3" ht="12.75">
      <c r="A506" s="89"/>
      <c r="B506" s="89"/>
      <c r="C506" s="17"/>
    </row>
    <row r="507" spans="1:3" ht="12.75">
      <c r="A507" s="89"/>
      <c r="B507" s="89"/>
      <c r="C507" s="17"/>
    </row>
    <row r="508" spans="1:3" ht="12.75">
      <c r="A508" s="89"/>
      <c r="B508" s="89"/>
      <c r="C508" s="17"/>
    </row>
    <row r="509" spans="1:3" ht="12.75">
      <c r="A509" s="89"/>
      <c r="B509" s="89"/>
      <c r="C509" s="17"/>
    </row>
    <row r="510" spans="1:3" ht="12.75">
      <c r="A510" s="89"/>
      <c r="B510" s="89"/>
      <c r="C510" s="17"/>
    </row>
    <row r="511" spans="1:3" ht="12.75">
      <c r="A511" s="89"/>
      <c r="B511" s="89"/>
      <c r="C511" s="17"/>
    </row>
    <row r="512" spans="1:3" ht="12.75">
      <c r="A512" s="89"/>
      <c r="B512" s="89"/>
      <c r="C512" s="17"/>
    </row>
    <row r="513" spans="1:3" ht="12.75">
      <c r="A513" s="89"/>
      <c r="B513" s="89"/>
      <c r="C513" s="17"/>
    </row>
    <row r="514" spans="1:3" ht="12.75">
      <c r="A514" s="89"/>
      <c r="B514" s="89"/>
      <c r="C514" s="17"/>
    </row>
    <row r="515" spans="1:3" ht="12.75">
      <c r="A515" s="89"/>
      <c r="B515" s="89"/>
      <c r="C515" s="17"/>
    </row>
    <row r="516" spans="1:3" ht="12.75">
      <c r="A516" s="89"/>
      <c r="B516" s="89"/>
      <c r="C516" s="17"/>
    </row>
    <row r="517" spans="1:3" ht="12.75">
      <c r="A517" s="89"/>
      <c r="B517" s="89"/>
      <c r="C517" s="17"/>
    </row>
    <row r="518" spans="1:3" ht="12.75">
      <c r="A518" s="89"/>
      <c r="B518" s="89"/>
      <c r="C518" s="17"/>
    </row>
    <row r="519" spans="1:3" ht="12.75">
      <c r="A519" s="89"/>
      <c r="B519" s="89"/>
      <c r="C519" s="17"/>
    </row>
    <row r="520" spans="1:3" ht="12.75">
      <c r="A520" s="89"/>
      <c r="B520" s="89"/>
      <c r="C520" s="17"/>
    </row>
    <row r="521" spans="1:3" ht="12.75">
      <c r="A521" s="89"/>
      <c r="B521" s="89"/>
      <c r="C521" s="17"/>
    </row>
    <row r="522" spans="1:3" ht="12.75">
      <c r="A522" s="89"/>
      <c r="B522" s="89"/>
      <c r="C522" s="17"/>
    </row>
    <row r="523" spans="1:3" ht="12.75">
      <c r="A523" s="89"/>
      <c r="B523" s="89"/>
      <c r="C523" s="17"/>
    </row>
    <row r="524" spans="1:3" ht="12.75">
      <c r="A524" s="89"/>
      <c r="B524" s="89"/>
      <c r="C524" s="17"/>
    </row>
    <row r="525" spans="1:3" ht="12.75">
      <c r="A525" s="89"/>
      <c r="B525" s="89"/>
      <c r="C525" s="17"/>
    </row>
    <row r="526" spans="1:3" ht="12.75">
      <c r="A526" s="89"/>
      <c r="B526" s="89"/>
      <c r="C526" s="17"/>
    </row>
    <row r="527" spans="1:3" ht="12.75">
      <c r="A527" s="89"/>
      <c r="B527" s="89"/>
      <c r="C527" s="17"/>
    </row>
    <row r="528" spans="1:3" ht="12.75">
      <c r="A528" s="89"/>
      <c r="B528" s="89"/>
      <c r="C528" s="17"/>
    </row>
    <row r="529" spans="1:3" ht="12.75">
      <c r="A529" s="89"/>
      <c r="B529" s="89"/>
      <c r="C529" s="17"/>
    </row>
    <row r="530" spans="1:3" ht="12.75">
      <c r="A530" s="89"/>
      <c r="B530" s="89"/>
      <c r="C530" s="17"/>
    </row>
    <row r="531" spans="1:3" ht="12.75">
      <c r="A531" s="89"/>
      <c r="B531" s="89"/>
      <c r="C531" s="17"/>
    </row>
    <row r="532" spans="1:3" ht="12.75">
      <c r="A532" s="89"/>
      <c r="B532" s="89"/>
      <c r="C532" s="17"/>
    </row>
    <row r="533" spans="1:3" ht="12.75">
      <c r="A533" s="89"/>
      <c r="B533" s="89"/>
      <c r="C533" s="17"/>
    </row>
    <row r="534" spans="1:3" ht="12.75">
      <c r="A534" s="89"/>
      <c r="B534" s="89"/>
      <c r="C534" s="17"/>
    </row>
    <row r="535" spans="1:3" ht="12.75">
      <c r="A535" s="89"/>
      <c r="B535" s="89"/>
      <c r="C535" s="17"/>
    </row>
    <row r="536" spans="1:3" ht="12.75">
      <c r="A536" s="89"/>
      <c r="B536" s="89"/>
      <c r="C536" s="17"/>
    </row>
    <row r="537" spans="1:3" ht="12.75">
      <c r="A537" s="89"/>
      <c r="B537" s="89"/>
      <c r="C537" s="17"/>
    </row>
    <row r="538" spans="1:3" ht="12.75">
      <c r="A538" s="89"/>
      <c r="B538" s="89"/>
      <c r="C538" s="17"/>
    </row>
    <row r="539" spans="1:3" ht="12.75">
      <c r="A539" s="89"/>
      <c r="B539" s="89"/>
      <c r="C539" s="17"/>
    </row>
    <row r="540" spans="1:3" ht="12.75">
      <c r="A540" s="89"/>
      <c r="B540" s="89"/>
      <c r="C540" s="17"/>
    </row>
    <row r="541" spans="1:3" ht="12.75">
      <c r="A541" s="89"/>
      <c r="B541" s="89"/>
      <c r="C541" s="17"/>
    </row>
    <row r="542" spans="1:3" ht="12.75">
      <c r="A542" s="89"/>
      <c r="B542" s="89"/>
      <c r="C542" s="17"/>
    </row>
    <row r="543" spans="1:3" ht="12.75">
      <c r="A543" s="89"/>
      <c r="B543" s="89"/>
      <c r="C543" s="17"/>
    </row>
    <row r="544" spans="1:3" ht="12.75">
      <c r="A544" s="89"/>
      <c r="B544" s="89"/>
      <c r="C544" s="17"/>
    </row>
    <row r="545" spans="1:3" ht="12.75">
      <c r="A545" s="89"/>
      <c r="B545" s="89"/>
      <c r="C545" s="17"/>
    </row>
    <row r="546" spans="1:3" ht="12.75">
      <c r="A546" s="89"/>
      <c r="B546" s="89"/>
      <c r="C546" s="17"/>
    </row>
    <row r="547" spans="1:3" ht="12.75">
      <c r="A547" s="89"/>
      <c r="B547" s="89"/>
      <c r="C547" s="17"/>
    </row>
    <row r="548" spans="1:3" ht="12.75">
      <c r="A548" s="89"/>
      <c r="B548" s="89"/>
      <c r="C548" s="17"/>
    </row>
    <row r="549" spans="1:3" ht="12.75">
      <c r="A549" s="89"/>
      <c r="B549" s="89"/>
      <c r="C549" s="17"/>
    </row>
    <row r="550" spans="1:3" ht="12.75">
      <c r="A550" s="89"/>
      <c r="B550" s="89"/>
      <c r="C550" s="17"/>
    </row>
    <row r="551" spans="1:3" ht="12.75">
      <c r="A551" s="89"/>
      <c r="B551" s="89"/>
      <c r="C551" s="17"/>
    </row>
    <row r="552" spans="1:3" ht="12.75">
      <c r="A552" s="89"/>
      <c r="B552" s="89"/>
      <c r="C552" s="17"/>
    </row>
    <row r="553" spans="1:3" ht="12.75">
      <c r="A553" s="89"/>
      <c r="B553" s="89"/>
      <c r="C553" s="17"/>
    </row>
    <row r="554" spans="1:3" ht="12.75">
      <c r="A554" s="89"/>
      <c r="B554" s="89"/>
      <c r="C554" s="17"/>
    </row>
    <row r="555" spans="1:3" ht="12.75">
      <c r="A555" s="89"/>
      <c r="B555" s="89"/>
      <c r="C555" s="17"/>
    </row>
    <row r="556" spans="1:3" ht="12.75">
      <c r="A556" s="89"/>
      <c r="B556" s="89"/>
      <c r="C556" s="17"/>
    </row>
    <row r="557" spans="1:3" ht="12.75">
      <c r="A557" s="89"/>
      <c r="B557" s="89"/>
      <c r="C557" s="17"/>
    </row>
    <row r="558" spans="1:3" ht="12.75">
      <c r="A558" s="89"/>
      <c r="B558" s="89"/>
      <c r="C558" s="17"/>
    </row>
    <row r="559" spans="1:3" ht="12.75">
      <c r="A559" s="89"/>
      <c r="B559" s="89"/>
      <c r="C559" s="17"/>
    </row>
    <row r="560" spans="1:3" ht="12.75">
      <c r="A560" s="89"/>
      <c r="B560" s="89"/>
      <c r="C560" s="17"/>
    </row>
    <row r="561" spans="1:3" ht="12.75">
      <c r="A561" s="89"/>
      <c r="B561" s="89"/>
      <c r="C561" s="17"/>
    </row>
    <row r="562" spans="1:3" ht="12.75">
      <c r="A562" s="89"/>
      <c r="B562" s="89"/>
      <c r="C562" s="17"/>
    </row>
    <row r="563" spans="1:3" ht="12.75">
      <c r="A563" s="89"/>
      <c r="B563" s="89"/>
      <c r="C563" s="17"/>
    </row>
    <row r="564" spans="1:3" ht="12.75">
      <c r="A564" s="89"/>
      <c r="B564" s="89"/>
      <c r="C564" s="17"/>
    </row>
    <row r="565" spans="1:3" ht="12.75">
      <c r="A565" s="89"/>
      <c r="B565" s="89"/>
      <c r="C565" s="17"/>
    </row>
    <row r="566" spans="1:3" ht="12.75">
      <c r="A566" s="89"/>
      <c r="B566" s="89"/>
      <c r="C566" s="17"/>
    </row>
    <row r="567" spans="1:3" ht="12.75">
      <c r="A567" s="89"/>
      <c r="B567" s="89"/>
      <c r="C567" s="17"/>
    </row>
    <row r="568" spans="1:3" ht="12.75">
      <c r="A568" s="89"/>
      <c r="B568" s="89"/>
      <c r="C568" s="17"/>
    </row>
    <row r="569" spans="1:3" ht="12.75">
      <c r="A569" s="89"/>
      <c r="B569" s="89"/>
      <c r="C569" s="17"/>
    </row>
    <row r="570" spans="1:3" ht="12.75">
      <c r="A570" s="89"/>
      <c r="B570" s="89"/>
      <c r="C570" s="17"/>
    </row>
    <row r="571" spans="1:3" ht="12.75">
      <c r="A571" s="89"/>
      <c r="B571" s="89"/>
      <c r="C571" s="17"/>
    </row>
    <row r="572" spans="1:3" ht="12.75">
      <c r="A572" s="89"/>
      <c r="B572" s="89"/>
      <c r="C572" s="17"/>
    </row>
    <row r="573" spans="1:3" ht="12.75">
      <c r="A573" s="89"/>
      <c r="B573" s="89"/>
      <c r="C573" s="17"/>
    </row>
    <row r="574" spans="1:3" ht="12.75">
      <c r="A574" s="89"/>
      <c r="B574" s="89"/>
      <c r="C574" s="17"/>
    </row>
    <row r="575" spans="1:3" ht="12.75">
      <c r="A575" s="89"/>
      <c r="B575" s="89"/>
      <c r="C575" s="17"/>
    </row>
    <row r="576" spans="1:3" ht="12.75">
      <c r="A576" s="89"/>
      <c r="B576" s="89"/>
      <c r="C576" s="17"/>
    </row>
    <row r="577" spans="1:3" ht="12.75">
      <c r="A577" s="89"/>
      <c r="B577" s="89"/>
      <c r="C577" s="17"/>
    </row>
    <row r="578" spans="1:3" ht="12.75">
      <c r="A578" s="89"/>
      <c r="B578" s="89"/>
      <c r="C578" s="17"/>
    </row>
    <row r="579" spans="1:3" ht="12.75">
      <c r="A579" s="89"/>
      <c r="B579" s="89"/>
      <c r="C579" s="17"/>
    </row>
    <row r="580" spans="1:3" ht="12.75">
      <c r="A580" s="89"/>
      <c r="B580" s="89"/>
      <c r="C580" s="17"/>
    </row>
    <row r="581" spans="1:3" ht="12.75">
      <c r="A581" s="89"/>
      <c r="B581" s="89"/>
      <c r="C581" s="17"/>
    </row>
    <row r="582" spans="1:3" ht="12.75">
      <c r="A582" s="89"/>
      <c r="B582" s="89"/>
      <c r="C582" s="17"/>
    </row>
    <row r="583" spans="1:3" ht="12.75">
      <c r="A583" s="89"/>
      <c r="B583" s="89"/>
      <c r="C583" s="17"/>
    </row>
    <row r="584" spans="1:3" ht="12.75">
      <c r="A584" s="89"/>
      <c r="B584" s="89"/>
      <c r="C584" s="17"/>
    </row>
    <row r="585" spans="1:3" ht="12.75">
      <c r="A585" s="89"/>
      <c r="B585" s="89"/>
      <c r="C585" s="17"/>
    </row>
    <row r="586" spans="1:3" ht="12.75">
      <c r="A586" s="89"/>
      <c r="B586" s="89"/>
      <c r="C586" s="17"/>
    </row>
    <row r="587" spans="1:3" ht="12.75">
      <c r="A587" s="89"/>
      <c r="B587" s="89"/>
      <c r="C587" s="17"/>
    </row>
    <row r="588" spans="1:3" ht="12.75">
      <c r="A588" s="89"/>
      <c r="B588" s="89"/>
      <c r="C588" s="17"/>
    </row>
    <row r="589" spans="1:3" ht="12.75">
      <c r="A589" s="89"/>
      <c r="B589" s="89"/>
      <c r="C589" s="17"/>
    </row>
    <row r="590" spans="1:3" ht="12.75">
      <c r="A590" s="89"/>
      <c r="B590" s="89"/>
      <c r="C590" s="17"/>
    </row>
    <row r="591" spans="1:3" ht="12.75">
      <c r="A591" s="89"/>
      <c r="B591" s="89"/>
      <c r="C591" s="17"/>
    </row>
    <row r="592" spans="1:3" ht="12.75">
      <c r="A592" s="89"/>
      <c r="B592" s="89"/>
      <c r="C592" s="17"/>
    </row>
    <row r="593" spans="1:3" ht="12.75">
      <c r="A593" s="89"/>
      <c r="B593" s="89"/>
      <c r="C593" s="17"/>
    </row>
    <row r="594" spans="1:3" ht="12.75">
      <c r="A594" s="89"/>
      <c r="B594" s="89"/>
      <c r="C594" s="17"/>
    </row>
    <row r="595" spans="1:3" ht="12.75">
      <c r="A595" s="89"/>
      <c r="B595" s="89"/>
      <c r="C595" s="17"/>
    </row>
    <row r="596" spans="1:3" ht="12.75">
      <c r="A596" s="89"/>
      <c r="B596" s="89"/>
      <c r="C596" s="17"/>
    </row>
    <row r="597" spans="1:3" ht="12.75">
      <c r="A597" s="89"/>
      <c r="B597" s="89"/>
      <c r="C597" s="17"/>
    </row>
    <row r="598" spans="1:3" ht="12.75">
      <c r="A598" s="89"/>
      <c r="B598" s="89"/>
      <c r="C598" s="17"/>
    </row>
    <row r="599" spans="1:3" ht="12.75">
      <c r="A599" s="89"/>
      <c r="B599" s="89"/>
      <c r="C599" s="17"/>
    </row>
    <row r="600" spans="1:3" ht="12.75">
      <c r="A600" s="89"/>
      <c r="B600" s="89"/>
      <c r="C600" s="17"/>
    </row>
    <row r="601" spans="1:3" ht="12.75">
      <c r="A601" s="89"/>
      <c r="B601" s="89"/>
      <c r="C601" s="17"/>
    </row>
    <row r="602" spans="1:3" ht="12.75">
      <c r="A602" s="89"/>
      <c r="B602" s="89"/>
      <c r="C602" s="17"/>
    </row>
    <row r="603" spans="1:3" ht="12.75">
      <c r="A603" s="89"/>
      <c r="B603" s="89"/>
      <c r="C603" s="17"/>
    </row>
    <row r="604" spans="1:3" ht="12.75">
      <c r="A604" s="89"/>
      <c r="B604" s="89"/>
      <c r="C604" s="17"/>
    </row>
    <row r="605" spans="1:3" ht="12.75">
      <c r="A605" s="89"/>
      <c r="B605" s="89"/>
      <c r="C605" s="17"/>
    </row>
    <row r="606" spans="1:3" ht="12.75">
      <c r="A606" s="89"/>
      <c r="B606" s="89"/>
      <c r="C606" s="17"/>
    </row>
    <row r="607" spans="1:3" ht="12.75">
      <c r="A607" s="89"/>
      <c r="B607" s="89"/>
      <c r="C607" s="17"/>
    </row>
    <row r="608" spans="1:3" ht="12.75">
      <c r="A608" s="89"/>
      <c r="B608" s="89"/>
      <c r="C608" s="17"/>
    </row>
    <row r="609" spans="1:3" ht="12.75">
      <c r="A609" s="89"/>
      <c r="B609" s="89"/>
      <c r="C609" s="17"/>
    </row>
    <row r="610" spans="1:3" ht="12.75">
      <c r="A610" s="89"/>
      <c r="B610" s="89"/>
      <c r="C610" s="17"/>
    </row>
    <row r="611" spans="1:3" ht="12.75">
      <c r="A611" s="89"/>
      <c r="B611" s="89"/>
      <c r="C611" s="17"/>
    </row>
    <row r="612" spans="1:3" ht="12.75">
      <c r="A612" s="89"/>
      <c r="B612" s="89"/>
      <c r="C612" s="17"/>
    </row>
    <row r="613" spans="1:3" ht="12.75">
      <c r="A613" s="89"/>
      <c r="B613" s="89"/>
      <c r="C613" s="17"/>
    </row>
    <row r="614" spans="1:3" ht="12.75">
      <c r="A614" s="89"/>
      <c r="B614" s="89"/>
      <c r="C614" s="17"/>
    </row>
    <row r="615" spans="1:3" ht="12.75">
      <c r="A615" s="89"/>
      <c r="B615" s="89"/>
      <c r="C615" s="17"/>
    </row>
    <row r="616" spans="1:3" ht="12.75">
      <c r="A616" s="89"/>
      <c r="B616" s="89"/>
      <c r="C616" s="17"/>
    </row>
    <row r="617" spans="1:3" ht="12.75">
      <c r="A617" s="89"/>
      <c r="B617" s="89"/>
      <c r="C617" s="17"/>
    </row>
    <row r="618" spans="1:3" ht="12.75">
      <c r="A618" s="89"/>
      <c r="B618" s="89"/>
      <c r="C618" s="17"/>
    </row>
    <row r="619" spans="1:3" ht="12.75">
      <c r="A619" s="89"/>
      <c r="B619" s="89"/>
      <c r="C619" s="17"/>
    </row>
    <row r="620" spans="1:3" ht="12.75">
      <c r="A620" s="89"/>
      <c r="B620" s="89"/>
      <c r="C620" s="17"/>
    </row>
    <row r="621" spans="1:3" ht="12.75">
      <c r="A621" s="89"/>
      <c r="B621" s="89"/>
      <c r="C621" s="17"/>
    </row>
    <row r="622" spans="1:3" ht="12.75">
      <c r="A622" s="89"/>
      <c r="B622" s="89"/>
      <c r="C622" s="17"/>
    </row>
    <row r="623" spans="1:3" ht="12.75">
      <c r="A623" s="89"/>
      <c r="B623" s="89"/>
      <c r="C623" s="17"/>
    </row>
    <row r="624" spans="1:3" ht="12.75">
      <c r="A624" s="89"/>
      <c r="B624" s="89"/>
      <c r="C624" s="17"/>
    </row>
    <row r="625" spans="1:3" ht="12.75">
      <c r="A625" s="89"/>
      <c r="B625" s="89"/>
      <c r="C625" s="17"/>
    </row>
    <row r="626" spans="1:3" ht="12.75">
      <c r="A626" s="89"/>
      <c r="B626" s="89"/>
      <c r="C626" s="17"/>
    </row>
    <row r="627" spans="1:3" ht="12.75">
      <c r="A627" s="89"/>
      <c r="B627" s="89"/>
      <c r="C627" s="17"/>
    </row>
    <row r="628" spans="1:3" ht="12.75">
      <c r="A628" s="89"/>
      <c r="B628" s="89"/>
      <c r="C628" s="17"/>
    </row>
    <row r="629" spans="1:3" ht="12.75">
      <c r="A629" s="89"/>
      <c r="B629" s="89"/>
      <c r="C629" s="17"/>
    </row>
    <row r="630" spans="1:3" ht="12.75">
      <c r="A630" s="89"/>
      <c r="B630" s="89"/>
      <c r="C630" s="17"/>
    </row>
    <row r="631" spans="1:3" ht="12.75">
      <c r="A631" s="89"/>
      <c r="B631" s="89"/>
      <c r="C631" s="17"/>
    </row>
    <row r="632" spans="1:3" ht="12.75">
      <c r="A632" s="89"/>
      <c r="B632" s="89"/>
      <c r="C632" s="17"/>
    </row>
    <row r="633" spans="1:3" ht="12.75">
      <c r="A633" s="89"/>
      <c r="B633" s="89"/>
      <c r="C633" s="17"/>
    </row>
    <row r="634" spans="1:3" ht="12.75">
      <c r="A634" s="89"/>
      <c r="B634" s="89"/>
      <c r="C634" s="17"/>
    </row>
    <row r="635" spans="1:3" ht="12.75">
      <c r="A635" s="89"/>
      <c r="B635" s="89"/>
      <c r="C635" s="17"/>
    </row>
    <row r="636" spans="1:3" ht="12.75">
      <c r="A636" s="89"/>
      <c r="B636" s="89"/>
      <c r="C636" s="17"/>
    </row>
    <row r="637" spans="1:3" ht="12.75">
      <c r="A637" s="89"/>
      <c r="B637" s="89"/>
      <c r="C637" s="17"/>
    </row>
    <row r="638" spans="1:3" ht="12.75">
      <c r="A638" s="89"/>
      <c r="B638" s="89"/>
      <c r="C638" s="17"/>
    </row>
    <row r="639" spans="1:3" ht="12.75">
      <c r="A639" s="89"/>
      <c r="B639" s="89"/>
      <c r="C639" s="17"/>
    </row>
    <row r="640" spans="1:3" ht="12.75">
      <c r="A640" s="89"/>
      <c r="B640" s="89"/>
      <c r="C640" s="17"/>
    </row>
    <row r="641" spans="1:3" ht="12.75">
      <c r="A641" s="89"/>
      <c r="B641" s="89"/>
      <c r="C641" s="17"/>
    </row>
    <row r="642" spans="1:3" ht="12.75">
      <c r="A642" s="89"/>
      <c r="B642" s="89"/>
      <c r="C642" s="17"/>
    </row>
    <row r="643" spans="1:3" ht="12.75">
      <c r="A643" s="89"/>
      <c r="B643" s="89"/>
      <c r="C643" s="17"/>
    </row>
    <row r="644" spans="1:3" ht="12.75">
      <c r="A644" s="89"/>
      <c r="B644" s="89"/>
      <c r="C644" s="17"/>
    </row>
    <row r="645" spans="1:3" ht="12.75">
      <c r="A645" s="89"/>
      <c r="B645" s="89"/>
      <c r="C645" s="17"/>
    </row>
    <row r="646" spans="1:3" ht="12.75">
      <c r="A646" s="89"/>
      <c r="B646" s="89"/>
      <c r="C646" s="17"/>
    </row>
    <row r="647" spans="1:3" ht="12.75">
      <c r="A647" s="89"/>
      <c r="B647" s="89"/>
      <c r="C647" s="17"/>
    </row>
    <row r="648" spans="1:3" ht="12.75">
      <c r="A648" s="89"/>
      <c r="B648" s="89"/>
      <c r="C648" s="17"/>
    </row>
    <row r="649" spans="1:3" ht="12.75">
      <c r="A649" s="89"/>
      <c r="B649" s="89"/>
      <c r="C649" s="17"/>
    </row>
    <row r="650" spans="1:3" ht="12.75">
      <c r="A650" s="89"/>
      <c r="B650" s="89"/>
      <c r="C650" s="17"/>
    </row>
    <row r="651" spans="1:3" ht="12.75">
      <c r="A651" s="89"/>
      <c r="B651" s="89"/>
      <c r="C651" s="17"/>
    </row>
    <row r="652" spans="1:3" ht="12.75">
      <c r="A652" s="89"/>
      <c r="B652" s="89"/>
      <c r="C652" s="17"/>
    </row>
    <row r="653" spans="1:3" ht="12.75">
      <c r="A653" s="89"/>
      <c r="B653" s="89"/>
      <c r="C653" s="17"/>
    </row>
    <row r="654" spans="1:3" ht="12.75">
      <c r="A654" s="89"/>
      <c r="B654" s="89"/>
      <c r="C654" s="17"/>
    </row>
    <row r="655" spans="1:3" ht="12.75">
      <c r="A655" s="89"/>
      <c r="B655" s="89"/>
      <c r="C655" s="17"/>
    </row>
    <row r="656" spans="1:3" ht="12.75">
      <c r="A656" s="89"/>
      <c r="B656" s="89"/>
      <c r="C656" s="17"/>
    </row>
    <row r="657" spans="1:3" ht="12.75">
      <c r="A657" s="89"/>
      <c r="B657" s="89"/>
      <c r="C657" s="17"/>
    </row>
    <row r="658" spans="1:3" ht="12.75">
      <c r="A658" s="89"/>
      <c r="B658" s="89"/>
      <c r="C658" s="17"/>
    </row>
    <row r="659" spans="1:3" ht="12.75">
      <c r="A659" s="89"/>
      <c r="B659" s="89"/>
      <c r="C659" s="17"/>
    </row>
    <row r="660" spans="1:3" ht="12.75">
      <c r="A660" s="89"/>
      <c r="B660" s="89"/>
      <c r="C660" s="17"/>
    </row>
    <row r="661" spans="1:3" ht="12.75">
      <c r="A661" s="89"/>
      <c r="B661" s="89"/>
      <c r="C661" s="17"/>
    </row>
    <row r="662" spans="1:3" ht="12.75">
      <c r="A662" s="89"/>
      <c r="B662" s="89"/>
      <c r="C662" s="17"/>
    </row>
    <row r="663" spans="1:3" ht="12.75">
      <c r="A663" s="89"/>
      <c r="B663" s="89"/>
      <c r="C663" s="17"/>
    </row>
    <row r="664" spans="1:3" ht="12.75">
      <c r="A664" s="89"/>
      <c r="B664" s="89"/>
      <c r="C664" s="17"/>
    </row>
    <row r="665" spans="1:3" ht="12.75">
      <c r="A665" s="89"/>
      <c r="B665" s="89"/>
      <c r="C665" s="17"/>
    </row>
    <row r="666" spans="1:3" ht="12.75">
      <c r="A666" s="89"/>
      <c r="B666" s="89"/>
      <c r="C666" s="17"/>
    </row>
    <row r="667" spans="1:3" ht="12.75">
      <c r="A667" s="89"/>
      <c r="B667" s="89"/>
      <c r="C667" s="17"/>
    </row>
    <row r="668" spans="1:3" ht="12.75">
      <c r="A668" s="89"/>
      <c r="B668" s="89"/>
      <c r="C668" s="17"/>
    </row>
    <row r="669" spans="1:3" ht="12.75">
      <c r="A669" s="89"/>
      <c r="B669" s="89"/>
      <c r="C669" s="17"/>
    </row>
    <row r="670" spans="1:3" ht="12.75">
      <c r="A670" s="89"/>
      <c r="B670" s="89"/>
      <c r="C670" s="17"/>
    </row>
    <row r="671" spans="1:3" ht="12.75">
      <c r="A671" s="89"/>
      <c r="B671" s="89"/>
      <c r="C671" s="17"/>
    </row>
    <row r="672" spans="1:3" ht="12.75">
      <c r="A672" s="89"/>
      <c r="B672" s="89"/>
      <c r="C672" s="17"/>
    </row>
    <row r="673" spans="1:3" ht="12.75">
      <c r="A673" s="89"/>
      <c r="B673" s="89"/>
      <c r="C673" s="17"/>
    </row>
    <row r="674" spans="1:3" ht="12.75">
      <c r="A674" s="89"/>
      <c r="B674" s="89"/>
      <c r="C674" s="17"/>
    </row>
    <row r="675" spans="1:3" ht="12.75">
      <c r="A675" s="89"/>
      <c r="B675" s="89"/>
      <c r="C675" s="17"/>
    </row>
    <row r="676" spans="1:3" ht="12.75">
      <c r="A676" s="89"/>
      <c r="B676" s="89"/>
      <c r="C676" s="17"/>
    </row>
    <row r="677" spans="1:3" ht="12.75">
      <c r="A677" s="89"/>
      <c r="B677" s="89"/>
      <c r="C677" s="17"/>
    </row>
    <row r="678" spans="1:3" ht="12.75">
      <c r="A678" s="89"/>
      <c r="B678" s="89"/>
      <c r="C678" s="17"/>
    </row>
    <row r="679" spans="1:3" ht="12.75">
      <c r="A679" s="89"/>
      <c r="B679" s="89"/>
      <c r="C679" s="17"/>
    </row>
    <row r="680" spans="1:3" ht="12.75">
      <c r="A680" s="89"/>
      <c r="B680" s="89"/>
      <c r="C680" s="17"/>
    </row>
    <row r="681" spans="1:3" ht="12.75">
      <c r="A681" s="89"/>
      <c r="B681" s="89"/>
      <c r="C681" s="17"/>
    </row>
    <row r="682" spans="1:3" ht="12.75">
      <c r="A682" s="89"/>
      <c r="B682" s="89"/>
      <c r="C682" s="17"/>
    </row>
    <row r="683" spans="1:3" ht="12.75">
      <c r="A683" s="89"/>
      <c r="B683" s="89"/>
      <c r="C683" s="17"/>
    </row>
    <row r="684" spans="1:3" ht="12.75">
      <c r="A684" s="89"/>
      <c r="B684" s="89"/>
      <c r="C684" s="17"/>
    </row>
    <row r="685" spans="1:3" ht="12.75">
      <c r="A685" s="89"/>
      <c r="B685" s="89"/>
      <c r="C685" s="17"/>
    </row>
    <row r="686" spans="1:3" ht="12.75">
      <c r="A686" s="89"/>
      <c r="B686" s="89"/>
      <c r="C686" s="17"/>
    </row>
    <row r="687" spans="1:3" ht="12.75">
      <c r="A687" s="89"/>
      <c r="B687" s="89"/>
      <c r="C687" s="17"/>
    </row>
    <row r="688" spans="1:3" ht="12.75">
      <c r="A688" s="89"/>
      <c r="B688" s="89"/>
      <c r="C688" s="17"/>
    </row>
    <row r="689" spans="1:3" ht="12.75">
      <c r="A689" s="89"/>
      <c r="B689" s="89"/>
      <c r="C689" s="17"/>
    </row>
    <row r="690" spans="1:3" ht="12.75">
      <c r="A690" s="89"/>
      <c r="B690" s="89"/>
      <c r="C690" s="17"/>
    </row>
    <row r="691" spans="1:3" ht="12.75">
      <c r="A691" s="89"/>
      <c r="B691" s="89"/>
      <c r="C691" s="17"/>
    </row>
    <row r="692" spans="1:3" ht="12.75">
      <c r="A692" s="89"/>
      <c r="B692" s="89"/>
      <c r="C692" s="17"/>
    </row>
    <row r="693" spans="1:3" ht="12.75">
      <c r="A693" s="89"/>
      <c r="B693" s="89"/>
      <c r="C693" s="17"/>
    </row>
    <row r="694" spans="1:3" ht="12.75">
      <c r="A694" s="89"/>
      <c r="B694" s="89"/>
      <c r="C694" s="17"/>
    </row>
    <row r="695" spans="1:3" ht="12.75">
      <c r="A695" s="89"/>
      <c r="B695" s="89"/>
      <c r="C695" s="17"/>
    </row>
    <row r="696" spans="1:3" ht="12.75">
      <c r="A696" s="89"/>
      <c r="B696" s="89"/>
      <c r="C696" s="17"/>
    </row>
    <row r="697" spans="1:3" ht="12.75">
      <c r="A697" s="89"/>
      <c r="B697" s="89"/>
      <c r="C697" s="17"/>
    </row>
    <row r="698" spans="1:3" ht="12.75">
      <c r="A698" s="89"/>
      <c r="B698" s="89"/>
      <c r="C698" s="17"/>
    </row>
    <row r="699" spans="1:3" ht="12.75">
      <c r="A699" s="89"/>
      <c r="B699" s="89"/>
      <c r="C699" s="17"/>
    </row>
    <row r="700" spans="1:3" ht="12.75">
      <c r="A700" s="89"/>
      <c r="B700" s="89"/>
      <c r="C700" s="17"/>
    </row>
    <row r="701" spans="1:3" ht="12.75">
      <c r="A701" s="89"/>
      <c r="B701" s="89"/>
      <c r="C701" s="17"/>
    </row>
    <row r="702" spans="1:3" ht="12.75">
      <c r="A702" s="89"/>
      <c r="B702" s="89"/>
      <c r="C702" s="17"/>
    </row>
    <row r="703" spans="1:3" ht="12.75">
      <c r="A703" s="89"/>
      <c r="B703" s="89"/>
      <c r="C703" s="17"/>
    </row>
    <row r="704" spans="1:3" ht="12.75">
      <c r="A704" s="89"/>
      <c r="B704" s="89"/>
      <c r="C704" s="17"/>
    </row>
    <row r="705" spans="1:3" ht="12.75">
      <c r="A705" s="89"/>
      <c r="B705" s="89"/>
      <c r="C705" s="17"/>
    </row>
    <row r="706" spans="1:3" ht="12.75">
      <c r="A706" s="89"/>
      <c r="B706" s="89"/>
      <c r="C706" s="17"/>
    </row>
    <row r="707" spans="1:3" ht="12.75">
      <c r="A707" s="89"/>
      <c r="B707" s="89"/>
      <c r="C707" s="17"/>
    </row>
    <row r="708" spans="1:3" ht="12.75">
      <c r="A708" s="89"/>
      <c r="B708" s="89"/>
      <c r="C708" s="17"/>
    </row>
    <row r="709" spans="1:3" ht="12.75">
      <c r="A709" s="89"/>
      <c r="B709" s="89"/>
      <c r="C709" s="17"/>
    </row>
    <row r="710" spans="1:3" ht="12.75">
      <c r="A710" s="89"/>
      <c r="B710" s="89"/>
      <c r="C710" s="17"/>
    </row>
    <row r="711" spans="1:3" ht="12.75">
      <c r="A711" s="89"/>
      <c r="B711" s="89"/>
      <c r="C711" s="17"/>
    </row>
    <row r="712" spans="1:3" ht="12.75">
      <c r="A712" s="89"/>
      <c r="B712" s="89"/>
      <c r="C712" s="17"/>
    </row>
    <row r="713" spans="1:3" ht="12.75">
      <c r="A713" s="89"/>
      <c r="B713" s="89"/>
      <c r="C713" s="17"/>
    </row>
    <row r="714" spans="1:3" ht="12.75">
      <c r="A714" s="89"/>
      <c r="B714" s="89"/>
      <c r="C714" s="17"/>
    </row>
    <row r="715" spans="1:3" ht="12.75">
      <c r="A715" s="89"/>
      <c r="B715" s="89"/>
      <c r="C715" s="17"/>
    </row>
    <row r="716" spans="1:3" ht="12.75">
      <c r="A716" s="89"/>
      <c r="B716" s="89"/>
      <c r="C716" s="17"/>
    </row>
    <row r="717" spans="1:3" ht="12.75">
      <c r="A717" s="89"/>
      <c r="B717" s="89"/>
      <c r="C717" s="17"/>
    </row>
    <row r="718" spans="1:3" ht="12.75">
      <c r="A718" s="89"/>
      <c r="B718" s="89"/>
      <c r="C718" s="17"/>
    </row>
    <row r="719" spans="1:3" ht="12.75">
      <c r="A719" s="89"/>
      <c r="B719" s="89"/>
      <c r="C719" s="17"/>
    </row>
    <row r="720" spans="1:3" ht="12.75">
      <c r="A720" s="89"/>
      <c r="B720" s="89"/>
      <c r="C720" s="17"/>
    </row>
    <row r="721" spans="1:3" ht="12.75">
      <c r="A721" s="89"/>
      <c r="B721" s="89"/>
      <c r="C721" s="17"/>
    </row>
    <row r="722" spans="1:3" ht="12.75">
      <c r="A722" s="89"/>
      <c r="B722" s="89"/>
      <c r="C722" s="17"/>
    </row>
    <row r="723" spans="1:3" ht="12.75">
      <c r="A723" s="89"/>
      <c r="B723" s="89"/>
      <c r="C723" s="17"/>
    </row>
    <row r="724" spans="1:3" ht="12.75">
      <c r="A724" s="89"/>
      <c r="B724" s="89"/>
      <c r="C724" s="17"/>
    </row>
    <row r="725" spans="1:3" ht="12.75">
      <c r="A725" s="89"/>
      <c r="B725" s="89"/>
      <c r="C725" s="17"/>
    </row>
    <row r="726" spans="1:3" ht="12.75">
      <c r="A726" s="89"/>
      <c r="B726" s="89"/>
      <c r="C726" s="17"/>
    </row>
    <row r="727" spans="1:3" ht="12.75">
      <c r="A727" s="89"/>
      <c r="B727" s="89"/>
      <c r="C727" s="17"/>
    </row>
    <row r="728" spans="1:3" ht="12.75">
      <c r="A728" s="89"/>
      <c r="B728" s="89"/>
      <c r="C728" s="17"/>
    </row>
    <row r="729" spans="1:3" ht="12.75">
      <c r="A729" s="89"/>
      <c r="B729" s="89"/>
      <c r="C729" s="17"/>
    </row>
    <row r="730" spans="1:3" ht="12.75">
      <c r="A730" s="89"/>
      <c r="B730" s="89"/>
      <c r="C730" s="17"/>
    </row>
    <row r="731" spans="1:3" ht="12.75">
      <c r="A731" s="89"/>
      <c r="B731" s="89"/>
      <c r="C731" s="17"/>
    </row>
    <row r="732" spans="1:3" ht="12.75">
      <c r="A732" s="89"/>
      <c r="B732" s="89"/>
      <c r="C732" s="17"/>
    </row>
    <row r="733" spans="1:3" ht="12.75">
      <c r="A733" s="89"/>
      <c r="B733" s="89"/>
      <c r="C733" s="17"/>
    </row>
    <row r="734" spans="1:3" ht="12.75">
      <c r="A734" s="89"/>
      <c r="B734" s="89"/>
      <c r="C734" s="17"/>
    </row>
    <row r="735" spans="1:3" ht="12.75">
      <c r="A735" s="89"/>
      <c r="B735" s="89"/>
      <c r="C735" s="17"/>
    </row>
    <row r="736" spans="1:3" ht="12.75">
      <c r="A736" s="89"/>
      <c r="B736" s="89"/>
      <c r="C736" s="17"/>
    </row>
    <row r="737" spans="1:3" ht="12.75">
      <c r="A737" s="89"/>
      <c r="B737" s="89"/>
      <c r="C737" s="17"/>
    </row>
    <row r="738" spans="1:3" ht="12.75">
      <c r="A738" s="89"/>
      <c r="B738" s="89"/>
      <c r="C738" s="17"/>
    </row>
    <row r="739" spans="1:3" ht="12.75">
      <c r="A739" s="89"/>
      <c r="B739" s="89"/>
      <c r="C739" s="17"/>
    </row>
    <row r="740" spans="1:3" ht="12.75">
      <c r="A740" s="89"/>
      <c r="B740" s="89"/>
      <c r="C740" s="17"/>
    </row>
    <row r="741" spans="1:3" ht="12.75">
      <c r="A741" s="89"/>
      <c r="B741" s="89"/>
      <c r="C741" s="17"/>
    </row>
    <row r="742" spans="1:3" ht="12.75">
      <c r="A742" s="89"/>
      <c r="B742" s="89"/>
      <c r="C742" s="17"/>
    </row>
    <row r="743" spans="1:3" ht="12.75">
      <c r="A743" s="89"/>
      <c r="B743" s="89"/>
      <c r="C743" s="17"/>
    </row>
    <row r="744" spans="1:3" ht="12.75">
      <c r="A744" s="89"/>
      <c r="B744" s="89"/>
      <c r="C744" s="17"/>
    </row>
    <row r="745" spans="1:3" ht="12.75">
      <c r="A745" s="89"/>
      <c r="B745" s="89"/>
      <c r="C745" s="17"/>
    </row>
    <row r="746" spans="1:3" ht="12.75">
      <c r="A746" s="89"/>
      <c r="B746" s="89"/>
      <c r="C746" s="17"/>
    </row>
    <row r="747" spans="1:3" ht="12.75">
      <c r="A747" s="89"/>
      <c r="B747" s="89"/>
      <c r="C747" s="17"/>
    </row>
    <row r="748" spans="1:3" ht="12.75">
      <c r="A748" s="89"/>
      <c r="B748" s="89"/>
      <c r="C748" s="17"/>
    </row>
    <row r="749" spans="1:3" ht="12.75">
      <c r="A749" s="89"/>
      <c r="B749" s="89"/>
      <c r="C749" s="17"/>
    </row>
    <row r="750" spans="1:3" ht="12.75">
      <c r="A750" s="89"/>
      <c r="B750" s="89"/>
      <c r="C750" s="17"/>
    </row>
    <row r="751" spans="1:3" ht="12.75">
      <c r="A751" s="89"/>
      <c r="B751" s="89"/>
      <c r="C751" s="17"/>
    </row>
    <row r="752" spans="1:3" ht="12.75">
      <c r="A752" s="89"/>
      <c r="B752" s="89"/>
      <c r="C752" s="17"/>
    </row>
    <row r="753" spans="1:3" ht="12.75">
      <c r="A753" s="89"/>
      <c r="B753" s="89"/>
      <c r="C753" s="17"/>
    </row>
    <row r="754" spans="1:3" ht="12.75">
      <c r="A754" s="89"/>
      <c r="B754" s="89"/>
      <c r="C754" s="17"/>
    </row>
    <row r="755" spans="1:3" ht="12.75">
      <c r="A755" s="89"/>
      <c r="B755" s="89"/>
      <c r="C755" s="17"/>
    </row>
    <row r="756" spans="1:3" ht="12.75">
      <c r="A756" s="89"/>
      <c r="B756" s="89"/>
      <c r="C756" s="17"/>
    </row>
    <row r="757" spans="1:3" ht="12.75">
      <c r="A757" s="89"/>
      <c r="B757" s="89"/>
      <c r="C757" s="17"/>
    </row>
    <row r="758" spans="1:3" ht="12.75">
      <c r="A758" s="89"/>
      <c r="B758" s="89"/>
      <c r="C758" s="17"/>
    </row>
    <row r="759" spans="1:3" ht="12.75">
      <c r="A759" s="89"/>
      <c r="B759" s="89"/>
      <c r="C759" s="17"/>
    </row>
    <row r="760" spans="1:3" ht="12.75">
      <c r="A760" s="89"/>
      <c r="B760" s="89"/>
      <c r="C760" s="17"/>
    </row>
    <row r="761" spans="1:3" ht="12.75">
      <c r="A761" s="89"/>
      <c r="B761" s="89"/>
      <c r="C761" s="17"/>
    </row>
    <row r="762" spans="1:3" ht="12.75">
      <c r="A762" s="89"/>
      <c r="B762" s="89"/>
      <c r="C762" s="17"/>
    </row>
    <row r="763" spans="1:3" ht="12.75">
      <c r="A763" s="89"/>
      <c r="B763" s="89"/>
      <c r="C763" s="17"/>
    </row>
    <row r="764" spans="1:3" ht="12.75">
      <c r="A764" s="89"/>
      <c r="B764" s="89"/>
      <c r="C764" s="17"/>
    </row>
    <row r="765" spans="1:3" ht="12.75">
      <c r="A765" s="89"/>
      <c r="B765" s="89"/>
      <c r="C765" s="17"/>
    </row>
    <row r="766" spans="1:3" ht="12.75">
      <c r="A766" s="89"/>
      <c r="B766" s="89"/>
      <c r="C766" s="17"/>
    </row>
    <row r="767" spans="1:3" ht="12.75">
      <c r="A767" s="89"/>
      <c r="B767" s="89"/>
      <c r="C767" s="17"/>
    </row>
    <row r="768" spans="1:3" ht="12.75">
      <c r="A768" s="89"/>
      <c r="B768" s="89"/>
      <c r="C768" s="17"/>
    </row>
    <row r="769" spans="1:3" ht="12.75">
      <c r="A769" s="89"/>
      <c r="B769" s="89"/>
      <c r="C769" s="17"/>
    </row>
    <row r="770" spans="1:3" ht="12.75">
      <c r="A770" s="89"/>
      <c r="B770" s="89"/>
      <c r="C770" s="17"/>
    </row>
    <row r="771" spans="1:3" ht="12.75">
      <c r="A771" s="89"/>
      <c r="B771" s="89"/>
      <c r="C771" s="17"/>
    </row>
    <row r="772" spans="1:3" ht="12.75">
      <c r="A772" s="89"/>
      <c r="B772" s="89"/>
      <c r="C772" s="17"/>
    </row>
    <row r="773" spans="1:3" ht="12.75">
      <c r="A773" s="89"/>
      <c r="B773" s="89"/>
      <c r="C773" s="17"/>
    </row>
    <row r="774" spans="1:3" ht="12.75">
      <c r="A774" s="89"/>
      <c r="B774" s="89"/>
      <c r="C774" s="17"/>
    </row>
    <row r="775" spans="1:3" ht="12.75">
      <c r="A775" s="89"/>
      <c r="B775" s="89"/>
      <c r="C775" s="17"/>
    </row>
    <row r="776" spans="1:3" ht="12.75">
      <c r="A776" s="89"/>
      <c r="B776" s="89"/>
      <c r="C776" s="17"/>
    </row>
    <row r="777" spans="1:3" ht="12.75">
      <c r="A777" s="89"/>
      <c r="B777" s="89"/>
      <c r="C777" s="17"/>
    </row>
    <row r="778" spans="1:3" ht="12.75">
      <c r="A778" s="89"/>
      <c r="B778" s="89"/>
      <c r="C778" s="17"/>
    </row>
    <row r="779" spans="1:3" ht="12.75">
      <c r="A779" s="89"/>
      <c r="B779" s="89"/>
      <c r="C779" s="17"/>
    </row>
    <row r="780" spans="1:3" ht="12.75">
      <c r="A780" s="89"/>
      <c r="B780" s="89"/>
      <c r="C780" s="17"/>
    </row>
    <row r="781" spans="1:3" ht="12.75">
      <c r="A781" s="89"/>
      <c r="B781" s="89"/>
      <c r="C781" s="17"/>
    </row>
    <row r="782" spans="1:3" ht="12.75">
      <c r="A782" s="89"/>
      <c r="B782" s="89"/>
      <c r="C782" s="17"/>
    </row>
    <row r="783" spans="1:3" ht="12.75">
      <c r="A783" s="89"/>
      <c r="B783" s="89"/>
      <c r="C783" s="17"/>
    </row>
    <row r="784" spans="1:3" ht="12.75">
      <c r="A784" s="89"/>
      <c r="B784" s="89"/>
      <c r="C784" s="17"/>
    </row>
    <row r="785" spans="1:3" ht="12.75">
      <c r="A785" s="89"/>
      <c r="B785" s="89"/>
      <c r="C785" s="17"/>
    </row>
    <row r="786" spans="1:3" ht="12.75">
      <c r="A786" s="89"/>
      <c r="B786" s="89"/>
      <c r="C786" s="17"/>
    </row>
    <row r="787" spans="1:3" ht="12.75">
      <c r="A787" s="89"/>
      <c r="B787" s="89"/>
      <c r="C787" s="17"/>
    </row>
    <row r="788" spans="1:3" ht="12.75">
      <c r="A788" s="89"/>
      <c r="B788" s="89"/>
      <c r="C788" s="17"/>
    </row>
    <row r="789" spans="1:3" ht="12.75">
      <c r="A789" s="89"/>
      <c r="B789" s="89"/>
      <c r="C789" s="17"/>
    </row>
    <row r="790" spans="1:3" ht="12.75">
      <c r="A790" s="89"/>
      <c r="B790" s="89"/>
      <c r="C790" s="17"/>
    </row>
    <row r="791" spans="1:3" ht="12.75">
      <c r="A791" s="89"/>
      <c r="B791" s="89"/>
      <c r="C791" s="17"/>
    </row>
    <row r="792" spans="1:3" ht="12.75">
      <c r="A792" s="89"/>
      <c r="B792" s="89"/>
      <c r="C792" s="17"/>
    </row>
    <row r="793" spans="1:3" ht="12.75">
      <c r="A793" s="89"/>
      <c r="B793" s="89"/>
      <c r="C793" s="17"/>
    </row>
    <row r="794" spans="1:3" ht="12.75">
      <c r="A794" s="89"/>
      <c r="B794" s="89"/>
      <c r="C794" s="17"/>
    </row>
    <row r="795" spans="1:3" ht="12.75">
      <c r="A795" s="89"/>
      <c r="B795" s="89"/>
      <c r="C795" s="17"/>
    </row>
    <row r="796" spans="1:3" ht="12.75">
      <c r="A796" s="89"/>
      <c r="B796" s="89"/>
      <c r="C796" s="17"/>
    </row>
    <row r="797" spans="1:3" ht="12.75">
      <c r="A797" s="89"/>
      <c r="B797" s="89"/>
      <c r="C797" s="17"/>
    </row>
    <row r="798" spans="1:3" ht="12.75">
      <c r="A798" s="89"/>
      <c r="B798" s="89"/>
      <c r="C798" s="17"/>
    </row>
    <row r="799" spans="1:3" ht="12.75">
      <c r="A799" s="89"/>
      <c r="B799" s="89"/>
      <c r="C799" s="17"/>
    </row>
    <row r="800" spans="1:3" ht="12.75">
      <c r="A800" s="89"/>
      <c r="B800" s="89"/>
      <c r="C800" s="17"/>
    </row>
    <row r="801" spans="1:3" ht="12.75">
      <c r="A801" s="89"/>
      <c r="B801" s="89"/>
      <c r="C801" s="17"/>
    </row>
    <row r="802" spans="1:3" ht="12.75">
      <c r="A802" s="89"/>
      <c r="B802" s="89"/>
      <c r="C802" s="17"/>
    </row>
    <row r="803" spans="1:3" ht="12.75">
      <c r="A803" s="89"/>
      <c r="B803" s="89"/>
      <c r="C803" s="17"/>
    </row>
    <row r="804" spans="1:3" ht="12.75">
      <c r="A804" s="89"/>
      <c r="B804" s="89"/>
      <c r="C804" s="17"/>
    </row>
    <row r="805" spans="1:3" ht="12.75">
      <c r="A805" s="89"/>
      <c r="B805" s="89"/>
      <c r="C805" s="17"/>
    </row>
    <row r="806" spans="1:3" ht="12.75">
      <c r="A806" s="89"/>
      <c r="B806" s="89"/>
      <c r="C806" s="17"/>
    </row>
    <row r="807" spans="1:3" ht="12.75">
      <c r="A807" s="89"/>
      <c r="B807" s="89"/>
      <c r="C807" s="17"/>
    </row>
    <row r="808" spans="1:3" ht="12.75">
      <c r="A808" s="89"/>
      <c r="B808" s="89"/>
      <c r="C808" s="17"/>
    </row>
    <row r="809" spans="1:3" ht="12.75">
      <c r="A809" s="89"/>
      <c r="B809" s="89"/>
      <c r="C809" s="17"/>
    </row>
    <row r="810" spans="1:3" ht="12.75">
      <c r="A810" s="89"/>
      <c r="B810" s="89"/>
      <c r="C810" s="17"/>
    </row>
    <row r="811" spans="1:3" ht="12.75">
      <c r="A811" s="89"/>
      <c r="B811" s="89"/>
      <c r="C811" s="17"/>
    </row>
    <row r="812" spans="1:3" ht="12.75">
      <c r="A812" s="89"/>
      <c r="B812" s="89"/>
      <c r="C812" s="17"/>
    </row>
    <row r="813" spans="1:3" ht="12.75">
      <c r="A813" s="89"/>
      <c r="B813" s="89"/>
      <c r="C813" s="17"/>
    </row>
    <row r="814" spans="1:3" ht="12.75">
      <c r="A814" s="89"/>
      <c r="B814" s="89"/>
      <c r="C814" s="17"/>
    </row>
    <row r="815" spans="1:3" ht="12.75">
      <c r="A815" s="89"/>
      <c r="B815" s="89"/>
      <c r="C815" s="17"/>
    </row>
    <row r="816" spans="1:3" ht="12.75">
      <c r="A816" s="89"/>
      <c r="B816" s="89"/>
      <c r="C816" s="17"/>
    </row>
    <row r="817" spans="1:3" ht="12.75">
      <c r="A817" s="89"/>
      <c r="B817" s="89"/>
      <c r="C817" s="17"/>
    </row>
    <row r="818" spans="1:3" ht="12.75">
      <c r="A818" s="89"/>
      <c r="B818" s="89"/>
      <c r="C818" s="17"/>
    </row>
    <row r="819" spans="1:3" ht="12.75">
      <c r="A819" s="89"/>
      <c r="B819" s="89"/>
      <c r="C819" s="17"/>
    </row>
    <row r="820" spans="1:3" ht="12.75">
      <c r="A820" s="89"/>
      <c r="B820" s="89"/>
      <c r="C820" s="17"/>
    </row>
    <row r="821" spans="1:3" ht="12.75">
      <c r="A821" s="89"/>
      <c r="B821" s="89"/>
      <c r="C821" s="17"/>
    </row>
    <row r="822" spans="1:3" ht="12.75">
      <c r="A822" s="89"/>
      <c r="B822" s="89"/>
      <c r="C822" s="17"/>
    </row>
    <row r="823" spans="1:3" ht="12.75">
      <c r="A823" s="89"/>
      <c r="B823" s="89"/>
      <c r="C823" s="17"/>
    </row>
    <row r="824" spans="1:3" ht="12.75">
      <c r="A824" s="89"/>
      <c r="B824" s="89"/>
      <c r="C824" s="17"/>
    </row>
    <row r="825" spans="1:3" ht="12.75">
      <c r="A825" s="89"/>
      <c r="B825" s="89"/>
      <c r="C825" s="17"/>
    </row>
    <row r="826" spans="1:3" ht="12.75">
      <c r="A826" s="89"/>
      <c r="B826" s="89"/>
      <c r="C826" s="17"/>
    </row>
    <row r="827" spans="1:3" ht="12.75">
      <c r="A827" s="89"/>
      <c r="B827" s="89"/>
      <c r="C827" s="17"/>
    </row>
    <row r="828" spans="1:3" ht="12.75">
      <c r="A828" s="89"/>
      <c r="B828" s="89"/>
      <c r="C828" s="17"/>
    </row>
    <row r="829" spans="1:3" ht="12.75">
      <c r="A829" s="89"/>
      <c r="B829" s="89"/>
      <c r="C829" s="17"/>
    </row>
    <row r="830" spans="1:3" ht="12.75">
      <c r="A830" s="89"/>
      <c r="B830" s="89"/>
      <c r="C830" s="17"/>
    </row>
    <row r="831" spans="1:3" ht="12.75">
      <c r="A831" s="89"/>
      <c r="B831" s="89"/>
      <c r="C831" s="17"/>
    </row>
    <row r="832" spans="1:3" ht="12.75">
      <c r="A832" s="89"/>
      <c r="B832" s="89"/>
      <c r="C832" s="17"/>
    </row>
    <row r="833" spans="1:3" ht="12.75">
      <c r="A833" s="89"/>
      <c r="B833" s="89"/>
      <c r="C833" s="17"/>
    </row>
    <row r="834" spans="1:3" ht="12.75">
      <c r="A834" s="89"/>
      <c r="B834" s="89"/>
      <c r="C834" s="17"/>
    </row>
    <row r="835" spans="1:3" ht="12.75">
      <c r="A835" s="89"/>
      <c r="B835" s="89"/>
      <c r="C835" s="17"/>
    </row>
    <row r="836" spans="1:3" ht="12.75">
      <c r="A836" s="89"/>
      <c r="B836" s="89"/>
      <c r="C836" s="17"/>
    </row>
    <row r="837" spans="1:3" ht="12.75">
      <c r="A837" s="89"/>
      <c r="B837" s="89"/>
      <c r="C837" s="17"/>
    </row>
    <row r="838" spans="1:3" ht="12.75">
      <c r="A838" s="89"/>
      <c r="B838" s="89"/>
      <c r="C838" s="17"/>
    </row>
    <row r="839" spans="1:3" ht="12.75">
      <c r="A839" s="89"/>
      <c r="B839" s="89"/>
      <c r="C839" s="17"/>
    </row>
    <row r="840" spans="1:3" ht="12.75">
      <c r="A840" s="89"/>
      <c r="B840" s="89"/>
      <c r="C840" s="17"/>
    </row>
    <row r="841" spans="1:3" ht="12.75">
      <c r="A841" s="89"/>
      <c r="B841" s="89"/>
      <c r="C841" s="17"/>
    </row>
    <row r="842" spans="1:3" ht="12.75">
      <c r="A842" s="89"/>
      <c r="B842" s="89"/>
      <c r="C842" s="17"/>
    </row>
    <row r="843" spans="1:3" ht="12.75">
      <c r="A843" s="89"/>
      <c r="B843" s="89"/>
      <c r="C843" s="17"/>
    </row>
    <row r="844" spans="1:3" ht="12.75">
      <c r="A844" s="89"/>
      <c r="B844" s="89"/>
      <c r="C844" s="17"/>
    </row>
    <row r="845" spans="1:3" ht="12.75">
      <c r="A845" s="89"/>
      <c r="B845" s="89"/>
      <c r="C845" s="17"/>
    </row>
    <row r="846" spans="1:3" ht="12.75">
      <c r="A846" s="89"/>
      <c r="B846" s="89"/>
      <c r="C846" s="17"/>
    </row>
    <row r="847" spans="1:3" ht="12.75">
      <c r="A847" s="89"/>
      <c r="B847" s="89"/>
      <c r="C847" s="17"/>
    </row>
    <row r="848" spans="1:3" ht="12.75">
      <c r="A848" s="89"/>
      <c r="B848" s="89"/>
      <c r="C848" s="17"/>
    </row>
    <row r="849" spans="1:3" ht="12.75">
      <c r="A849" s="89"/>
      <c r="B849" s="89"/>
      <c r="C849" s="17"/>
    </row>
    <row r="850" spans="1:3" ht="12.75">
      <c r="A850" s="89"/>
      <c r="B850" s="89"/>
      <c r="C850" s="17"/>
    </row>
    <row r="851" spans="1:3" ht="12.75">
      <c r="A851" s="89"/>
      <c r="B851" s="89"/>
      <c r="C851" s="17"/>
    </row>
    <row r="852" spans="1:3" ht="12.75">
      <c r="A852" s="89"/>
      <c r="B852" s="89"/>
      <c r="C852" s="17"/>
    </row>
    <row r="853" spans="1:3" ht="12.75">
      <c r="A853" s="89"/>
      <c r="B853" s="89"/>
      <c r="C853" s="17"/>
    </row>
    <row r="854" spans="1:3" ht="12.75">
      <c r="A854" s="89"/>
      <c r="B854" s="89"/>
      <c r="C854" s="17"/>
    </row>
    <row r="855" spans="1:3" ht="12.75">
      <c r="A855" s="89"/>
      <c r="B855" s="89"/>
      <c r="C855" s="17"/>
    </row>
    <row r="856" spans="1:3" ht="12.75">
      <c r="A856" s="89"/>
      <c r="B856" s="89"/>
      <c r="C856" s="17"/>
    </row>
    <row r="857" spans="1:3" ht="12.75">
      <c r="A857" s="89"/>
      <c r="B857" s="89"/>
      <c r="C857" s="17"/>
    </row>
    <row r="858" spans="1:3" ht="12.75">
      <c r="A858" s="89"/>
      <c r="B858" s="89"/>
      <c r="C858" s="17"/>
    </row>
    <row r="859" spans="1:3" ht="12.75">
      <c r="A859" s="89"/>
      <c r="B859" s="89"/>
      <c r="C859" s="17"/>
    </row>
    <row r="860" spans="1:3" ht="12.75">
      <c r="A860" s="89"/>
      <c r="B860" s="89"/>
      <c r="C860" s="17"/>
    </row>
    <row r="861" spans="1:3" ht="12.75">
      <c r="A861" s="89"/>
      <c r="B861" s="89"/>
      <c r="C861" s="17"/>
    </row>
    <row r="862" spans="1:3" ht="12.75">
      <c r="A862" s="89"/>
      <c r="B862" s="89"/>
      <c r="C862" s="17"/>
    </row>
    <row r="863" spans="1:3" ht="12.75">
      <c r="A863" s="89"/>
      <c r="B863" s="89"/>
      <c r="C863" s="17"/>
    </row>
    <row r="864" spans="1:3" ht="12.75">
      <c r="A864" s="89"/>
      <c r="B864" s="89"/>
      <c r="C864" s="17"/>
    </row>
    <row r="865" spans="1:3" ht="12.75">
      <c r="A865" s="89"/>
      <c r="B865" s="89"/>
      <c r="C865" s="17"/>
    </row>
    <row r="866" spans="1:3" ht="12.75">
      <c r="A866" s="89"/>
      <c r="B866" s="89"/>
      <c r="C866" s="17"/>
    </row>
    <row r="867" spans="1:3" ht="12.75">
      <c r="A867" s="89"/>
      <c r="B867" s="89"/>
      <c r="C867" s="17"/>
    </row>
    <row r="868" spans="1:3" ht="12.75">
      <c r="A868" s="89"/>
      <c r="B868" s="89"/>
      <c r="C868" s="17"/>
    </row>
    <row r="869" spans="1:3" ht="12.75">
      <c r="A869" s="89"/>
      <c r="B869" s="89"/>
      <c r="C869" s="17"/>
    </row>
    <row r="870" spans="1:3" ht="12.75">
      <c r="A870" s="89"/>
      <c r="B870" s="89"/>
      <c r="C870" s="17"/>
    </row>
    <row r="871" spans="1:3" ht="12.75">
      <c r="A871" s="89"/>
      <c r="B871" s="89"/>
      <c r="C871" s="17"/>
    </row>
    <row r="872" spans="1:3" ht="12.75">
      <c r="A872" s="89"/>
      <c r="B872" s="89"/>
      <c r="C872" s="17"/>
    </row>
    <row r="873" spans="1:3" ht="12.75">
      <c r="A873" s="89"/>
      <c r="B873" s="89"/>
      <c r="C873" s="17"/>
    </row>
    <row r="874" spans="1:3" ht="12.75">
      <c r="A874" s="89"/>
      <c r="B874" s="89"/>
      <c r="C874" s="17"/>
    </row>
    <row r="875" spans="1:3" ht="12.75">
      <c r="A875" s="89"/>
      <c r="B875" s="89"/>
      <c r="C875" s="17"/>
    </row>
    <row r="876" spans="1:3" ht="12.75">
      <c r="A876" s="89"/>
      <c r="B876" s="89"/>
      <c r="C876" s="17"/>
    </row>
    <row r="877" spans="1:3" ht="12.75">
      <c r="A877" s="89"/>
      <c r="B877" s="89"/>
      <c r="C877" s="17"/>
    </row>
    <row r="878" spans="1:3" ht="12.75">
      <c r="A878" s="89"/>
      <c r="B878" s="89"/>
      <c r="C878" s="17"/>
    </row>
    <row r="879" spans="1:3" ht="12.75">
      <c r="A879" s="89"/>
      <c r="B879" s="89"/>
      <c r="C879" s="17"/>
    </row>
    <row r="880" spans="1:3" ht="12.75">
      <c r="A880" s="89"/>
      <c r="B880" s="89"/>
      <c r="C880" s="17"/>
    </row>
    <row r="881" spans="1:3" ht="12.75">
      <c r="A881" s="89"/>
      <c r="B881" s="89"/>
      <c r="C881" s="17"/>
    </row>
    <row r="882" spans="1:3" ht="12.75">
      <c r="A882" s="89"/>
      <c r="B882" s="89"/>
      <c r="C882" s="17"/>
    </row>
    <row r="883" spans="1:3" ht="12.75">
      <c r="A883" s="89"/>
      <c r="B883" s="89"/>
      <c r="C883" s="17"/>
    </row>
    <row r="884" spans="1:3" ht="12.75">
      <c r="A884" s="89"/>
      <c r="B884" s="89"/>
      <c r="C884" s="17"/>
    </row>
    <row r="885" spans="1:3" ht="12.75">
      <c r="A885" s="89"/>
      <c r="B885" s="89"/>
      <c r="C885" s="17"/>
    </row>
    <row r="886" spans="1:3" ht="12.75">
      <c r="A886" s="89"/>
      <c r="B886" s="89"/>
      <c r="C886" s="17"/>
    </row>
    <row r="887" spans="1:3" ht="12.75">
      <c r="A887" s="89"/>
      <c r="B887" s="89"/>
      <c r="C887" s="17"/>
    </row>
    <row r="888" spans="1:3" ht="12.75">
      <c r="A888" s="89"/>
      <c r="B888" s="89"/>
      <c r="C888" s="17"/>
    </row>
    <row r="889" spans="1:3" ht="12.75">
      <c r="A889" s="89"/>
      <c r="B889" s="89"/>
      <c r="C889" s="17"/>
    </row>
    <row r="890" spans="1:3" ht="12.75">
      <c r="A890" s="89"/>
      <c r="B890" s="89"/>
      <c r="C890" s="17"/>
    </row>
    <row r="891" spans="1:3" ht="12.75">
      <c r="A891" s="89"/>
      <c r="B891" s="89"/>
      <c r="C891" s="17"/>
    </row>
    <row r="892" spans="1:3" ht="12.75">
      <c r="A892" s="89"/>
      <c r="B892" s="89"/>
      <c r="C892" s="17"/>
    </row>
    <row r="893" spans="1:3" ht="12.75">
      <c r="A893" s="89"/>
      <c r="B893" s="89"/>
      <c r="C893" s="17"/>
    </row>
    <row r="894" spans="1:3" ht="12.75">
      <c r="A894" s="89"/>
      <c r="B894" s="89"/>
      <c r="C894" s="17"/>
    </row>
    <row r="895" spans="1:3" ht="12.75">
      <c r="A895" s="89"/>
      <c r="B895" s="89"/>
      <c r="C895" s="17"/>
    </row>
    <row r="896" spans="1:3" ht="12.75">
      <c r="A896" s="89"/>
      <c r="B896" s="89"/>
      <c r="C896" s="17"/>
    </row>
    <row r="897" spans="1:3" ht="12.75">
      <c r="A897" s="89"/>
      <c r="B897" s="89"/>
      <c r="C897" s="17"/>
    </row>
    <row r="898" spans="1:3" ht="12.75">
      <c r="A898" s="89"/>
      <c r="B898" s="89"/>
      <c r="C898" s="17"/>
    </row>
    <row r="899" spans="1:3" ht="12.75">
      <c r="A899" s="89"/>
      <c r="B899" s="89"/>
      <c r="C899" s="17"/>
    </row>
    <row r="900" spans="1:3" ht="12.75">
      <c r="A900" s="89"/>
      <c r="B900" s="89"/>
      <c r="C900" s="17"/>
    </row>
    <row r="901" spans="1:3" ht="12.75">
      <c r="A901" s="89"/>
      <c r="B901" s="89"/>
      <c r="C901" s="17"/>
    </row>
    <row r="902" spans="1:3" ht="12.75">
      <c r="A902" s="89"/>
      <c r="B902" s="89"/>
      <c r="C902" s="17"/>
    </row>
    <row r="903" spans="1:3" ht="12.75">
      <c r="A903" s="89"/>
      <c r="B903" s="89"/>
      <c r="C903" s="17"/>
    </row>
    <row r="904" spans="1:3" ht="12.75">
      <c r="A904" s="89"/>
      <c r="B904" s="89"/>
      <c r="C904" s="17"/>
    </row>
    <row r="905" spans="1:3" ht="12.75">
      <c r="A905" s="89"/>
      <c r="B905" s="89"/>
      <c r="C905" s="17"/>
    </row>
    <row r="906" spans="1:3" ht="12.75">
      <c r="A906" s="89"/>
      <c r="B906" s="89"/>
      <c r="C906" s="17"/>
    </row>
    <row r="907" spans="1:3" ht="12.75">
      <c r="A907" s="89"/>
      <c r="B907" s="89"/>
      <c r="C907" s="17"/>
    </row>
    <row r="908" spans="1:3" ht="12.75">
      <c r="A908" s="89"/>
      <c r="B908" s="89"/>
      <c r="C908" s="17"/>
    </row>
    <row r="909" spans="1:3" ht="12.75">
      <c r="A909" s="89"/>
      <c r="B909" s="89"/>
      <c r="C909" s="17"/>
    </row>
    <row r="910" spans="1:3" ht="12.75">
      <c r="A910" s="89"/>
      <c r="B910" s="89"/>
      <c r="C910" s="17"/>
    </row>
    <row r="911" spans="1:3" ht="12.75">
      <c r="A911" s="89"/>
      <c r="B911" s="89"/>
      <c r="C911" s="17"/>
    </row>
    <row r="912" spans="1:3" ht="12.75">
      <c r="A912" s="89"/>
      <c r="B912" s="89"/>
      <c r="C912" s="17"/>
    </row>
    <row r="913" spans="1:3" ht="12.75">
      <c r="A913" s="89"/>
      <c r="B913" s="89"/>
      <c r="C913" s="17"/>
    </row>
    <row r="914" spans="1:3" ht="12.75">
      <c r="A914" s="89"/>
      <c r="B914" s="89"/>
      <c r="C914" s="17"/>
    </row>
    <row r="915" spans="1:3" ht="12.75">
      <c r="A915" s="89"/>
      <c r="B915" s="89"/>
      <c r="C915" s="17"/>
    </row>
    <row r="916" spans="1:3" ht="12.75">
      <c r="A916" s="89"/>
      <c r="B916" s="89"/>
      <c r="C916" s="17"/>
    </row>
    <row r="917" spans="1:3" ht="12.75">
      <c r="A917" s="89"/>
      <c r="B917" s="89"/>
      <c r="C917" s="17"/>
    </row>
    <row r="918" spans="1:3" ht="12.75">
      <c r="A918" s="89"/>
      <c r="B918" s="89"/>
      <c r="C918" s="17"/>
    </row>
    <row r="919" spans="1:3" ht="12.75">
      <c r="A919" s="89"/>
      <c r="B919" s="89"/>
      <c r="C919" s="17"/>
    </row>
    <row r="920" spans="1:3" ht="12.75">
      <c r="A920" s="89"/>
      <c r="B920" s="89"/>
      <c r="C920" s="17"/>
    </row>
    <row r="921" spans="1:3" ht="12.75">
      <c r="A921" s="89"/>
      <c r="B921" s="89"/>
      <c r="C921" s="17"/>
    </row>
    <row r="922" spans="1:3" ht="12.75">
      <c r="A922" s="89"/>
      <c r="B922" s="89"/>
      <c r="C922" s="17"/>
    </row>
    <row r="923" spans="1:3" ht="12.75">
      <c r="A923" s="89"/>
      <c r="B923" s="89"/>
      <c r="C923" s="17"/>
    </row>
    <row r="924" spans="1:3" ht="12.75">
      <c r="A924" s="89"/>
      <c r="B924" s="89"/>
      <c r="C924" s="17"/>
    </row>
    <row r="925" spans="1:3" ht="12.75">
      <c r="A925" s="89"/>
      <c r="B925" s="89"/>
      <c r="C925" s="17"/>
    </row>
    <row r="926" spans="1:3" ht="12.75">
      <c r="A926" s="89"/>
      <c r="B926" s="89"/>
      <c r="C926" s="17"/>
    </row>
    <row r="927" spans="1:3" ht="12.75">
      <c r="A927" s="89"/>
      <c r="B927" s="89"/>
      <c r="C927" s="17"/>
    </row>
    <row r="928" spans="1:3" ht="12.75">
      <c r="A928" s="89"/>
      <c r="B928" s="89"/>
      <c r="C928" s="17"/>
    </row>
    <row r="929" spans="1:3" ht="12.75">
      <c r="A929" s="89"/>
      <c r="B929" s="89"/>
      <c r="C929" s="17"/>
    </row>
    <row r="930" spans="1:3" ht="12.75">
      <c r="A930" s="89"/>
      <c r="B930" s="89"/>
      <c r="C930" s="17"/>
    </row>
    <row r="931" spans="1:3" ht="12.75">
      <c r="A931" s="89"/>
      <c r="B931" s="89"/>
      <c r="C931" s="17"/>
    </row>
    <row r="932" spans="1:3" ht="12.75">
      <c r="A932" s="89"/>
      <c r="B932" s="89"/>
      <c r="C932" s="17"/>
    </row>
    <row r="933" spans="1:3" ht="12.75">
      <c r="A933" s="89"/>
      <c r="B933" s="89"/>
      <c r="C933" s="17"/>
    </row>
    <row r="934" spans="1:3" ht="12.75">
      <c r="A934" s="89"/>
      <c r="B934" s="89"/>
      <c r="C934" s="17"/>
    </row>
    <row r="935" spans="1:3" ht="12.75">
      <c r="A935" s="89"/>
      <c r="B935" s="89"/>
      <c r="C935" s="17"/>
    </row>
    <row r="936" spans="1:3" ht="12.75">
      <c r="A936" s="89"/>
      <c r="B936" s="89"/>
      <c r="C936" s="17"/>
    </row>
    <row r="937" spans="1:3" ht="12.75">
      <c r="A937" s="89"/>
      <c r="B937" s="89"/>
      <c r="C937" s="17"/>
    </row>
    <row r="938" spans="1:3" ht="12.75">
      <c r="A938" s="89"/>
      <c r="B938" s="89"/>
      <c r="C938" s="17"/>
    </row>
    <row r="939" spans="1:3" ht="12.75">
      <c r="A939" s="89"/>
      <c r="B939" s="89"/>
      <c r="C939" s="17"/>
    </row>
    <row r="940" spans="1:3" ht="12.75">
      <c r="A940" s="89"/>
      <c r="B940" s="89"/>
      <c r="C940" s="17"/>
    </row>
    <row r="941" spans="1:3" ht="12.75">
      <c r="A941" s="89"/>
      <c r="B941" s="89"/>
      <c r="C941" s="17"/>
    </row>
    <row r="942" spans="1:3" ht="12.75">
      <c r="A942" s="89"/>
      <c r="B942" s="89"/>
      <c r="C942" s="17"/>
    </row>
    <row r="943" spans="1:3" ht="12.75">
      <c r="A943" s="89"/>
      <c r="B943" s="89"/>
      <c r="C943" s="17"/>
    </row>
    <row r="944" spans="1:3" ht="12.75">
      <c r="A944" s="89"/>
      <c r="B944" s="89"/>
      <c r="C944" s="17"/>
    </row>
    <row r="945" spans="1:3" ht="12.75">
      <c r="A945" s="89"/>
      <c r="B945" s="89"/>
      <c r="C945" s="17"/>
    </row>
    <row r="946" spans="1:3" ht="12.75">
      <c r="A946" s="89"/>
      <c r="B946" s="89"/>
      <c r="C946" s="17"/>
    </row>
    <row r="947" spans="1:3" ht="12.75">
      <c r="A947" s="89"/>
      <c r="B947" s="89"/>
      <c r="C947" s="17"/>
    </row>
    <row r="948" spans="1:3" ht="12.75">
      <c r="A948" s="89"/>
      <c r="B948" s="89"/>
      <c r="C948" s="17"/>
    </row>
    <row r="949" spans="1:3" ht="12.75">
      <c r="A949" s="89"/>
      <c r="B949" s="89"/>
      <c r="C949" s="17"/>
    </row>
    <row r="950" spans="1:3" ht="12.75">
      <c r="A950" s="89"/>
      <c r="B950" s="89"/>
      <c r="C950" s="17"/>
    </row>
    <row r="951" spans="1:3" ht="12.75">
      <c r="A951" s="89"/>
      <c r="B951" s="89"/>
      <c r="C951" s="17"/>
    </row>
    <row r="952" spans="1:3" ht="12.75">
      <c r="A952" s="89"/>
      <c r="B952" s="89"/>
      <c r="C952" s="17"/>
    </row>
    <row r="953" spans="1:3" ht="12.75">
      <c r="A953" s="89"/>
      <c r="B953" s="89"/>
      <c r="C953" s="17"/>
    </row>
    <row r="954" spans="1:3" ht="12.75">
      <c r="A954" s="89"/>
      <c r="B954" s="89"/>
      <c r="C954" s="17"/>
    </row>
    <row r="955" spans="1:3" ht="12.75">
      <c r="A955" s="89"/>
      <c r="B955" s="89"/>
      <c r="C955" s="17"/>
    </row>
    <row r="956" spans="1:3" ht="12.75">
      <c r="A956" s="89"/>
      <c r="B956" s="89"/>
      <c r="C956" s="17"/>
    </row>
    <row r="957" spans="1:3" ht="12.75">
      <c r="A957" s="89"/>
      <c r="B957" s="89"/>
      <c r="C957" s="17"/>
    </row>
    <row r="958" spans="1:3" ht="12.75">
      <c r="A958" s="89"/>
      <c r="B958" s="89"/>
      <c r="C958" s="17"/>
    </row>
    <row r="959" spans="1:3" ht="12.75">
      <c r="A959" s="89"/>
      <c r="B959" s="89"/>
      <c r="C959" s="17"/>
    </row>
    <row r="960" spans="1:3" ht="12.75">
      <c r="A960" s="89"/>
      <c r="B960" s="89"/>
      <c r="C960" s="17"/>
    </row>
    <row r="961" spans="1:3" ht="12.75">
      <c r="A961" s="89"/>
      <c r="B961" s="89"/>
      <c r="C961" s="17"/>
    </row>
    <row r="962" spans="1:3" ht="12.75">
      <c r="A962" s="89"/>
      <c r="B962" s="89"/>
      <c r="C962" s="17"/>
    </row>
    <row r="963" spans="1:3" ht="12.75">
      <c r="A963" s="89"/>
      <c r="B963" s="89"/>
      <c r="C963" s="17"/>
    </row>
    <row r="964" spans="1:3" ht="12.75">
      <c r="A964" s="89"/>
      <c r="B964" s="89"/>
      <c r="C964" s="17"/>
    </row>
    <row r="965" spans="1:3" ht="12.75">
      <c r="A965" s="89"/>
      <c r="B965" s="89"/>
      <c r="C965" s="17"/>
    </row>
    <row r="966" spans="1:3" ht="12.75">
      <c r="A966" s="89"/>
      <c r="B966" s="89"/>
      <c r="C966" s="17"/>
    </row>
    <row r="967" spans="1:3" ht="12.75">
      <c r="A967" s="89"/>
      <c r="B967" s="89"/>
      <c r="C967" s="17"/>
    </row>
    <row r="968" spans="1:3" ht="12.75">
      <c r="A968" s="89"/>
      <c r="B968" s="89"/>
      <c r="C968" s="17"/>
    </row>
    <row r="969" spans="1:3" ht="12.75">
      <c r="A969" s="89"/>
      <c r="B969" s="89"/>
      <c r="C969" s="17"/>
    </row>
    <row r="970" spans="1:3" ht="12.75">
      <c r="A970" s="89"/>
      <c r="B970" s="89"/>
      <c r="C970" s="17"/>
    </row>
    <row r="971" spans="1:3" ht="12.75">
      <c r="A971" s="89"/>
      <c r="B971" s="89"/>
      <c r="C971" s="17"/>
    </row>
    <row r="972" spans="1:3" ht="12.75">
      <c r="A972" s="89"/>
      <c r="B972" s="89"/>
      <c r="C972" s="17"/>
    </row>
    <row r="973" spans="1:3" ht="12.75">
      <c r="A973" s="89"/>
      <c r="B973" s="89"/>
      <c r="C973" s="17"/>
    </row>
    <row r="974" spans="1:3" ht="12.75">
      <c r="A974" s="89"/>
      <c r="B974" s="89"/>
      <c r="C974" s="17"/>
    </row>
    <row r="975" spans="1:3" ht="12.75">
      <c r="A975" s="89"/>
      <c r="B975" s="89"/>
      <c r="C975" s="17"/>
    </row>
    <row r="976" spans="1:3" ht="12.75">
      <c r="A976" s="89"/>
      <c r="B976" s="89"/>
      <c r="C976" s="17"/>
    </row>
    <row r="977" spans="1:3" ht="12.75">
      <c r="A977" s="89"/>
      <c r="B977" s="89"/>
      <c r="C977" s="17"/>
    </row>
    <row r="978" spans="1:3" ht="12.75">
      <c r="A978" s="89"/>
      <c r="B978" s="89"/>
      <c r="C978" s="17"/>
    </row>
    <row r="979" spans="1:3" ht="12.75">
      <c r="A979" s="89"/>
      <c r="B979" s="89"/>
      <c r="C979" s="17"/>
    </row>
    <row r="980" spans="1:3" ht="12.75">
      <c r="A980" s="89"/>
      <c r="B980" s="89"/>
      <c r="C980" s="17"/>
    </row>
    <row r="981" spans="1:3" ht="12.75">
      <c r="A981" s="89"/>
      <c r="B981" s="89"/>
      <c r="C981" s="17"/>
    </row>
    <row r="982" spans="1:3" ht="12.75">
      <c r="A982" s="89"/>
      <c r="B982" s="89"/>
      <c r="C982" s="17"/>
    </row>
  </sheetData>
  <conditionalFormatting sqref="D63 D191">
    <cfRule type="notContainsBlanks" dxfId="0" priority="1">
      <formula>LEN(TRIM(D63))&gt;0</formula>
    </cfRule>
  </conditionalFormatting>
  <dataValidations count="2">
    <dataValidation type="custom" allowBlank="1" showDropDown="1" showInputMessage="1" showErrorMessage="1" prompt="Enter a valid date mm/dd/2020" sqref="C2:C15 C17:C20 C22:C26 C28:C50 C52:C82 C86:C90 C94:C102 C104 C107 C109:C116 C118 C121:C131 C137 C139:C163 C165:C175 C177:C180 C187:C190 C192:C204 C206:C214 C216:C228 C234 C236:C244 C246:C249 C251:C261 C264:C267 C269:C275 C279:C299 C302 C304:C318 C323 C326:C338 C340:C342 C346:C349" xr:uid="{00000000-0002-0000-0500-000000000000}">
      <formula1>OR(NOT(ISERROR(DATEVALUE(C2))), AND(ISNUMBER(C2), LEFT(CELL("format", C2))="D"))</formula1>
    </dataValidation>
    <dataValidation type="custom" allowBlank="1" showDropDown="1" showInputMessage="1" prompt="Enter a valid date mm/dd/yy" sqref="C16 C21 C27 C51 C83:C85 C91:C92 C103 C105 C108 C119:C120 C132:C136 C164 C176 C181:C186 C191 C205 C215 C230:C233 C245 C250 C262:C263 C268 C276:C278 C300:C301 C303 C319:C322 C324:C325 C343:C345 C350:C982" xr:uid="{00000000-0002-0000-0500-000001000000}">
      <formula1>OR(NOT(ISERROR(DATEVALUE(C16))), AND(ISNUMBER(C16), LEFT(CELL("format", C16))="D"))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Directions</vt:lpstr>
      <vt:lpstr>All Species</vt:lpstr>
      <vt:lpstr>Focal Observations</vt:lpstr>
      <vt:lpstr>For sites with &gt;19 points</vt:lpstr>
      <vt:lpstr>Summary Data</vt:lpstr>
      <vt:lpstr>transects with no data 2.22.21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Brush, Janell</cp:lastModifiedBy>
  <dcterms:modified xsi:type="dcterms:W3CDTF">2022-06-01T12:22:12Z</dcterms:modified>
</cp:coreProperties>
</file>